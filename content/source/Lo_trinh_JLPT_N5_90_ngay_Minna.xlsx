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Hướng dẫn" sheetId="1" state="visible" r:id="rId3"/>
    <sheet name="2. Lộ trình tổng quan" sheetId="2" state="visible" r:id="rId4"/>
    <sheet name="3. Chi tiết N1-14" sheetId="3" state="visible" r:id="rId5"/>
    <sheet name="4. Chi tiết N15-45" sheetId="4" state="visible" r:id="rId6"/>
    <sheet name="5. Chi tiết N46-77" sheetId="5" state="visible" r:id="rId7"/>
    <sheet name="6. Chi tiết N78-90" sheetId="6" state="visible" r:id="rId8"/>
    <sheet name="7. Bảng chữ cái" sheetId="7" state="visible" r:id="rId9"/>
    <sheet name="8. Bộ thủ 45" sheetId="8" state="visible" r:id="rId10"/>
    <sheet name="9. Kanji 103" sheetId="9" state="visible" r:id="rId11"/>
    <sheet name="10. Ngữ pháp Minna" sheetId="10" state="visible" r:id="rId12"/>
    <sheet name="11. Từ vựng 350" sheetId="11" state="visible" r:id="rId13"/>
    <sheet name="12. Lịch Minna" sheetId="12" state="visible" r:id="rId14"/>
    <sheet name="13. Ngữ pháp JLPT 94" sheetId="13" state="visible" r:id="rId15"/>
    <sheet name="14. Nghe &amp; Đọc" sheetId="14" state="visible" r:id="rId16"/>
    <sheet name="15. Tiến độ" sheetId="15" state="visible" r:id="rId17"/>
  </sheets>
  <definedNames>
    <definedName function="false" hidden="true" localSheetId="12" name="_xlnm._FilterDatabase" vbProcedure="false">'13. Ngữ pháp JLPT 94'!$A$3:$E$97</definedName>
    <definedName function="false" hidden="false" localSheetId="1" name="_xlnm.Print_Titles" vbProcedure="false">'2. Lộ trình tổng quan'!$2:$2</definedName>
    <definedName function="false" hidden="true" localSheetId="1" name="_xlnm._FilterDatabase" vbProcedure="false">'2. Lộ trình tổng quan'!$A$2:$O$92</definedName>
    <definedName function="false" hidden="false" localSheetId="2" name="_xlnm.Print_Titles" vbProcedure="false">'3. Chi tiết N1-14'!$2:$2</definedName>
    <definedName function="false" hidden="false" localSheetId="3" name="_xlnm.Print_Titles" vbProcedure="false">'4. Chi tiết N15-45'!$2:$2</definedName>
    <definedName function="false" hidden="false" localSheetId="4" name="_xlnm.Print_Titles" vbProcedure="false">'5. Chi tiết N46-77'!$2:$2</definedName>
    <definedName function="false" hidden="false" localSheetId="5" name="_xlnm.Print_Titles" vbProcedure="false">'6. Chi tiết N78-90'!$2:$2</definedName>
    <definedName function="false" hidden="true" localSheetId="6" name="_xlnm._FilterDatabase" vbProcedure="false">'7. Bảng chữ cái'!$A$2:$G$106</definedName>
    <definedName function="false" hidden="true" localSheetId="7" name="_xlnm._FilterDatabase" vbProcedure="false">'8. Bộ thủ 45'!$A$3:$H$48</definedName>
    <definedName function="false" hidden="true" localSheetId="8" name="_xlnm._FilterDatabase" vbProcedure="false">'9. Kanji 103'!$A$2:$L$105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Sửa ô này thành ngày bạn bắt đầu. Toàn bộ 90 ngày sẽ tự tính lại.</t>
        </r>
      </text>
    </comment>
  </commentList>
</comments>
</file>

<file path=xl/sharedStrings.xml><?xml version="1.0" encoding="utf-8"?>
<sst xmlns="http://schemas.openxmlformats.org/spreadsheetml/2006/main" count="6978" uniqueCount="4087">
  <si>
    <t xml:space="preserve">LỘ TRÌNH CHINH PHỤC JLPT N5 TRONG 90 NGÀY</t>
  </si>
  <si>
    <t xml:space="preserve">Bám sát giáo trình MINNA NO NIHONGO I (bài 1–25)  ·  104 Hiragana · 104 Katakana · 45 bộ thủ · 103 Kanji · 112 mẫu ngữ pháp · 350 từ vựng có mẹo nhớ</t>
  </si>
  <si>
    <t xml:space="preserve">👉 NGÀY BẮT ĐẦU HỌC</t>
  </si>
  <si>
    <t xml:space="preserve">◀ Chỉ cần sửa ô vàng này, cả file tự cập nhật</t>
  </si>
  <si>
    <t xml:space="preserve">Ngày thi dự kiến</t>
  </si>
  <si>
    <t xml:space="preserve">Ngày bắt đầu cộng 89 ngày</t>
  </si>
  <si>
    <t xml:space="preserve">MỖI NGÀY CHỈ CẦN 2 BƯỚC</t>
  </si>
  <si>
    <t xml:space="preserve">Bước 1</t>
  </si>
  <si>
    <t xml:space="preserve">Mở sheet '2. Lộ trình tổng quan', tìm dòng của hôm nay. Dòng này cho biết nhanh: hôm nay học Minna bài mấy, Kanji nào, bộ thủ nào, mấy mẫu ngữ pháp, mấy từ mới.</t>
  </si>
  <si>
    <t xml:space="preserve">Bước 2</t>
  </si>
  <si>
    <t xml:space="preserve">Mở sheet chi tiết tương ứng (3, 4, 5 hoặc 6), tìm khối màu của ngày đó. Ở đó có 4–6 đầu việc kèm số phút, nội dung đầy đủ: từng chữ Kanji có âm On/Kun và mẹo nhớ, từng mẫu ngữ pháp có câu ví dụ, từng từ vựng có mẹo nhớ. Xong việc nào tick 'Xong' việc đó.</t>
  </si>
  <si>
    <t xml:space="preserve">Lưu ý</t>
  </si>
  <si>
    <t xml:space="preserve">Bạn CHỈ tick ở sheet chi tiết. Cột tiến độ ở sheet tổng quan tự chạy theo, không phải tick hai lần.</t>
  </si>
  <si>
    <t xml:space="preserve">CẦN CHUẨN BỊ GÌ</t>
  </si>
  <si>
    <t xml:space="preserve">Sách chính</t>
  </si>
  <si>
    <t xml:space="preserve">Minna no Nihongo I — bản Honsatsu (sách chính) và bản dịch–giải thích ngữ pháp tiếng Việt. Nên có thêm CD hoặc file nghe đi kèm.</t>
  </si>
  <si>
    <t xml:space="preserve">Sách bài tập</t>
  </si>
  <si>
    <r>
      <rPr>
        <sz val="10.5"/>
        <rFont val="Arial"/>
        <family val="0"/>
        <charset val="1"/>
      </rPr>
      <t xml:space="preserve">Minna no Nihongo I — Hyōjun Mondaishū (</t>
    </r>
    <r>
      <rPr>
        <sz val="10.5"/>
        <rFont val="Noto Sans CJK SC"/>
        <family val="2"/>
      </rPr>
      <t xml:space="preserve">標準問題集</t>
    </r>
    <r>
      <rPr>
        <sz val="10.5"/>
        <rFont val="Arial"/>
        <family val="0"/>
        <charset val="1"/>
      </rPr>
      <t xml:space="preserve">) để làm bài tập và phần nghe sau mỗi bài.</t>
    </r>
  </si>
  <si>
    <t xml:space="preserve">Dụng cụ</t>
  </si>
  <si>
    <t xml:space="preserve">Vở kẻ ô vuông để luyện viết Kanji, một cuốn sổ tay nhỏ ghi lỗi sai, bút chì 2B.</t>
  </si>
  <si>
    <t xml:space="preserve">Ứng dụng</t>
  </si>
  <si>
    <t xml:space="preserve">Anki hoặc Quizlet để ôn từ vựng theo phương pháp lặp lại ngắt quãng.</t>
  </si>
  <si>
    <t xml:space="preserve">BA GIAI ĐOẠN</t>
  </si>
  <si>
    <t xml:space="preserve">Ngày 1–14 · Bảng chữ cái</t>
  </si>
  <si>
    <t xml:space="preserve">Tuần 1 Hiragana, tuần 2 Katakana. Chưa mở Minna vội. Mỗi âm đều có mẹo nhớ hình dáng ở sheet 7.</t>
  </si>
  <si>
    <t xml:space="preserve">Ngày 15–77 · Minna bài 1–25</t>
  </si>
  <si>
    <t xml:space="preserve">Mỗi bài học trong 2 ngày (riêng bài 14, 17, 19, 20 khó hơn nên được 3 ngày). Mỗi ngày: 1 bộ thủ + 2 Kanji + 2 mẫu ngữ pháp + 7 từ mới + 20 phút nghe/đọc. Chủ Nhật hằng tuần là ngày ôn, không học bài mới.</t>
  </si>
  <si>
    <t xml:space="preserve">Ngày 78–90 · Tổng ôn</t>
  </si>
  <si>
    <t xml:space="preserve">Ôn lại toàn bộ, hai đề thi thử full bấm giờ vào ngày 84 và 88. Ngày 90 nghỉ ngơi.</t>
  </si>
  <si>
    <t xml:space="preserve">HỌC TỪ VỰNG KIỂU NÀO CHO NHỚ</t>
  </si>
  <si>
    <t xml:space="preserve">1. Ưu tiên âm Hán Việt</t>
  </si>
  <si>
    <r>
      <rPr>
        <sz val="10.5"/>
        <rFont val="Arial"/>
        <family val="0"/>
        <charset val="1"/>
      </rPr>
      <t xml:space="preserve">Đây là lợi thế lớn nhất của người Việt. </t>
    </r>
    <r>
      <rPr>
        <sz val="10.5"/>
        <rFont val="Noto Sans CJK SC"/>
        <family val="2"/>
      </rPr>
      <t xml:space="preserve">先生 </t>
    </r>
    <r>
      <rPr>
        <sz val="10.5"/>
        <rFont val="Arial"/>
        <family val="0"/>
        <charset val="1"/>
      </rPr>
      <t xml:space="preserve">= TIÊN SINH, </t>
    </r>
    <r>
      <rPr>
        <sz val="10.5"/>
        <rFont val="Noto Sans CJK SC"/>
        <family val="2"/>
      </rPr>
      <t xml:space="preserve">会社員 </t>
    </r>
    <r>
      <rPr>
        <sz val="10.5"/>
        <rFont val="Arial"/>
        <family val="0"/>
        <charset val="1"/>
      </rPr>
      <t xml:space="preserve">= HỘI XÃ VIÊN, </t>
    </r>
    <r>
      <rPr>
        <sz val="10.5"/>
        <rFont val="Noto Sans CJK SC"/>
        <family val="2"/>
      </rPr>
      <t xml:space="preserve">図書館 </t>
    </r>
    <r>
      <rPr>
        <sz val="10.5"/>
        <rFont val="Arial"/>
        <family val="0"/>
        <charset val="1"/>
      </rPr>
      <t xml:space="preserve">= ĐỒ THƯ QUÁN. Biết âm Hán Việt là đoán được nghĩa hàng trăm từ chưa từng học.</t>
    </r>
  </si>
  <si>
    <t xml:space="preserve">2. Tách chữ ra thành bộ thủ</t>
  </si>
  <si>
    <r>
      <rPr>
        <sz val="10.5"/>
        <rFont val="Noto Sans CJK SC"/>
        <family val="2"/>
      </rPr>
      <t xml:space="preserve">休 </t>
    </r>
    <r>
      <rPr>
        <sz val="10.5"/>
        <rFont val="Arial"/>
        <family val="0"/>
        <charset val="1"/>
      </rPr>
      <t xml:space="preserve">= </t>
    </r>
    <r>
      <rPr>
        <sz val="10.5"/>
        <rFont val="Noto Sans CJK SC"/>
        <family val="2"/>
      </rPr>
      <t xml:space="preserve">亻</t>
    </r>
    <r>
      <rPr>
        <sz val="10.5"/>
        <rFont val="Arial"/>
        <family val="0"/>
        <charset val="1"/>
      </rPr>
      <t xml:space="preserve">(người) tựa </t>
    </r>
    <r>
      <rPr>
        <sz val="10.5"/>
        <rFont val="Noto Sans CJK SC"/>
        <family val="2"/>
      </rPr>
      <t xml:space="preserve">木</t>
    </r>
    <r>
      <rPr>
        <sz val="10.5"/>
        <rFont val="Arial"/>
        <family val="0"/>
        <charset val="1"/>
      </rPr>
      <t xml:space="preserve">(cây) → nghỉ mát. </t>
    </r>
    <r>
      <rPr>
        <sz val="10.5"/>
        <rFont val="Noto Sans CJK SC"/>
        <family val="2"/>
      </rPr>
      <t xml:space="preserve">明 </t>
    </r>
    <r>
      <rPr>
        <sz val="10.5"/>
        <rFont val="Arial"/>
        <family val="0"/>
        <charset val="1"/>
      </rPr>
      <t xml:space="preserve">= </t>
    </r>
    <r>
      <rPr>
        <sz val="10.5"/>
        <rFont val="Noto Sans CJK SC"/>
        <family val="2"/>
      </rPr>
      <t xml:space="preserve">日</t>
    </r>
    <r>
      <rPr>
        <sz val="10.5"/>
        <rFont val="Arial"/>
        <family val="0"/>
        <charset val="1"/>
      </rPr>
      <t xml:space="preserve">(mặt trời) + </t>
    </r>
    <r>
      <rPr>
        <sz val="10.5"/>
        <rFont val="Noto Sans CJK SC"/>
        <family val="2"/>
      </rPr>
      <t xml:space="preserve">月</t>
    </r>
    <r>
      <rPr>
        <sz val="10.5"/>
        <rFont val="Arial"/>
        <family val="0"/>
        <charset val="1"/>
      </rPr>
      <t xml:space="preserve">(mặt trăng) → sáng. Cách này nhớ lâu gấp nhiều lần học vẹt từng nét.</t>
    </r>
  </si>
  <si>
    <t xml:space="preserve">3. Học theo cụm, đừng học chữ lẻ</t>
  </si>
  <si>
    <r>
      <rPr>
        <sz val="10.5"/>
        <rFont val="Arial"/>
        <family val="0"/>
        <charset val="1"/>
      </rPr>
      <t xml:space="preserve">Đừng học </t>
    </r>
    <r>
      <rPr>
        <sz val="10.5"/>
        <rFont val="Noto Sans CJK SC"/>
        <family val="2"/>
      </rPr>
      <t xml:space="preserve">電 </t>
    </r>
    <r>
      <rPr>
        <sz val="10.5"/>
        <rFont val="Arial"/>
        <family val="0"/>
        <charset val="1"/>
      </rPr>
      <t xml:space="preserve">một mình. Học luôn </t>
    </r>
    <r>
      <rPr>
        <sz val="10.5"/>
        <rFont val="Noto Sans CJK SC"/>
        <family val="2"/>
      </rPr>
      <t xml:space="preserve">電車 </t>
    </r>
    <r>
      <rPr>
        <sz val="10.5"/>
        <rFont val="Arial"/>
        <family val="0"/>
        <charset val="1"/>
      </rPr>
      <t xml:space="preserve">(tàu điện), </t>
    </r>
    <r>
      <rPr>
        <sz val="10.5"/>
        <rFont val="Noto Sans CJK SC"/>
        <family val="2"/>
      </rPr>
      <t xml:space="preserve">電話 </t>
    </r>
    <r>
      <rPr>
        <sz val="10.5"/>
        <rFont val="Arial"/>
        <family val="0"/>
        <charset val="1"/>
      </rPr>
      <t xml:space="preserve">(điện thoại), </t>
    </r>
    <r>
      <rPr>
        <sz val="10.5"/>
        <rFont val="Noto Sans CJK SC"/>
        <family val="2"/>
      </rPr>
      <t xml:space="preserve">電気 </t>
    </r>
    <r>
      <rPr>
        <sz val="10.5"/>
        <rFont val="Arial"/>
        <family val="0"/>
        <charset val="1"/>
      </rPr>
      <t xml:space="preserve">(điện). Một chữ kéo theo ba từ.</t>
    </r>
  </si>
  <si>
    <t xml:space="preserve">4. Học theo cặp trái nghĩa</t>
  </si>
  <si>
    <r>
      <rPr>
        <sz val="10.5"/>
        <rFont val="Noto Sans CJK SC"/>
        <family val="2"/>
      </rPr>
      <t xml:space="preserve">上手↔下手</t>
    </r>
    <r>
      <rPr>
        <sz val="10.5"/>
        <rFont val="Arial"/>
        <family val="0"/>
        <charset val="1"/>
      </rPr>
      <t xml:space="preserve">, </t>
    </r>
    <r>
      <rPr>
        <sz val="10.5"/>
        <rFont val="Noto Sans CJK SC"/>
        <family val="2"/>
      </rPr>
      <t xml:space="preserve">大きい↔小さい</t>
    </r>
    <r>
      <rPr>
        <sz val="10.5"/>
        <rFont val="Arial"/>
        <family val="0"/>
        <charset val="1"/>
      </rPr>
      <t xml:space="preserve">, </t>
    </r>
    <r>
      <rPr>
        <sz val="10.5"/>
        <rFont val="Noto Sans CJK SC"/>
        <family val="2"/>
      </rPr>
      <t xml:space="preserve">安い↔高い</t>
    </r>
    <r>
      <rPr>
        <sz val="10.5"/>
        <rFont val="Arial"/>
        <family val="0"/>
        <charset val="1"/>
      </rPr>
      <t xml:space="preserve">, </t>
    </r>
    <r>
      <rPr>
        <sz val="10.5"/>
        <rFont val="Noto Sans CJK SC"/>
        <family val="2"/>
      </rPr>
      <t xml:space="preserve">押します↔引きます</t>
    </r>
    <r>
      <rPr>
        <sz val="10.5"/>
        <rFont val="Arial"/>
        <family val="0"/>
        <charset val="1"/>
      </rPr>
      <t xml:space="preserve">. Não ghi nhớ theo cặp tốt hơn nhiều so với ghi nhớ đơn lẻ.</t>
    </r>
  </si>
  <si>
    <t xml:space="preserve">5. Với từ thuần kana</t>
  </si>
  <si>
    <r>
      <rPr>
        <sz val="10.5"/>
        <rFont val="Arial"/>
        <family val="0"/>
        <charset val="1"/>
      </rPr>
      <t xml:space="preserve">Dùng liên tưởng âm thanh tiếng Việt: </t>
    </r>
    <r>
      <rPr>
        <sz val="10.5"/>
        <rFont val="Noto Sans CJK SC"/>
        <family val="2"/>
      </rPr>
      <t xml:space="preserve">ねこ </t>
    </r>
    <r>
      <rPr>
        <sz val="10.5"/>
        <rFont val="Arial"/>
        <family val="0"/>
        <charset val="1"/>
      </rPr>
      <t xml:space="preserve">(mèo) — 'nê cô'; </t>
    </r>
    <r>
      <rPr>
        <sz val="10.5"/>
        <rFont val="Noto Sans CJK SC"/>
        <family val="2"/>
      </rPr>
      <t xml:space="preserve">おなか </t>
    </r>
    <r>
      <rPr>
        <sz val="10.5"/>
        <rFont val="Arial"/>
        <family val="0"/>
        <charset val="1"/>
      </rPr>
      <t xml:space="preserve">(bụng) — 'ô, na ca'. Mỗi từ trong file đều đã có sẵn một mẹo ở cột 'Mẹo nhớ'.</t>
    </r>
  </si>
  <si>
    <t xml:space="preserve">6. Ôn ngắt quãng</t>
  </si>
  <si>
    <t xml:space="preserve">Từ mới hôm nay phải được gặp lại sau 1 ngày, 3 ngày, 1 tuần. Đó chính là lý do có ngày ôn Chủ Nhật và cột 'Ngày học' trong mọi sheet tra cứu.</t>
  </si>
  <si>
    <t xml:space="preserve">VÌ SAO PHẢI HỌC BỘ THỦ</t>
  </si>
  <si>
    <t xml:space="preserve">Bộ thủ là gì</t>
  </si>
  <si>
    <r>
      <rPr>
        <sz val="10.5"/>
        <rFont val="Arial"/>
        <family val="0"/>
        <charset val="1"/>
      </rPr>
      <t xml:space="preserve">Là những mảnh ghép nhỏ tạo nên chữ Kanji. Ví dụ </t>
    </r>
    <r>
      <rPr>
        <sz val="10.5"/>
        <rFont val="Noto Sans CJK SC"/>
        <family val="2"/>
      </rPr>
      <t xml:space="preserve">語 </t>
    </r>
    <r>
      <rPr>
        <sz val="10.5"/>
        <rFont val="Arial"/>
        <family val="0"/>
        <charset val="1"/>
      </rPr>
      <t xml:space="preserve">(ngôn ngữ) = </t>
    </r>
    <r>
      <rPr>
        <sz val="10.5"/>
        <rFont val="Noto Sans CJK SC"/>
        <family val="2"/>
      </rPr>
      <t xml:space="preserve">言 </t>
    </r>
    <r>
      <rPr>
        <sz val="10.5"/>
        <rFont val="Arial"/>
        <family val="0"/>
        <charset val="1"/>
      </rPr>
      <t xml:space="preserve">(lời nói) + </t>
    </r>
    <r>
      <rPr>
        <sz val="10.5"/>
        <rFont val="Noto Sans CJK SC"/>
        <family val="2"/>
      </rPr>
      <t xml:space="preserve">五 </t>
    </r>
    <r>
      <rPr>
        <sz val="10.5"/>
        <rFont val="Arial"/>
        <family val="0"/>
        <charset val="1"/>
      </rPr>
      <t xml:space="preserve">+ </t>
    </r>
    <r>
      <rPr>
        <sz val="10.5"/>
        <rFont val="Noto Sans CJK SC"/>
        <family val="2"/>
      </rPr>
      <t xml:space="preserve">口 </t>
    </r>
    <r>
      <rPr>
        <sz val="10.5"/>
        <rFont val="Arial"/>
        <family val="0"/>
        <charset val="1"/>
      </rPr>
      <t xml:space="preserve">(miệng).</t>
    </r>
  </si>
  <si>
    <t xml:space="preserve">Lợi ích</t>
  </si>
  <si>
    <r>
      <rPr>
        <sz val="10.5"/>
        <rFont val="Arial"/>
        <family val="0"/>
        <charset val="1"/>
      </rPr>
      <t xml:space="preserve">Mọi chữ có bộ </t>
    </r>
    <r>
      <rPr>
        <sz val="10.5"/>
        <rFont val="Noto Sans CJK SC"/>
        <family val="2"/>
      </rPr>
      <t xml:space="preserve">言 </t>
    </r>
    <r>
      <rPr>
        <sz val="10.5"/>
        <rFont val="Arial"/>
        <family val="0"/>
        <charset val="1"/>
      </rPr>
      <t xml:space="preserve">đều liên quan đến nói năng: </t>
    </r>
    <r>
      <rPr>
        <sz val="10.5"/>
        <rFont val="Noto Sans CJK SC"/>
        <family val="2"/>
      </rPr>
      <t xml:space="preserve">話 </t>
    </r>
    <r>
      <rPr>
        <sz val="10.5"/>
        <rFont val="Arial"/>
        <family val="0"/>
        <charset val="1"/>
      </rPr>
      <t xml:space="preserve">nói chuyện, </t>
    </r>
    <r>
      <rPr>
        <sz val="10.5"/>
        <rFont val="Noto Sans CJK SC"/>
        <family val="2"/>
      </rPr>
      <t xml:space="preserve">語 </t>
    </r>
    <r>
      <rPr>
        <sz val="10.5"/>
        <rFont val="Arial"/>
        <family val="0"/>
        <charset val="1"/>
      </rPr>
      <t xml:space="preserve">ngôn ngữ, </t>
    </r>
    <r>
      <rPr>
        <sz val="10.5"/>
        <rFont val="Noto Sans CJK SC"/>
        <family val="2"/>
      </rPr>
      <t xml:space="preserve">読 </t>
    </r>
    <r>
      <rPr>
        <sz val="10.5"/>
        <rFont val="Arial"/>
        <family val="0"/>
        <charset val="1"/>
      </rPr>
      <t xml:space="preserve">đọc, </t>
    </r>
    <r>
      <rPr>
        <sz val="10.5"/>
        <rFont val="Noto Sans CJK SC"/>
        <family val="2"/>
      </rPr>
      <t xml:space="preserve">記 </t>
    </r>
    <r>
      <rPr>
        <sz val="10.5"/>
        <rFont val="Arial"/>
        <family val="0"/>
        <charset val="1"/>
      </rPr>
      <t xml:space="preserve">ghi chép. Học 45 bộ là mở khóa được hàng nghìn chữ.</t>
    </r>
  </si>
  <si>
    <t xml:space="preserve">Cách học</t>
  </si>
  <si>
    <t xml:space="preserve">Mỗi ngày ở giai đoạn 2 chỉ học 1 bộ, mất 10 phút. Bảng đầy đủ ở sheet '8. Bộ thủ 45'.</t>
  </si>
  <si>
    <t xml:space="preserve">MẸO ĐỂ KHÔNG BỎ CUỘC</t>
  </si>
  <si>
    <t xml:space="preserve">Quy tắc 2 ngày</t>
  </si>
  <si>
    <t xml:space="preserve">Được nghỉ 1 ngày, nhưng không bao giờ nghỉ 2 ngày liên tiếp.</t>
  </si>
  <si>
    <t xml:space="preserve">Ngày quá bận</t>
  </si>
  <si>
    <t xml:space="preserve">Làm 'phiên bản rút gọn': chỉ làm việc Kanji và Từ vựng của hôm đó (khoảng 40 phút). Có mặt quan trọng hơn hoàn hảo.</t>
  </si>
  <si>
    <t xml:space="preserve">Phải viết tay</t>
  </si>
  <si>
    <t xml:space="preserve">Kanji chỉ nhớ được khi viết tay. Nhìn màn hình tạo cảm giác đã thuộc nhưng vào phòng thi sẽ quên.</t>
  </si>
  <si>
    <t xml:space="preserve">Điểm chuẩn N5</t>
  </si>
  <si>
    <t xml:space="preserve">Tổng ≥ 80/180, VÀ mỗi phần ≥ 19/60. Nghĩa là không được bỏ hẳn phần Nghe.</t>
  </si>
  <si>
    <t xml:space="preserve">MÃ MÀU</t>
  </si>
  <si>
    <t xml:space="preserve">Vàng nhạt</t>
  </si>
  <si>
    <t xml:space="preserve">Giai đoạn 1 — Bảng chữ cái</t>
  </si>
  <si>
    <t xml:space="preserve">Xanh lá nhạt</t>
  </si>
  <si>
    <t xml:space="preserve">Giai đoạn 2 — Minna no Nihongo I</t>
  </si>
  <si>
    <t xml:space="preserve">Vàng đậm</t>
  </si>
  <si>
    <t xml:space="preserve">Ngày ôn tập cuối tuần (Chủ Nhật)</t>
  </si>
  <si>
    <t xml:space="preserve">Hồng nhạt</t>
  </si>
  <si>
    <t xml:space="preserve">Giai đoạn 3 — Tổng ôn</t>
  </si>
  <si>
    <t xml:space="preserve">Cam</t>
  </si>
  <si>
    <t xml:space="preserve">Ngày thi thử (ngày 84 và 88)</t>
  </si>
  <si>
    <t xml:space="preserve">Xanh lá đậm</t>
  </si>
  <si>
    <t xml:space="preserve">Việc bạn đã tick 'Xong'</t>
  </si>
  <si>
    <t xml:space="preserve">Nguồn:</t>
  </si>
  <si>
    <r>
      <rPr>
        <i val="true"/>
        <sz val="9"/>
        <color rgb="FF808080"/>
        <rFont val="Arial"/>
        <family val="0"/>
        <charset val="1"/>
      </rPr>
      <t xml:space="preserve">Trình tự ngữ pháp và chủ đề bám theo cấu trúc bài học của Minna no Nihongo I. Danh sách Kanji và mẫu ngữ pháp N5 tổng hợp theo practicejlpt.com. JLPT không công bố danh sách chính thức — mọi danh sách phổ biến đều dựa trên đề các năm trước. Phần từ vựng ở đây là bản chọn lọc trọng tâm, hãy đối chiếu thêm mục </t>
    </r>
    <r>
      <rPr>
        <i val="true"/>
        <sz val="9"/>
        <color rgb="FF808080"/>
        <rFont val="Noto Sans CJK SC"/>
        <family val="2"/>
      </rPr>
      <t xml:space="preserve">語彙 </t>
    </r>
    <r>
      <rPr>
        <i val="true"/>
        <sz val="9"/>
        <color rgb="FF808080"/>
        <rFont val="Arial"/>
        <family val="0"/>
        <charset val="1"/>
      </rPr>
      <t xml:space="preserve">trong sách.</t>
    </r>
  </si>
  <si>
    <t xml:space="preserve">LỘ TRÌNH TỔNG QUAN 90 NGÀY  —  xem nhanh ở đây, làm chi tiết ở sheet 3–6</t>
  </si>
  <si>
    <t xml:space="preserve">Ngày</t>
  </si>
  <si>
    <t xml:space="preserve">Ngày dự kiến</t>
  </si>
  <si>
    <t xml:space="preserve">Tuần</t>
  </si>
  <si>
    <t xml:space="preserve">Giai đoạn</t>
  </si>
  <si>
    <t xml:space="preserve">Minna</t>
  </si>
  <si>
    <t xml:space="preserve">Nội dung chính hôm nay</t>
  </si>
  <si>
    <t xml:space="preserve">Kanji</t>
  </si>
  <si>
    <t xml:space="preserve">Bộ thủ</t>
  </si>
  <si>
    <t xml:space="preserve">Ngữ pháp</t>
  </si>
  <si>
    <t xml:space="preserve">Từ mới</t>
  </si>
  <si>
    <t xml:space="preserve">Nghe/Đọc</t>
  </si>
  <si>
    <t xml:space="preserve">Phút</t>
  </si>
  <si>
    <t xml:space="preserve">Đã xong</t>
  </si>
  <si>
    <t xml:space="preserve">Tiến độ</t>
  </si>
  <si>
    <t xml:space="preserve">Ghi chú</t>
  </si>
  <si>
    <t xml:space="preserve">Kana</t>
  </si>
  <si>
    <t xml:space="preserve">—</t>
  </si>
  <si>
    <r>
      <rPr>
        <b val="true"/>
        <sz val="10"/>
        <rFont val="Arial"/>
        <family val="0"/>
        <charset val="1"/>
      </rPr>
      <t xml:space="preserve">Hiragana: 10 âm mới (</t>
    </r>
    <r>
      <rPr>
        <b val="true"/>
        <sz val="10"/>
        <rFont val="Noto Sans CJK SC"/>
        <family val="2"/>
      </rPr>
      <t xml:space="preserve">あ → こ</t>
    </r>
    <r>
      <rPr>
        <b val="true"/>
        <sz val="10"/>
        <rFont val="Arial"/>
        <family val="0"/>
        <charset val="1"/>
      </rPr>
      <t xml:space="preserve">)</t>
    </r>
  </si>
  <si>
    <t xml:space="preserve">2 từ</t>
  </si>
  <si>
    <t xml:space="preserve">Nghe</t>
  </si>
  <si>
    <r>
      <rPr>
        <b val="true"/>
        <sz val="10"/>
        <rFont val="Arial"/>
        <family val="0"/>
        <charset val="1"/>
      </rPr>
      <t xml:space="preserve">Hiragana: 9 âm mới (</t>
    </r>
    <r>
      <rPr>
        <b val="true"/>
        <sz val="10"/>
        <rFont val="Noto Sans CJK SC"/>
        <family val="2"/>
      </rPr>
      <t xml:space="preserve">さ → て</t>
    </r>
    <r>
      <rPr>
        <b val="true"/>
        <sz val="10"/>
        <rFont val="Arial"/>
        <family val="0"/>
        <charset val="1"/>
      </rPr>
      <t xml:space="preserve">)</t>
    </r>
  </si>
  <si>
    <r>
      <rPr>
        <b val="true"/>
        <sz val="10"/>
        <rFont val="Arial"/>
        <family val="0"/>
        <charset val="1"/>
      </rPr>
      <t xml:space="preserve">Hiragana: 9 âm mới (</t>
    </r>
    <r>
      <rPr>
        <b val="true"/>
        <sz val="10"/>
        <rFont val="Noto Sans CJK SC"/>
        <family val="2"/>
      </rPr>
      <t xml:space="preserve">と → ふ</t>
    </r>
    <r>
      <rPr>
        <b val="true"/>
        <sz val="10"/>
        <rFont val="Arial"/>
        <family val="0"/>
        <charset val="1"/>
      </rPr>
      <t xml:space="preserve">)</t>
    </r>
  </si>
  <si>
    <r>
      <rPr>
        <b val="true"/>
        <sz val="10"/>
        <rFont val="Arial"/>
        <family val="0"/>
        <charset val="1"/>
      </rPr>
      <t xml:space="preserve">Hiragana: 9 âm mới (</t>
    </r>
    <r>
      <rPr>
        <b val="true"/>
        <sz val="10"/>
        <rFont val="Noto Sans CJK SC"/>
        <family val="2"/>
      </rPr>
      <t xml:space="preserve">へ → ゆ</t>
    </r>
    <r>
      <rPr>
        <b val="true"/>
        <sz val="10"/>
        <rFont val="Arial"/>
        <family val="0"/>
        <charset val="1"/>
      </rPr>
      <t xml:space="preserve">)</t>
    </r>
  </si>
  <si>
    <r>
      <rPr>
        <b val="true"/>
        <sz val="10"/>
        <rFont val="Arial"/>
        <family val="0"/>
        <charset val="1"/>
      </rPr>
      <t xml:space="preserve">Hiragana: 9 âm mới (</t>
    </r>
    <r>
      <rPr>
        <b val="true"/>
        <sz val="10"/>
        <rFont val="Noto Sans CJK SC"/>
        <family val="2"/>
      </rPr>
      <t xml:space="preserve">よ → ん</t>
    </r>
    <r>
      <rPr>
        <b val="true"/>
        <sz val="10"/>
        <rFont val="Arial"/>
        <family val="0"/>
        <charset val="1"/>
      </rPr>
      <t xml:space="preserve">)</t>
    </r>
  </si>
  <si>
    <t xml:space="preserve">Hiragana: âm đục, âm bán đục và âm ghép</t>
  </si>
  <si>
    <t xml:space="preserve">Ôn tập &amp; kiểm tra toàn bộ Hiragana</t>
  </si>
  <si>
    <r>
      <rPr>
        <b val="true"/>
        <sz val="10"/>
        <rFont val="Arial"/>
        <family val="0"/>
        <charset val="1"/>
      </rPr>
      <t xml:space="preserve">Katakana: 10 âm mới (</t>
    </r>
    <r>
      <rPr>
        <b val="true"/>
        <sz val="10"/>
        <rFont val="Noto Sans CJK SC"/>
        <family val="2"/>
      </rPr>
      <t xml:space="preserve">ア → コ</t>
    </r>
    <r>
      <rPr>
        <b val="true"/>
        <sz val="10"/>
        <rFont val="Arial"/>
        <family val="0"/>
        <charset val="1"/>
      </rPr>
      <t xml:space="preserve">)</t>
    </r>
  </si>
  <si>
    <r>
      <rPr>
        <b val="true"/>
        <sz val="10"/>
        <rFont val="Arial"/>
        <family val="0"/>
        <charset val="1"/>
      </rPr>
      <t xml:space="preserve">Katakana: 9 âm mới (</t>
    </r>
    <r>
      <rPr>
        <b val="true"/>
        <sz val="10"/>
        <rFont val="Noto Sans CJK SC"/>
        <family val="2"/>
      </rPr>
      <t xml:space="preserve">サ → テ</t>
    </r>
    <r>
      <rPr>
        <b val="true"/>
        <sz val="10"/>
        <rFont val="Arial"/>
        <family val="0"/>
        <charset val="1"/>
      </rPr>
      <t xml:space="preserve">)</t>
    </r>
  </si>
  <si>
    <r>
      <rPr>
        <b val="true"/>
        <sz val="10"/>
        <rFont val="Arial"/>
        <family val="0"/>
        <charset val="1"/>
      </rPr>
      <t xml:space="preserve">Katakana: 9 âm mới (</t>
    </r>
    <r>
      <rPr>
        <b val="true"/>
        <sz val="10"/>
        <rFont val="Noto Sans CJK SC"/>
        <family val="2"/>
      </rPr>
      <t xml:space="preserve">ト → フ</t>
    </r>
    <r>
      <rPr>
        <b val="true"/>
        <sz val="10"/>
        <rFont val="Arial"/>
        <family val="0"/>
        <charset val="1"/>
      </rPr>
      <t xml:space="preserve">)</t>
    </r>
  </si>
  <si>
    <r>
      <rPr>
        <b val="true"/>
        <sz val="10"/>
        <rFont val="Arial"/>
        <family val="0"/>
        <charset val="1"/>
      </rPr>
      <t xml:space="preserve">Katakana: 9 âm mới (</t>
    </r>
    <r>
      <rPr>
        <b val="true"/>
        <sz val="10"/>
        <rFont val="Noto Sans CJK SC"/>
        <family val="2"/>
      </rPr>
      <t xml:space="preserve">ヘ → ユ</t>
    </r>
    <r>
      <rPr>
        <b val="true"/>
        <sz val="10"/>
        <rFont val="Arial"/>
        <family val="0"/>
        <charset val="1"/>
      </rPr>
      <t xml:space="preserve">)</t>
    </r>
  </si>
  <si>
    <r>
      <rPr>
        <b val="true"/>
        <sz val="10"/>
        <rFont val="Arial"/>
        <family val="0"/>
        <charset val="1"/>
      </rPr>
      <t xml:space="preserve">Katakana: 9 âm mới (</t>
    </r>
    <r>
      <rPr>
        <b val="true"/>
        <sz val="10"/>
        <rFont val="Noto Sans CJK SC"/>
        <family val="2"/>
      </rPr>
      <t xml:space="preserve">ヨ → ン</t>
    </r>
    <r>
      <rPr>
        <b val="true"/>
        <sz val="10"/>
        <rFont val="Arial"/>
        <family val="0"/>
        <charset val="1"/>
      </rPr>
      <t xml:space="preserve">)</t>
    </r>
  </si>
  <si>
    <t xml:space="preserve">Katakana: âm đục, âm bán đục và âm ghép</t>
  </si>
  <si>
    <t xml:space="preserve">Ôn tập &amp; kiểm tra toàn bộ Katakana</t>
  </si>
  <si>
    <t xml:space="preserve">Bài 1 (1/2)</t>
  </si>
  <si>
    <t xml:space="preserve">Chào hỏi &amp; Giới thiệu bản thân</t>
  </si>
  <si>
    <t xml:space="preserve">日、一</t>
  </si>
  <si>
    <r>
      <rPr>
        <sz val="10"/>
        <rFont val="Noto Sans CJK SC"/>
        <family val="2"/>
      </rPr>
      <t xml:space="preserve">人 </t>
    </r>
    <r>
      <rPr>
        <sz val="10"/>
        <rFont val="Arial"/>
        <family val="0"/>
        <charset val="1"/>
      </rPr>
      <t xml:space="preserve">/ </t>
    </r>
    <r>
      <rPr>
        <sz val="10"/>
        <rFont val="Noto Sans CJK SC"/>
        <family val="2"/>
      </rPr>
      <t xml:space="preserve">亻</t>
    </r>
  </si>
  <si>
    <t xml:space="preserve">3 mẫu</t>
  </si>
  <si>
    <t xml:space="preserve">7 từ</t>
  </si>
  <si>
    <t xml:space="preserve">Bài 1 (2/2)</t>
  </si>
  <si>
    <t xml:space="preserve">国、会</t>
  </si>
  <si>
    <t xml:space="preserve">口</t>
  </si>
  <si>
    <t xml:space="preserve">2 mẫu</t>
  </si>
  <si>
    <t xml:space="preserve">Bài 2 (1/2)</t>
  </si>
  <si>
    <r>
      <rPr>
        <b val="true"/>
        <sz val="10"/>
        <rFont val="Noto Sans CJK SC"/>
        <family val="2"/>
      </rPr>
      <t xml:space="preserve">これ・それ・あれ — </t>
    </r>
    <r>
      <rPr>
        <b val="true"/>
        <sz val="10"/>
        <rFont val="Arial"/>
        <family val="0"/>
        <charset val="1"/>
      </rPr>
      <t xml:space="preserve">Chỉ đồ vật</t>
    </r>
  </si>
  <si>
    <t xml:space="preserve">人、年</t>
  </si>
  <si>
    <t xml:space="preserve">日</t>
  </si>
  <si>
    <t xml:space="preserve">Đọc</t>
  </si>
  <si>
    <t xml:space="preserve">Bài 2 (2/2)</t>
  </si>
  <si>
    <t xml:space="preserve">大、十</t>
  </si>
  <si>
    <t xml:space="preserve">月</t>
  </si>
  <si>
    <t xml:space="preserve">Bài 3 (1/2)</t>
  </si>
  <si>
    <r>
      <rPr>
        <b val="true"/>
        <sz val="10"/>
        <rFont val="Noto Sans CJK SC"/>
        <family val="2"/>
      </rPr>
      <t xml:space="preserve">ここ・そこ・あそこ — </t>
    </r>
    <r>
      <rPr>
        <b val="true"/>
        <sz val="10"/>
        <rFont val="Arial"/>
        <family val="0"/>
        <charset val="1"/>
      </rPr>
      <t xml:space="preserve">Chỉ nơi chốn</t>
    </r>
  </si>
  <si>
    <t xml:space="preserve">二、本</t>
  </si>
  <si>
    <t xml:space="preserve">木</t>
  </si>
  <si>
    <t xml:space="preserve">Bài 3 (2/2)</t>
  </si>
  <si>
    <t xml:space="preserve">中、長</t>
  </si>
  <si>
    <r>
      <rPr>
        <sz val="10"/>
        <rFont val="Noto Sans CJK SC"/>
        <family val="2"/>
      </rPr>
      <t xml:space="preserve">水 </t>
    </r>
    <r>
      <rPr>
        <sz val="10"/>
        <rFont val="Arial"/>
        <family val="0"/>
        <charset val="1"/>
      </rPr>
      <t xml:space="preserve">/ </t>
    </r>
    <r>
      <rPr>
        <sz val="10"/>
        <rFont val="Noto Sans CJK SC"/>
        <family val="2"/>
      </rPr>
      <t xml:space="preserve">氵</t>
    </r>
  </si>
  <si>
    <t xml:space="preserve">Ôn bài 1–3</t>
  </si>
  <si>
    <t xml:space="preserve">Ôn tập tuần 3 — Minna bài 1–3</t>
  </si>
  <si>
    <t xml:space="preserve">Ôn tuần</t>
  </si>
  <si>
    <r>
      <rPr>
        <sz val="10"/>
        <rFont val="Noto Sans CJK SC"/>
        <family val="2"/>
      </rPr>
      <t xml:space="preserve">練習</t>
    </r>
    <r>
      <rPr>
        <sz val="10"/>
        <rFont val="Arial"/>
        <family val="0"/>
        <charset val="1"/>
      </rPr>
      <t xml:space="preserve">B</t>
    </r>
    <r>
      <rPr>
        <sz val="10"/>
        <rFont val="Noto Sans CJK SC"/>
        <family val="2"/>
      </rPr>
      <t xml:space="preserve">・</t>
    </r>
    <r>
      <rPr>
        <sz val="10"/>
        <rFont val="Arial"/>
        <family val="0"/>
        <charset val="1"/>
      </rPr>
      <t xml:space="preserve">C</t>
    </r>
  </si>
  <si>
    <t xml:space="preserve">Nghe + Đọc</t>
  </si>
  <si>
    <t xml:space="preserve">Bài 4 (1/2)</t>
  </si>
  <si>
    <t xml:space="preserve">Giờ giấc &amp; Thì của động từ</t>
  </si>
  <si>
    <t xml:space="preserve">出、三</t>
  </si>
  <si>
    <r>
      <rPr>
        <sz val="10"/>
        <rFont val="Noto Sans CJK SC"/>
        <family val="2"/>
      </rPr>
      <t xml:space="preserve">火 </t>
    </r>
    <r>
      <rPr>
        <sz val="10"/>
        <rFont val="Arial"/>
        <family val="0"/>
        <charset val="1"/>
      </rPr>
      <t xml:space="preserve">/ </t>
    </r>
    <r>
      <rPr>
        <sz val="10"/>
        <rFont val="Noto Sans CJK SC"/>
        <family val="2"/>
      </rPr>
      <t xml:space="preserve">灬</t>
    </r>
  </si>
  <si>
    <t xml:space="preserve">Bài 4 (2/2)</t>
  </si>
  <si>
    <t xml:space="preserve">時、行</t>
  </si>
  <si>
    <t xml:space="preserve">土</t>
  </si>
  <si>
    <t xml:space="preserve">Bài 5 (1/2)</t>
  </si>
  <si>
    <t xml:space="preserve">Đi lại — Phương tiện &amp; Điểm đến</t>
  </si>
  <si>
    <t xml:space="preserve">社、見</t>
  </si>
  <si>
    <t xml:space="preserve">金</t>
  </si>
  <si>
    <t xml:space="preserve">Bài 5 (2/2)</t>
  </si>
  <si>
    <t xml:space="preserve">月、分</t>
  </si>
  <si>
    <t xml:space="preserve">女</t>
  </si>
  <si>
    <t xml:space="preserve">Bài 6 (1/2)</t>
  </si>
  <si>
    <r>
      <rPr>
        <b val="true"/>
        <sz val="10"/>
        <rFont val="Arial"/>
        <family val="0"/>
        <charset val="1"/>
      </rPr>
      <t xml:space="preserve">Tân ngữ </t>
    </r>
    <r>
      <rPr>
        <b val="true"/>
        <sz val="10"/>
        <rFont val="Noto Sans CJK SC"/>
        <family val="2"/>
      </rPr>
      <t xml:space="preserve">を </t>
    </r>
    <r>
      <rPr>
        <b val="true"/>
        <sz val="10"/>
        <rFont val="Arial"/>
        <family val="0"/>
        <charset val="1"/>
      </rPr>
      <t xml:space="preserve">&amp; Rủ rê</t>
    </r>
  </si>
  <si>
    <t xml:space="preserve">後、前</t>
  </si>
  <si>
    <t xml:space="preserve">子</t>
  </si>
  <si>
    <t xml:space="preserve">Bài 6 (2/2)</t>
  </si>
  <si>
    <t xml:space="preserve">生、五</t>
  </si>
  <si>
    <r>
      <rPr>
        <sz val="10"/>
        <rFont val="Noto Sans CJK SC"/>
        <family val="2"/>
      </rPr>
      <t xml:space="preserve">心 </t>
    </r>
    <r>
      <rPr>
        <sz val="10"/>
        <rFont val="Arial"/>
        <family val="0"/>
        <charset val="1"/>
      </rPr>
      <t xml:space="preserve">/ </t>
    </r>
    <r>
      <rPr>
        <sz val="10"/>
        <rFont val="Noto Sans CJK SC"/>
        <family val="2"/>
      </rPr>
      <t xml:space="preserve">忄</t>
    </r>
  </si>
  <si>
    <t xml:space="preserve">Ôn bài 4–6</t>
  </si>
  <si>
    <t xml:space="preserve">Ôn tập tuần 4 — Minna bài 4–6</t>
  </si>
  <si>
    <t xml:space="preserve">Bài 7 (1/2)</t>
  </si>
  <si>
    <r>
      <rPr>
        <b val="true"/>
        <sz val="10"/>
        <rFont val="Arial"/>
        <family val="0"/>
        <charset val="1"/>
      </rPr>
      <t xml:space="preserve">Cho &amp; Nhận, Công cụ </t>
    </r>
    <r>
      <rPr>
        <b val="true"/>
        <sz val="10"/>
        <rFont val="Noto Sans CJK SC"/>
        <family val="2"/>
      </rPr>
      <t xml:space="preserve">で</t>
    </r>
  </si>
  <si>
    <t xml:space="preserve">間、上</t>
  </si>
  <si>
    <r>
      <rPr>
        <sz val="10"/>
        <rFont val="Noto Sans CJK SC"/>
        <family val="2"/>
      </rPr>
      <t xml:space="preserve">手 </t>
    </r>
    <r>
      <rPr>
        <sz val="10"/>
        <rFont val="Arial"/>
        <family val="0"/>
        <charset val="1"/>
      </rPr>
      <t xml:space="preserve">/ </t>
    </r>
    <r>
      <rPr>
        <sz val="10"/>
        <rFont val="Noto Sans CJK SC"/>
        <family val="2"/>
      </rPr>
      <t xml:space="preserve">扌</t>
    </r>
  </si>
  <si>
    <t xml:space="preserve">Bài 7 (2/2)</t>
  </si>
  <si>
    <t xml:space="preserve">東、四</t>
  </si>
  <si>
    <t xml:space="preserve">目</t>
  </si>
  <si>
    <t xml:space="preserve">Bài 8 (1/2)</t>
  </si>
  <si>
    <t xml:space="preserve">Tính từ</t>
  </si>
  <si>
    <t xml:space="preserve">今、新</t>
  </si>
  <si>
    <t xml:space="preserve">耳</t>
  </si>
  <si>
    <t xml:space="preserve">Bài 8 (2/2)</t>
  </si>
  <si>
    <t xml:space="preserve">金、九</t>
  </si>
  <si>
    <r>
      <rPr>
        <sz val="10"/>
        <rFont val="Noto Sans CJK SC"/>
        <family val="2"/>
      </rPr>
      <t xml:space="preserve">足 </t>
    </r>
    <r>
      <rPr>
        <sz val="10"/>
        <rFont val="Arial"/>
        <family val="0"/>
        <charset val="1"/>
      </rPr>
      <t xml:space="preserve">/ </t>
    </r>
    <r>
      <rPr>
        <sz val="10"/>
        <rFont val="Noto Sans CJK SC"/>
        <family val="2"/>
      </rPr>
      <t xml:space="preserve">⻊</t>
    </r>
  </si>
  <si>
    <t xml:space="preserve">Bài 9 (1/2)</t>
  </si>
  <si>
    <r>
      <rPr>
        <b val="true"/>
        <sz val="10"/>
        <rFont val="Arial"/>
        <family val="0"/>
        <charset val="1"/>
      </rPr>
      <t xml:space="preserve">Thích / Giỏi / Có &amp; Lý do </t>
    </r>
    <r>
      <rPr>
        <b val="true"/>
        <sz val="10"/>
        <rFont val="Noto Sans CJK SC"/>
        <family val="2"/>
      </rPr>
      <t xml:space="preserve">から</t>
    </r>
  </si>
  <si>
    <t xml:space="preserve">入、立</t>
  </si>
  <si>
    <r>
      <rPr>
        <sz val="10"/>
        <rFont val="Noto Sans CJK SC"/>
        <family val="2"/>
      </rPr>
      <t xml:space="preserve">言 </t>
    </r>
    <r>
      <rPr>
        <sz val="10"/>
        <rFont val="Arial"/>
        <family val="0"/>
        <charset val="1"/>
      </rPr>
      <t xml:space="preserve">/ </t>
    </r>
    <r>
      <rPr>
        <sz val="10"/>
        <rFont val="Noto Sans CJK SC"/>
        <family val="2"/>
      </rPr>
      <t xml:space="preserve">訁</t>
    </r>
  </si>
  <si>
    <t xml:space="preserve">Bài 9 (2/2)</t>
  </si>
  <si>
    <t xml:space="preserve">手、学</t>
  </si>
  <si>
    <t xml:space="preserve">車</t>
  </si>
  <si>
    <t xml:space="preserve">Ôn bài 7–9</t>
  </si>
  <si>
    <t xml:space="preserve">Ôn tập tuần 5 — Minna bài 7–9</t>
  </si>
  <si>
    <t xml:space="preserve">Bài 10 (1/2)</t>
  </si>
  <si>
    <r>
      <rPr>
        <b val="true"/>
        <sz val="10"/>
        <rFont val="Arial"/>
        <family val="0"/>
        <charset val="1"/>
      </rPr>
      <t xml:space="preserve">Tồn tại — </t>
    </r>
    <r>
      <rPr>
        <b val="true"/>
        <sz val="10"/>
        <rFont val="Noto Sans CJK SC"/>
        <family val="2"/>
      </rPr>
      <t xml:space="preserve">あります </t>
    </r>
    <r>
      <rPr>
        <b val="true"/>
        <sz val="10"/>
        <rFont val="Arial"/>
        <family val="0"/>
        <charset val="1"/>
      </rPr>
      <t xml:space="preserve">/ </t>
    </r>
    <r>
      <rPr>
        <b val="true"/>
        <sz val="10"/>
        <rFont val="Noto Sans CJK SC"/>
        <family val="2"/>
      </rPr>
      <t xml:space="preserve">います </t>
    </r>
    <r>
      <rPr>
        <b val="true"/>
        <sz val="10"/>
        <rFont val="Arial"/>
        <family val="0"/>
        <charset val="1"/>
      </rPr>
      <t xml:space="preserve">&amp; Vị trí</t>
    </r>
  </si>
  <si>
    <t xml:space="preserve">高、円</t>
  </si>
  <si>
    <t xml:space="preserve">門</t>
  </si>
  <si>
    <t xml:space="preserve">Bài 10 (2/2)</t>
  </si>
  <si>
    <t xml:space="preserve">子、目</t>
  </si>
  <si>
    <r>
      <rPr>
        <sz val="10"/>
        <rFont val="Noto Sans CJK SC"/>
        <family val="2"/>
      </rPr>
      <t xml:space="preserve">食 </t>
    </r>
    <r>
      <rPr>
        <sz val="10"/>
        <rFont val="Arial"/>
        <family val="0"/>
        <charset val="1"/>
      </rPr>
      <t xml:space="preserve">/ </t>
    </r>
    <r>
      <rPr>
        <sz val="10"/>
        <rFont val="Noto Sans CJK SC"/>
        <family val="2"/>
      </rPr>
      <t xml:space="preserve">飠</t>
    </r>
  </si>
  <si>
    <t xml:space="preserve">Bài 11 (1/2)</t>
  </si>
  <si>
    <t xml:space="preserve">Số đếm &amp; Lượng từ</t>
  </si>
  <si>
    <t xml:space="preserve">外、言</t>
  </si>
  <si>
    <t xml:space="preserve">魚</t>
  </si>
  <si>
    <t xml:space="preserve">Bài 11 (2/2)</t>
  </si>
  <si>
    <t xml:space="preserve">八、六</t>
  </si>
  <si>
    <t xml:space="preserve">雨</t>
  </si>
  <si>
    <t xml:space="preserve">Bài 12 (1/2)</t>
  </si>
  <si>
    <t xml:space="preserve">Quá khứ của tính từ &amp; So sánh</t>
  </si>
  <si>
    <t xml:space="preserve">下、来</t>
  </si>
  <si>
    <t xml:space="preserve">山</t>
  </si>
  <si>
    <t xml:space="preserve">Bài 12 (2/2)</t>
  </si>
  <si>
    <t xml:space="preserve">気、小</t>
  </si>
  <si>
    <r>
      <rPr>
        <sz val="10"/>
        <rFont val="Noto Sans CJK SC"/>
        <family val="2"/>
      </rPr>
      <t xml:space="preserve">川 </t>
    </r>
    <r>
      <rPr>
        <sz val="10"/>
        <rFont val="Arial"/>
        <family val="0"/>
        <charset val="1"/>
      </rPr>
      <t xml:space="preserve">/ </t>
    </r>
    <r>
      <rPr>
        <sz val="10"/>
        <rFont val="Noto Sans CJK SC"/>
        <family val="2"/>
      </rPr>
      <t xml:space="preserve">巛</t>
    </r>
  </si>
  <si>
    <t xml:space="preserve">Ôn bài 10–12</t>
  </si>
  <si>
    <t xml:space="preserve">Ôn tập tuần 6 — Minna bài 10–12</t>
  </si>
  <si>
    <t xml:space="preserve">Bài 13 (1/2)</t>
  </si>
  <si>
    <r>
      <rPr>
        <b val="true"/>
        <sz val="10"/>
        <rFont val="Arial"/>
        <family val="0"/>
        <charset val="1"/>
      </rPr>
      <t xml:space="preserve">Mong muốn — </t>
    </r>
    <r>
      <rPr>
        <b val="true"/>
        <sz val="10"/>
        <rFont val="Noto Sans CJK SC"/>
        <family val="2"/>
      </rPr>
      <t xml:space="preserve">たい </t>
    </r>
    <r>
      <rPr>
        <b val="true"/>
        <sz val="10"/>
        <rFont val="Arial"/>
        <family val="0"/>
        <charset val="1"/>
      </rPr>
      <t xml:space="preserve">&amp; </t>
    </r>
    <r>
      <rPr>
        <b val="true"/>
        <sz val="10"/>
        <rFont val="Noto Sans CJK SC"/>
        <family val="2"/>
      </rPr>
      <t xml:space="preserve">ほしい</t>
    </r>
  </si>
  <si>
    <t xml:space="preserve">七、山</t>
  </si>
  <si>
    <t xml:space="preserve">田</t>
  </si>
  <si>
    <t xml:space="preserve">Bài 13 (2/2)</t>
  </si>
  <si>
    <t xml:space="preserve">話、多</t>
  </si>
  <si>
    <t xml:space="preserve">力</t>
  </si>
  <si>
    <t xml:space="preserve">Bài 14 (1/3)</t>
  </si>
  <si>
    <r>
      <rPr>
        <b val="true"/>
        <sz val="10"/>
        <rFont val="Arial"/>
        <family val="0"/>
        <charset val="1"/>
      </rPr>
      <t xml:space="preserve">Thể </t>
    </r>
    <r>
      <rPr>
        <b val="true"/>
        <sz val="10"/>
        <rFont val="Noto Sans CJK SC"/>
        <family val="2"/>
      </rPr>
      <t xml:space="preserve">て </t>
    </r>
    <r>
      <rPr>
        <b val="true"/>
        <sz val="10"/>
        <rFont val="Arial"/>
        <family val="0"/>
        <charset val="1"/>
      </rPr>
      <t xml:space="preserve">&amp; Yêu cầu</t>
    </r>
  </si>
  <si>
    <t xml:space="preserve">安、女</t>
  </si>
  <si>
    <t xml:space="preserve">大</t>
  </si>
  <si>
    <t xml:space="preserve">5 từ</t>
  </si>
  <si>
    <t xml:space="preserve">Bài 14 (2/3)</t>
  </si>
  <si>
    <t xml:space="preserve">北、午</t>
  </si>
  <si>
    <t xml:space="preserve">小</t>
  </si>
  <si>
    <t xml:space="preserve">1 mẫu</t>
  </si>
  <si>
    <t xml:space="preserve">Bài 14 (3/3)</t>
  </si>
  <si>
    <t xml:space="preserve">百、書</t>
  </si>
  <si>
    <t xml:space="preserve">宀</t>
  </si>
  <si>
    <t xml:space="preserve">4 từ</t>
  </si>
  <si>
    <t xml:space="preserve">Bài 15 (1/2)</t>
  </si>
  <si>
    <t xml:space="preserve">Cho phép &amp; Cấm đoán</t>
  </si>
  <si>
    <t xml:space="preserve">先、名</t>
  </si>
  <si>
    <t xml:space="preserve">艹</t>
  </si>
  <si>
    <t xml:space="preserve">Ôn bài 13–14</t>
  </si>
  <si>
    <t xml:space="preserve">Ôn tập tuần 7 — Minna bài 13–14</t>
  </si>
  <si>
    <t xml:space="preserve">Bài 15 (2/2)</t>
  </si>
  <si>
    <t xml:space="preserve">川、千</t>
  </si>
  <si>
    <t xml:space="preserve">辶</t>
  </si>
  <si>
    <t xml:space="preserve">Bài 16 (1/2)</t>
  </si>
  <si>
    <r>
      <rPr>
        <b val="true"/>
        <sz val="10"/>
        <rFont val="Arial"/>
        <family val="0"/>
        <charset val="1"/>
      </rPr>
      <t xml:space="preserve">Nối câu bằng thể </t>
    </r>
    <r>
      <rPr>
        <b val="true"/>
        <sz val="10"/>
        <rFont val="Noto Sans CJK SC"/>
        <family val="2"/>
      </rPr>
      <t xml:space="preserve">て</t>
    </r>
  </si>
  <si>
    <t xml:space="preserve">道、水</t>
  </si>
  <si>
    <t xml:space="preserve">彳</t>
  </si>
  <si>
    <t xml:space="preserve">Bài 16 (2/2)</t>
  </si>
  <si>
    <t xml:space="preserve">半、男</t>
  </si>
  <si>
    <t xml:space="preserve">广</t>
  </si>
  <si>
    <t xml:space="preserve">Bài 17 (1/3)</t>
  </si>
  <si>
    <r>
      <rPr>
        <b val="true"/>
        <sz val="10"/>
        <rFont val="Arial"/>
        <family val="0"/>
        <charset val="1"/>
      </rPr>
      <t xml:space="preserve">Thể </t>
    </r>
    <r>
      <rPr>
        <b val="true"/>
        <sz val="10"/>
        <rFont val="Noto Sans CJK SC"/>
        <family val="2"/>
      </rPr>
      <t xml:space="preserve">ない — </t>
    </r>
    <r>
      <rPr>
        <b val="true"/>
        <sz val="10"/>
        <rFont val="Arial"/>
        <family val="0"/>
        <charset val="1"/>
      </rPr>
      <t xml:space="preserve">Cấm, Bắt buộc, Không cần</t>
    </r>
  </si>
  <si>
    <t xml:space="preserve">西、電</t>
  </si>
  <si>
    <t xml:space="preserve">儿</t>
  </si>
  <si>
    <t xml:space="preserve">Bài 17 (2/3)</t>
  </si>
  <si>
    <t xml:space="preserve">口、少</t>
  </si>
  <si>
    <t xml:space="preserve">十</t>
  </si>
  <si>
    <t xml:space="preserve">Bài 17 (3/3)</t>
  </si>
  <si>
    <t xml:space="preserve">校、語</t>
  </si>
  <si>
    <t xml:space="preserve">白</t>
  </si>
  <si>
    <t xml:space="preserve">Ôn bài 15–17</t>
  </si>
  <si>
    <t xml:space="preserve">Ôn tập tuần 8 — Minna bài 15–17</t>
  </si>
  <si>
    <t xml:space="preserve">Bài 18 (1/2)</t>
  </si>
  <si>
    <t xml:space="preserve">Thể từ điển &amp; Khả năng</t>
  </si>
  <si>
    <t xml:space="preserve">空、土</t>
  </si>
  <si>
    <t xml:space="preserve">立</t>
  </si>
  <si>
    <t xml:space="preserve">Bài 18 (2/2)</t>
  </si>
  <si>
    <t xml:space="preserve">木、聞</t>
  </si>
  <si>
    <t xml:space="preserve">馬</t>
  </si>
  <si>
    <t xml:space="preserve">Bài 19 (1/3)</t>
  </si>
  <si>
    <r>
      <rPr>
        <b val="true"/>
        <sz val="10"/>
        <rFont val="Arial"/>
        <family val="0"/>
        <charset val="1"/>
      </rPr>
      <t xml:space="preserve">Thể </t>
    </r>
    <r>
      <rPr>
        <b val="true"/>
        <sz val="10"/>
        <rFont val="Noto Sans CJK SC"/>
        <family val="2"/>
      </rPr>
      <t xml:space="preserve">た — </t>
    </r>
    <r>
      <rPr>
        <b val="true"/>
        <sz val="10"/>
        <rFont val="Arial"/>
        <family val="0"/>
        <charset val="1"/>
      </rPr>
      <t xml:space="preserve">Kinh nghiệm &amp; Liệt kê</t>
    </r>
  </si>
  <si>
    <t xml:space="preserve">食、車</t>
  </si>
  <si>
    <t xml:space="preserve">貝</t>
  </si>
  <si>
    <t xml:space="preserve">Bài 19 (2/3)</t>
  </si>
  <si>
    <t xml:space="preserve">何、南</t>
  </si>
  <si>
    <t xml:space="preserve">糸</t>
  </si>
  <si>
    <t xml:space="preserve">Bài 19 (3/3)</t>
  </si>
  <si>
    <t xml:space="preserve">足、万</t>
  </si>
  <si>
    <t xml:space="preserve">米</t>
  </si>
  <si>
    <t xml:space="preserve">Bài 20 (1/3)</t>
  </si>
  <si>
    <r>
      <rPr>
        <b val="true"/>
        <sz val="10"/>
        <rFont val="Arial"/>
        <family val="0"/>
        <charset val="1"/>
      </rPr>
      <t xml:space="preserve">Thể thông thường (</t>
    </r>
    <r>
      <rPr>
        <b val="true"/>
        <sz val="10"/>
        <rFont val="Noto Sans CJK SC"/>
        <family val="2"/>
      </rPr>
      <t xml:space="preserve">普通形</t>
    </r>
    <r>
      <rPr>
        <b val="true"/>
        <sz val="10"/>
        <rFont val="Arial"/>
        <family val="0"/>
        <charset val="1"/>
      </rPr>
      <t xml:space="preserve">)</t>
    </r>
  </si>
  <si>
    <t xml:space="preserve">店、毎</t>
  </si>
  <si>
    <t xml:space="preserve">生</t>
  </si>
  <si>
    <t xml:space="preserve">Ôn bài 18–19</t>
  </si>
  <si>
    <t xml:space="preserve">Ôn tập tuần 9 — Minna bài 18–19</t>
  </si>
  <si>
    <t xml:space="preserve">Bài 20 (2/3)</t>
  </si>
  <si>
    <t xml:space="preserve">白、古</t>
  </si>
  <si>
    <t xml:space="preserve">一</t>
  </si>
  <si>
    <t xml:space="preserve">Bài 20 (3/3)</t>
  </si>
  <si>
    <t xml:space="preserve">天、買</t>
  </si>
  <si>
    <t xml:space="preserve">亠</t>
  </si>
  <si>
    <t xml:space="preserve">Bài 21 (1/2)</t>
  </si>
  <si>
    <r>
      <rPr>
        <b val="true"/>
        <sz val="10"/>
        <rFont val="Arial"/>
        <family val="0"/>
        <charset val="1"/>
      </rPr>
      <t xml:space="preserve">Ý kiến — </t>
    </r>
    <r>
      <rPr>
        <b val="true"/>
        <sz val="10"/>
        <rFont val="Noto Sans CJK SC"/>
        <family val="2"/>
      </rPr>
      <t xml:space="preserve">と 思います </t>
    </r>
    <r>
      <rPr>
        <b val="true"/>
        <sz val="10"/>
        <rFont val="Arial"/>
        <family val="0"/>
        <charset val="1"/>
      </rPr>
      <t xml:space="preserve">/ </t>
    </r>
    <r>
      <rPr>
        <b val="true"/>
        <sz val="10"/>
        <rFont val="Noto Sans CJK SC"/>
        <family val="2"/>
      </rPr>
      <t xml:space="preserve">と 言います</t>
    </r>
  </si>
  <si>
    <t xml:space="preserve">週、母</t>
  </si>
  <si>
    <t xml:space="preserve">尸</t>
  </si>
  <si>
    <t xml:space="preserve">Bài 21 (2/2)</t>
  </si>
  <si>
    <t xml:space="preserve">火、花</t>
  </si>
  <si>
    <t xml:space="preserve">ôn</t>
  </si>
  <si>
    <t xml:space="preserve">Bài 22 (1/2)</t>
  </si>
  <si>
    <t xml:space="preserve">Mệnh đề bổ nghĩa danh từ</t>
  </si>
  <si>
    <t xml:space="preserve">右、読</t>
  </si>
  <si>
    <t xml:space="preserve">Bài 22 (2/2)</t>
  </si>
  <si>
    <t xml:space="preserve">友、左</t>
  </si>
  <si>
    <t xml:space="preserve">Ôn bài 20–22</t>
  </si>
  <si>
    <t xml:space="preserve">Ôn tập tuần 10 — Minna bài 20–22</t>
  </si>
  <si>
    <t xml:space="preserve">Bài 23 (1/2)</t>
  </si>
  <si>
    <r>
      <rPr>
        <b val="true"/>
        <sz val="10"/>
        <rFont val="Noto Sans CJK SC"/>
        <family val="2"/>
      </rPr>
      <t xml:space="preserve">とき </t>
    </r>
    <r>
      <rPr>
        <b val="true"/>
        <sz val="10"/>
        <rFont val="Arial"/>
        <family val="0"/>
        <charset val="1"/>
      </rPr>
      <t xml:space="preserve">&amp; Điều kiện </t>
    </r>
    <r>
      <rPr>
        <b val="true"/>
        <sz val="10"/>
        <rFont val="Noto Sans CJK SC"/>
        <family val="2"/>
      </rPr>
      <t xml:space="preserve">と</t>
    </r>
  </si>
  <si>
    <t xml:space="preserve">休、父</t>
  </si>
  <si>
    <t xml:space="preserve">Bài 23 (2/2)</t>
  </si>
  <si>
    <t xml:space="preserve">駅</t>
  </si>
  <si>
    <t xml:space="preserve">Bài 24 (1/2)</t>
  </si>
  <si>
    <r>
      <rPr>
        <b val="true"/>
        <sz val="10"/>
        <rFont val="Arial"/>
        <family val="0"/>
        <charset val="1"/>
      </rPr>
      <t xml:space="preserve">Cho &amp; Nhận nâng cao — </t>
    </r>
    <r>
      <rPr>
        <b val="true"/>
        <sz val="10"/>
        <rFont val="Noto Sans CJK SC"/>
        <family val="2"/>
      </rPr>
      <t xml:space="preserve">てあげる </t>
    </r>
    <r>
      <rPr>
        <b val="true"/>
        <sz val="10"/>
        <rFont val="Arial"/>
        <family val="0"/>
        <charset val="1"/>
      </rPr>
      <t xml:space="preserve">/ </t>
    </r>
    <r>
      <rPr>
        <b val="true"/>
        <sz val="10"/>
        <rFont val="Noto Sans CJK SC"/>
        <family val="2"/>
      </rPr>
      <t xml:space="preserve">てもらう </t>
    </r>
    <r>
      <rPr>
        <b val="true"/>
        <sz val="10"/>
        <rFont val="Arial"/>
        <family val="0"/>
        <charset val="1"/>
      </rPr>
      <t xml:space="preserve">/ </t>
    </r>
    <r>
      <rPr>
        <b val="true"/>
        <sz val="10"/>
        <rFont val="Noto Sans CJK SC"/>
        <family val="2"/>
      </rPr>
      <t xml:space="preserve">てくれる</t>
    </r>
  </si>
  <si>
    <t xml:space="preserve">Bài 24 (2/2)</t>
  </si>
  <si>
    <t xml:space="preserve">飲</t>
  </si>
  <si>
    <t xml:space="preserve">Bài 25 (1/2)</t>
  </si>
  <si>
    <r>
      <rPr>
        <b val="true"/>
        <sz val="10"/>
        <rFont val="Arial"/>
        <family val="0"/>
        <charset val="1"/>
      </rPr>
      <t xml:space="preserve">Giả định — </t>
    </r>
    <r>
      <rPr>
        <b val="true"/>
        <sz val="10"/>
        <rFont val="Noto Sans CJK SC"/>
        <family val="2"/>
      </rPr>
      <t xml:space="preserve">たら </t>
    </r>
    <r>
      <rPr>
        <b val="true"/>
        <sz val="10"/>
        <rFont val="Arial"/>
        <family val="0"/>
        <charset val="1"/>
      </rPr>
      <t xml:space="preserve">&amp; </t>
    </r>
    <r>
      <rPr>
        <b val="true"/>
        <sz val="10"/>
        <rFont val="Noto Sans CJK SC"/>
        <family val="2"/>
      </rPr>
      <t xml:space="preserve">ても</t>
    </r>
  </si>
  <si>
    <t xml:space="preserve">Bài 25 (2/2)</t>
  </si>
  <si>
    <t xml:space="preserve">Ôn bài 23–25</t>
  </si>
  <si>
    <t xml:space="preserve">Ôn tập tuần 11 — Minna bài 23–25</t>
  </si>
  <si>
    <t xml:space="preserve">Ôn thi</t>
  </si>
  <si>
    <t xml:space="preserve">Tổng ôn</t>
  </si>
  <si>
    <t xml:space="preserve">Tổng ôn Kanji vòng 1</t>
  </si>
  <si>
    <t xml:space="preserve">Ôn / Thi thử</t>
  </si>
  <si>
    <t xml:space="preserve">Tổng ôn trợ từ (Minna bài 1–10)</t>
  </si>
  <si>
    <t xml:space="preserve">Tổng ôn tính từ &amp; so sánh (bài 8, 12, 16)</t>
  </si>
  <si>
    <t xml:space="preserve">Tổng ôn chia động từ (bài 14, 17, 18, 19)</t>
  </si>
  <si>
    <t xml:space="preserve">Luyện dạng đề: Chữ Hán – Từ vựng</t>
  </si>
  <si>
    <t xml:space="preserve">Luyện dạng đề: Ngữ pháp – Đọc hiểu</t>
  </si>
  <si>
    <t xml:space="preserve">🎯 ĐỀ THI THỬ SỐ 1 — full, bấm giờ</t>
  </si>
  <si>
    <t xml:space="preserve">Chữa đề số 1</t>
  </si>
  <si>
    <t xml:space="preserve">Vá lỗ hổng phần yếu nhất</t>
  </si>
  <si>
    <t xml:space="preserve">Tổng duyệt trước đề 2</t>
  </si>
  <si>
    <t xml:space="preserve">🎯 ĐỀ THI THỬ SỐ 2 — full, bấm giờ</t>
  </si>
  <si>
    <t xml:space="preserve">Chữa đề 2 + chốt sổ tay</t>
  </si>
  <si>
    <t xml:space="preserve">Ngày cuối — nghỉ ngơi, giữ sức</t>
  </si>
  <si>
    <t xml:space="preserve">GIAI ĐOẠN 1 · NGÀY 1–14 · BẢNG CHỮ CÁI</t>
  </si>
  <si>
    <t xml:space="preserve">Mục</t>
  </si>
  <si>
    <t xml:space="preserve">Việc cần làm hôm nay</t>
  </si>
  <si>
    <t xml:space="preserve">Trạng thái</t>
  </si>
  <si>
    <r>
      <rPr>
        <b val="true"/>
        <sz val="12"/>
        <color rgb="FF1F3864"/>
        <rFont val="Arial"/>
        <family val="0"/>
        <charset val="1"/>
      </rPr>
      <t xml:space="preserve">NGÀY 1  ·  Tuần 1  ·  Hiragana: 10 âm mới (</t>
    </r>
    <r>
      <rPr>
        <b val="true"/>
        <sz val="12"/>
        <color rgb="FF1F3864"/>
        <rFont val="Noto Sans CJK SC"/>
        <family val="2"/>
      </rPr>
      <t xml:space="preserve">あ → こ</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</si>
  <si>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b val="true"/>
        <sz val="10"/>
        <rFont val="Noto Sans CJK SC"/>
        <family val="2"/>
      </rPr>
      <t xml:space="preserve">あ  </t>
    </r>
    <r>
      <rPr>
        <b val="true"/>
        <sz val="10"/>
        <rFont val="Arial"/>
        <family val="0"/>
        <charset val="1"/>
      </rPr>
      <t xml:space="preserve">Học chữ mới</t>
    </r>
  </si>
  <si>
    <r>
      <rPr>
        <sz val="10"/>
        <rFont val="Arial"/>
        <family val="0"/>
        <charset val="1"/>
      </rPr>
      <t xml:space="preserve">Học 10 âm: </t>
    </r>
    <r>
      <rPr>
        <sz val="10"/>
        <rFont val="Noto Sans CJK SC"/>
        <family val="2"/>
      </rPr>
      <t xml:space="preserve">あ </t>
    </r>
    <r>
      <rPr>
        <sz val="10"/>
        <rFont val="Arial"/>
        <family val="0"/>
        <charset val="1"/>
      </rPr>
      <t xml:space="preserve">(a)  </t>
    </r>
    <r>
      <rPr>
        <sz val="10"/>
        <rFont val="Noto Sans CJK SC"/>
        <family val="2"/>
      </rPr>
      <t xml:space="preserve">い </t>
    </r>
    <r>
      <rPr>
        <sz val="10"/>
        <rFont val="Arial"/>
        <family val="0"/>
        <charset val="1"/>
      </rPr>
      <t xml:space="preserve">(i)  </t>
    </r>
    <r>
      <rPr>
        <sz val="10"/>
        <rFont val="Noto Sans CJK SC"/>
        <family val="2"/>
      </rPr>
      <t xml:space="preserve">う </t>
    </r>
    <r>
      <rPr>
        <sz val="10"/>
        <rFont val="Arial"/>
        <family val="0"/>
        <charset val="1"/>
      </rPr>
      <t xml:space="preserve">(u)  </t>
    </r>
    <r>
      <rPr>
        <sz val="10"/>
        <rFont val="Noto Sans CJK SC"/>
        <family val="2"/>
      </rPr>
      <t xml:space="preserve">え </t>
    </r>
    <r>
      <rPr>
        <sz val="10"/>
        <rFont val="Arial"/>
        <family val="0"/>
        <charset val="1"/>
      </rPr>
      <t xml:space="preserve">(e)  </t>
    </r>
    <r>
      <rPr>
        <sz val="10"/>
        <rFont val="Noto Sans CJK SC"/>
        <family val="2"/>
      </rPr>
      <t xml:space="preserve">お </t>
    </r>
    <r>
      <rPr>
        <sz val="10"/>
        <rFont val="Arial"/>
        <family val="0"/>
        <charset val="1"/>
      </rPr>
      <t xml:space="preserve">(o)  </t>
    </r>
    <r>
      <rPr>
        <sz val="10"/>
        <rFont val="Noto Sans CJK SC"/>
        <family val="2"/>
      </rPr>
      <t xml:space="preserve">か </t>
    </r>
    <r>
      <rPr>
        <sz val="10"/>
        <rFont val="Arial"/>
        <family val="0"/>
        <charset val="1"/>
      </rPr>
      <t xml:space="preserve">(ka)  </t>
    </r>
    <r>
      <rPr>
        <sz val="10"/>
        <rFont val="Noto Sans CJK SC"/>
        <family val="2"/>
      </rPr>
      <t xml:space="preserve">き </t>
    </r>
    <r>
      <rPr>
        <sz val="10"/>
        <rFont val="Arial"/>
        <family val="0"/>
        <charset val="1"/>
      </rPr>
      <t xml:space="preserve">(ki)  </t>
    </r>
    <r>
      <rPr>
        <sz val="10"/>
        <rFont val="Noto Sans CJK SC"/>
        <family val="2"/>
      </rPr>
      <t xml:space="preserve">く </t>
    </r>
    <r>
      <rPr>
        <sz val="10"/>
        <rFont val="Arial"/>
        <family val="0"/>
        <charset val="1"/>
      </rPr>
      <t xml:space="preserve">(ku)  </t>
    </r>
    <r>
      <rPr>
        <sz val="10"/>
        <rFont val="Noto Sans CJK SC"/>
        <family val="2"/>
      </rPr>
      <t xml:space="preserve">け </t>
    </r>
    <r>
      <rPr>
        <sz val="10"/>
        <rFont val="Arial"/>
        <family val="0"/>
        <charset val="1"/>
      </rPr>
      <t xml:space="preserve">(ke)  </t>
    </r>
    <r>
      <rPr>
        <sz val="10"/>
        <rFont val="Noto Sans CJK SC"/>
        <family val="2"/>
      </rPr>
      <t xml:space="preserve">こ </t>
    </r>
    <r>
      <rPr>
        <sz val="10"/>
        <rFont val="Arial"/>
        <family val="0"/>
        <charset val="1"/>
      </rPr>
      <t xml:space="preserve">(ko). Xem thứ tự nét trước khi viết. Mẹo nhớ hình dáng từng chữ có ở sheet '7. Bảng chữ cái'.</t>
    </r>
  </si>
  <si>
    <t xml:space="preserve">Chưa học</t>
  </si>
  <si>
    <t xml:space="preserve">✎  Viết tay</t>
  </si>
  <si>
    <t xml:space="preserve">Viết mỗi âm 10 lần trên giấy kẻ ô, vừa viết vừa đọc to.</t>
  </si>
  <si>
    <t xml:space="preserve">?  Tự kiểm tra</t>
  </si>
  <si>
    <t xml:space="preserve">Che romaji, nhìn chữ đọc âm. Rồi che chữ, nghe âm viết chữ.</t>
  </si>
  <si>
    <r>
      <rPr>
        <b val="true"/>
        <sz val="10"/>
        <rFont val="Noto Sans CJK SC"/>
        <family val="2"/>
      </rPr>
      <t xml:space="preserve">語  </t>
    </r>
    <r>
      <rPr>
        <b val="true"/>
        <sz val="10"/>
        <rFont val="Arial"/>
        <family val="0"/>
        <charset val="1"/>
      </rPr>
      <t xml:space="preserve">Từ vựng</t>
    </r>
  </si>
  <si>
    <r>
      <rPr>
        <sz val="10"/>
        <rFont val="Arial"/>
        <family val="0"/>
        <charset val="1"/>
      </rPr>
      <t xml:space="preserve">Học 2 từ mới: </t>
    </r>
    <r>
      <rPr>
        <sz val="10"/>
        <rFont val="Noto Sans CJK SC"/>
        <family val="2"/>
      </rPr>
      <t xml:space="preserve">おはようございます </t>
    </r>
    <r>
      <rPr>
        <sz val="10"/>
        <rFont val="Arial"/>
        <family val="0"/>
        <charset val="1"/>
      </rPr>
      <t xml:space="preserve">(chào buổi sáng) </t>
    </r>
    <r>
      <rPr>
        <sz val="10"/>
        <rFont val="Noto Sans CJK SC"/>
        <family val="2"/>
      </rPr>
      <t xml:space="preserve">・ こんにちは </t>
    </r>
    <r>
      <rPr>
        <sz val="10"/>
        <rFont val="Arial"/>
        <family val="0"/>
        <charset val="1"/>
      </rPr>
      <t xml:space="preserve">(xin chào)</t>
    </r>
  </si>
  <si>
    <r>
      <rPr>
        <b val="true"/>
        <sz val="10"/>
        <rFont val="Noto Sans CJK SC"/>
        <family val="2"/>
      </rPr>
      <t xml:space="preserve">耳  </t>
    </r>
    <r>
      <rPr>
        <b val="true"/>
        <sz val="10"/>
        <rFont val="Arial"/>
        <family val="0"/>
        <charset val="1"/>
      </rPr>
      <t xml:space="preserve">Nghe</t>
    </r>
  </si>
  <si>
    <t xml:space="preserve">Nghe phát âm chuẩn các âm hôm nay 3 lượt, nhắc theo.</t>
  </si>
  <si>
    <r>
      <rPr>
        <b val="true"/>
        <sz val="12"/>
        <color rgb="FF1F3864"/>
        <rFont val="Arial"/>
        <family val="0"/>
        <charset val="1"/>
      </rPr>
      <t xml:space="preserve">NGÀY 2  ·  Tuần 1  ·  Hiragana: 9 âm mới (</t>
    </r>
    <r>
      <rPr>
        <b val="true"/>
        <sz val="12"/>
        <color rgb="FF1F3864"/>
        <rFont val="Noto Sans CJK SC"/>
        <family val="2"/>
      </rPr>
      <t xml:space="preserve">さ → て</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</si>
  <si>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9 âm: </t>
    </r>
    <r>
      <rPr>
        <sz val="10"/>
        <rFont val="Noto Sans CJK SC"/>
        <family val="2"/>
      </rPr>
      <t xml:space="preserve">さ </t>
    </r>
    <r>
      <rPr>
        <sz val="10"/>
        <rFont val="Arial"/>
        <family val="0"/>
        <charset val="1"/>
      </rPr>
      <t xml:space="preserve">(sa)  </t>
    </r>
    <r>
      <rPr>
        <sz val="10"/>
        <rFont val="Noto Sans CJK SC"/>
        <family val="2"/>
      </rPr>
      <t xml:space="preserve">し </t>
    </r>
    <r>
      <rPr>
        <sz val="10"/>
        <rFont val="Arial"/>
        <family val="0"/>
        <charset val="1"/>
      </rPr>
      <t xml:space="preserve">(shi)  </t>
    </r>
    <r>
      <rPr>
        <sz val="10"/>
        <rFont val="Noto Sans CJK SC"/>
        <family val="2"/>
      </rPr>
      <t xml:space="preserve">す </t>
    </r>
    <r>
      <rPr>
        <sz val="10"/>
        <rFont val="Arial"/>
        <family val="0"/>
        <charset val="1"/>
      </rPr>
      <t xml:space="preserve">(su)  </t>
    </r>
    <r>
      <rPr>
        <sz val="10"/>
        <rFont val="Noto Sans CJK SC"/>
        <family val="2"/>
      </rPr>
      <t xml:space="preserve">せ </t>
    </r>
    <r>
      <rPr>
        <sz val="10"/>
        <rFont val="Arial"/>
        <family val="0"/>
        <charset val="1"/>
      </rPr>
      <t xml:space="preserve">(se)  </t>
    </r>
    <r>
      <rPr>
        <sz val="10"/>
        <rFont val="Noto Sans CJK SC"/>
        <family val="2"/>
      </rPr>
      <t xml:space="preserve">そ </t>
    </r>
    <r>
      <rPr>
        <sz val="10"/>
        <rFont val="Arial"/>
        <family val="0"/>
        <charset val="1"/>
      </rPr>
      <t xml:space="preserve">(so)  </t>
    </r>
    <r>
      <rPr>
        <sz val="10"/>
        <rFont val="Noto Sans CJK SC"/>
        <family val="2"/>
      </rPr>
      <t xml:space="preserve">た </t>
    </r>
    <r>
      <rPr>
        <sz val="10"/>
        <rFont val="Arial"/>
        <family val="0"/>
        <charset val="1"/>
      </rPr>
      <t xml:space="preserve">(ta)  </t>
    </r>
    <r>
      <rPr>
        <sz val="10"/>
        <rFont val="Noto Sans CJK SC"/>
        <family val="2"/>
      </rPr>
      <t xml:space="preserve">ち </t>
    </r>
    <r>
      <rPr>
        <sz val="10"/>
        <rFont val="Arial"/>
        <family val="0"/>
        <charset val="1"/>
      </rPr>
      <t xml:space="preserve">(chi)  </t>
    </r>
    <r>
      <rPr>
        <sz val="10"/>
        <rFont val="Noto Sans CJK SC"/>
        <family val="2"/>
      </rPr>
      <t xml:space="preserve">つ </t>
    </r>
    <r>
      <rPr>
        <sz val="10"/>
        <rFont val="Arial"/>
        <family val="0"/>
        <charset val="1"/>
      </rPr>
      <t xml:space="preserve">(tsu)  </t>
    </r>
    <r>
      <rPr>
        <sz val="10"/>
        <rFont val="Noto Sans CJK SC"/>
        <family val="2"/>
      </rPr>
      <t xml:space="preserve">て </t>
    </r>
    <r>
      <rPr>
        <sz val="10"/>
        <rFont val="Arial"/>
        <family val="0"/>
        <charset val="1"/>
      </rPr>
      <t xml:space="preserve">(te). Xem thứ tự nét trước khi viết. Mẹo nhớ hình dáng từng chữ có ở sheet '7. Bảng chữ cái'.</t>
    </r>
  </si>
  <si>
    <r>
      <rPr>
        <sz val="10"/>
        <rFont val="Arial"/>
        <family val="0"/>
        <charset val="1"/>
      </rPr>
      <t xml:space="preserve">Học 2 từ mới: </t>
    </r>
    <r>
      <rPr>
        <sz val="10"/>
        <rFont val="Noto Sans CJK SC"/>
        <family val="2"/>
      </rPr>
      <t xml:space="preserve">こんばんは </t>
    </r>
    <r>
      <rPr>
        <sz val="10"/>
        <rFont val="Arial"/>
        <family val="0"/>
        <charset val="1"/>
      </rPr>
      <t xml:space="preserve">(chào buổi tối) </t>
    </r>
    <r>
      <rPr>
        <sz val="10"/>
        <rFont val="Noto Sans CJK SC"/>
        <family val="2"/>
      </rPr>
      <t xml:space="preserve">・ さようなら </t>
    </r>
    <r>
      <rPr>
        <sz val="10"/>
        <rFont val="Arial"/>
        <family val="0"/>
        <charset val="1"/>
      </rPr>
      <t xml:space="preserve">(tạm biệt)</t>
    </r>
  </si>
  <si>
    <r>
      <rPr>
        <b val="true"/>
        <sz val="12"/>
        <color rgb="FF1F3864"/>
        <rFont val="Arial"/>
        <family val="0"/>
        <charset val="1"/>
      </rPr>
      <t xml:space="preserve">NGÀY 3  ·  Tuần 1  ·  Hiragana: 9 âm mới (</t>
    </r>
    <r>
      <rPr>
        <b val="true"/>
        <sz val="12"/>
        <color rgb="FF1F3864"/>
        <rFont val="Noto Sans CJK SC"/>
        <family val="2"/>
      </rPr>
      <t xml:space="preserve">と → ふ</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</si>
  <si>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9 âm: </t>
    </r>
    <r>
      <rPr>
        <sz val="10"/>
        <rFont val="Noto Sans CJK SC"/>
        <family val="2"/>
      </rPr>
      <t xml:space="preserve">と </t>
    </r>
    <r>
      <rPr>
        <sz val="10"/>
        <rFont val="Arial"/>
        <family val="0"/>
        <charset val="1"/>
      </rPr>
      <t xml:space="preserve">(to)  </t>
    </r>
    <r>
      <rPr>
        <sz val="10"/>
        <rFont val="Noto Sans CJK SC"/>
        <family val="2"/>
      </rPr>
      <t xml:space="preserve">な </t>
    </r>
    <r>
      <rPr>
        <sz val="10"/>
        <rFont val="Arial"/>
        <family val="0"/>
        <charset val="1"/>
      </rPr>
      <t xml:space="preserve">(na)  </t>
    </r>
    <r>
      <rPr>
        <sz val="10"/>
        <rFont val="Noto Sans CJK SC"/>
        <family val="2"/>
      </rPr>
      <t xml:space="preserve">に </t>
    </r>
    <r>
      <rPr>
        <sz val="10"/>
        <rFont val="Arial"/>
        <family val="0"/>
        <charset val="1"/>
      </rPr>
      <t xml:space="preserve">(ni)  </t>
    </r>
    <r>
      <rPr>
        <sz val="10"/>
        <rFont val="Noto Sans CJK SC"/>
        <family val="2"/>
      </rPr>
      <t xml:space="preserve">ぬ </t>
    </r>
    <r>
      <rPr>
        <sz val="10"/>
        <rFont val="Arial"/>
        <family val="0"/>
        <charset val="1"/>
      </rPr>
      <t xml:space="preserve">(nu)  </t>
    </r>
    <r>
      <rPr>
        <sz val="10"/>
        <rFont val="Noto Sans CJK SC"/>
        <family val="2"/>
      </rPr>
      <t xml:space="preserve">ね </t>
    </r>
    <r>
      <rPr>
        <sz val="10"/>
        <rFont val="Arial"/>
        <family val="0"/>
        <charset val="1"/>
      </rPr>
      <t xml:space="preserve">(ne)  </t>
    </r>
    <r>
      <rPr>
        <sz val="10"/>
        <rFont val="Noto Sans CJK SC"/>
        <family val="2"/>
      </rPr>
      <t xml:space="preserve">の </t>
    </r>
    <r>
      <rPr>
        <sz val="10"/>
        <rFont val="Arial"/>
        <family val="0"/>
        <charset val="1"/>
      </rPr>
      <t xml:space="preserve">(no)  </t>
    </r>
    <r>
      <rPr>
        <sz val="10"/>
        <rFont val="Noto Sans CJK SC"/>
        <family val="2"/>
      </rPr>
      <t xml:space="preserve">は </t>
    </r>
    <r>
      <rPr>
        <sz val="10"/>
        <rFont val="Arial"/>
        <family val="0"/>
        <charset val="1"/>
      </rPr>
      <t xml:space="preserve">(ha)  </t>
    </r>
    <r>
      <rPr>
        <sz val="10"/>
        <rFont val="Noto Sans CJK SC"/>
        <family val="2"/>
      </rPr>
      <t xml:space="preserve">ひ </t>
    </r>
    <r>
      <rPr>
        <sz val="10"/>
        <rFont val="Arial"/>
        <family val="0"/>
        <charset val="1"/>
      </rPr>
      <t xml:space="preserve">(hi)  </t>
    </r>
    <r>
      <rPr>
        <sz val="10"/>
        <rFont val="Noto Sans CJK SC"/>
        <family val="2"/>
      </rPr>
      <t xml:space="preserve">ふ </t>
    </r>
    <r>
      <rPr>
        <sz val="10"/>
        <rFont val="Arial"/>
        <family val="0"/>
        <charset val="1"/>
      </rPr>
      <t xml:space="preserve">(fu). Xem thứ tự nét trước khi viết. Mẹo nhớ hình dáng từng chữ có ở sheet '7. Bảng chữ cái'.</t>
    </r>
  </si>
  <si>
    <r>
      <rPr>
        <sz val="10"/>
        <rFont val="Arial"/>
        <family val="0"/>
        <charset val="1"/>
      </rPr>
      <t xml:space="preserve">Học 2 từ mới: </t>
    </r>
    <r>
      <rPr>
        <sz val="10"/>
        <rFont val="Noto Sans CJK SC"/>
        <family val="2"/>
      </rPr>
      <t xml:space="preserve">ありがとうございます </t>
    </r>
    <r>
      <rPr>
        <sz val="10"/>
        <rFont val="Arial"/>
        <family val="0"/>
        <charset val="1"/>
      </rPr>
      <t xml:space="preserve">(cảm ơn) </t>
    </r>
    <r>
      <rPr>
        <sz val="10"/>
        <rFont val="Noto Sans CJK SC"/>
        <family val="2"/>
      </rPr>
      <t xml:space="preserve">・ どういたしまして </t>
    </r>
    <r>
      <rPr>
        <sz val="10"/>
        <rFont val="Arial"/>
        <family val="0"/>
        <charset val="1"/>
      </rPr>
      <t xml:space="preserve">(không có gì)</t>
    </r>
  </si>
  <si>
    <r>
      <rPr>
        <b val="true"/>
        <sz val="12"/>
        <color rgb="FF1F3864"/>
        <rFont val="Arial"/>
        <family val="0"/>
        <charset val="1"/>
      </rPr>
      <t xml:space="preserve">NGÀY 4  ·  Tuần 1  ·  Hiragana: 9 âm mới (</t>
    </r>
    <r>
      <rPr>
        <b val="true"/>
        <sz val="12"/>
        <color rgb="FF1F3864"/>
        <rFont val="Noto Sans CJK SC"/>
        <family val="2"/>
      </rPr>
      <t xml:space="preserve">へ → ゆ</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</si>
  <si>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9 âm: </t>
    </r>
    <r>
      <rPr>
        <sz val="10"/>
        <rFont val="Noto Sans CJK SC"/>
        <family val="2"/>
      </rPr>
      <t xml:space="preserve">へ </t>
    </r>
    <r>
      <rPr>
        <sz val="10"/>
        <rFont val="Arial"/>
        <family val="0"/>
        <charset val="1"/>
      </rPr>
      <t xml:space="preserve">(he)  </t>
    </r>
    <r>
      <rPr>
        <sz val="10"/>
        <rFont val="Noto Sans CJK SC"/>
        <family val="2"/>
      </rPr>
      <t xml:space="preserve">ほ </t>
    </r>
    <r>
      <rPr>
        <sz val="10"/>
        <rFont val="Arial"/>
        <family val="0"/>
        <charset val="1"/>
      </rPr>
      <t xml:space="preserve">(ho)  </t>
    </r>
    <r>
      <rPr>
        <sz val="10"/>
        <rFont val="Noto Sans CJK SC"/>
        <family val="2"/>
      </rPr>
      <t xml:space="preserve">ま </t>
    </r>
    <r>
      <rPr>
        <sz val="10"/>
        <rFont val="Arial"/>
        <family val="0"/>
        <charset val="1"/>
      </rPr>
      <t xml:space="preserve">(ma)  </t>
    </r>
    <r>
      <rPr>
        <sz val="10"/>
        <rFont val="Noto Sans CJK SC"/>
        <family val="2"/>
      </rPr>
      <t xml:space="preserve">み </t>
    </r>
    <r>
      <rPr>
        <sz val="10"/>
        <rFont val="Arial"/>
        <family val="0"/>
        <charset val="1"/>
      </rPr>
      <t xml:space="preserve">(mi)  </t>
    </r>
    <r>
      <rPr>
        <sz val="10"/>
        <rFont val="Noto Sans CJK SC"/>
        <family val="2"/>
      </rPr>
      <t xml:space="preserve">む </t>
    </r>
    <r>
      <rPr>
        <sz val="10"/>
        <rFont val="Arial"/>
        <family val="0"/>
        <charset val="1"/>
      </rPr>
      <t xml:space="preserve">(mu)  </t>
    </r>
    <r>
      <rPr>
        <sz val="10"/>
        <rFont val="Noto Sans CJK SC"/>
        <family val="2"/>
      </rPr>
      <t xml:space="preserve">め </t>
    </r>
    <r>
      <rPr>
        <sz val="10"/>
        <rFont val="Arial"/>
        <family val="0"/>
        <charset val="1"/>
      </rPr>
      <t xml:space="preserve">(me)  </t>
    </r>
    <r>
      <rPr>
        <sz val="10"/>
        <rFont val="Noto Sans CJK SC"/>
        <family val="2"/>
      </rPr>
      <t xml:space="preserve">も </t>
    </r>
    <r>
      <rPr>
        <sz val="10"/>
        <rFont val="Arial"/>
        <family val="0"/>
        <charset val="1"/>
      </rPr>
      <t xml:space="preserve">(mo)  </t>
    </r>
    <r>
      <rPr>
        <sz val="10"/>
        <rFont val="Noto Sans CJK SC"/>
        <family val="2"/>
      </rPr>
      <t xml:space="preserve">や </t>
    </r>
    <r>
      <rPr>
        <sz val="10"/>
        <rFont val="Arial"/>
        <family val="0"/>
        <charset val="1"/>
      </rPr>
      <t xml:space="preserve">(ya)  </t>
    </r>
    <r>
      <rPr>
        <sz val="10"/>
        <rFont val="Noto Sans CJK SC"/>
        <family val="2"/>
      </rPr>
      <t xml:space="preserve">ゆ </t>
    </r>
    <r>
      <rPr>
        <sz val="10"/>
        <rFont val="Arial"/>
        <family val="0"/>
        <charset val="1"/>
      </rPr>
      <t xml:space="preserve">(yu). Xem thứ tự nét trước khi viết. Mẹo nhớ hình dáng từng chữ có ở sheet '7. Bảng chữ cái'.</t>
    </r>
  </si>
  <si>
    <r>
      <rPr>
        <sz val="10"/>
        <rFont val="Arial"/>
        <family val="0"/>
        <charset val="1"/>
      </rPr>
      <t xml:space="preserve">Học 2 từ mới: </t>
    </r>
    <r>
      <rPr>
        <sz val="10"/>
        <rFont val="Noto Sans CJK SC"/>
        <family val="2"/>
      </rPr>
      <t xml:space="preserve">すみません </t>
    </r>
    <r>
      <rPr>
        <sz val="10"/>
        <rFont val="Arial"/>
        <family val="0"/>
        <charset val="1"/>
      </rPr>
      <t xml:space="preserve">(xin lỗi) </t>
    </r>
    <r>
      <rPr>
        <sz val="10"/>
        <rFont val="Noto Sans CJK SC"/>
        <family val="2"/>
      </rPr>
      <t xml:space="preserve">・ ごめんなさい </t>
    </r>
    <r>
      <rPr>
        <sz val="10"/>
        <rFont val="Arial"/>
        <family val="0"/>
        <charset val="1"/>
      </rPr>
      <t xml:space="preserve">(xin lỗi, thân mật)</t>
    </r>
  </si>
  <si>
    <r>
      <rPr>
        <b val="true"/>
        <sz val="12"/>
        <color rgb="FF1F3864"/>
        <rFont val="Arial"/>
        <family val="0"/>
        <charset val="1"/>
      </rPr>
      <t xml:space="preserve">NGÀY 5  ·  Tuần 1  ·  Hiragana: 9 âm mới (</t>
    </r>
    <r>
      <rPr>
        <b val="true"/>
        <sz val="12"/>
        <color rgb="FF1F3864"/>
        <rFont val="Noto Sans CJK SC"/>
        <family val="2"/>
      </rPr>
      <t xml:space="preserve">よ → ん</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</si>
  <si>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9 âm: </t>
    </r>
    <r>
      <rPr>
        <sz val="10"/>
        <rFont val="Noto Sans CJK SC"/>
        <family val="2"/>
      </rPr>
      <t xml:space="preserve">よ </t>
    </r>
    <r>
      <rPr>
        <sz val="10"/>
        <rFont val="Arial"/>
        <family val="0"/>
        <charset val="1"/>
      </rPr>
      <t xml:space="preserve">(yo)  </t>
    </r>
    <r>
      <rPr>
        <sz val="10"/>
        <rFont val="Noto Sans CJK SC"/>
        <family val="2"/>
      </rPr>
      <t xml:space="preserve">ら </t>
    </r>
    <r>
      <rPr>
        <sz val="10"/>
        <rFont val="Arial"/>
        <family val="0"/>
        <charset val="1"/>
      </rPr>
      <t xml:space="preserve">(ra)  </t>
    </r>
    <r>
      <rPr>
        <sz val="10"/>
        <rFont val="Noto Sans CJK SC"/>
        <family val="2"/>
      </rPr>
      <t xml:space="preserve">り </t>
    </r>
    <r>
      <rPr>
        <sz val="10"/>
        <rFont val="Arial"/>
        <family val="0"/>
        <charset val="1"/>
      </rPr>
      <t xml:space="preserve">(ri)  </t>
    </r>
    <r>
      <rPr>
        <sz val="10"/>
        <rFont val="Noto Sans CJK SC"/>
        <family val="2"/>
      </rPr>
      <t xml:space="preserve">る </t>
    </r>
    <r>
      <rPr>
        <sz val="10"/>
        <rFont val="Arial"/>
        <family val="0"/>
        <charset val="1"/>
      </rPr>
      <t xml:space="preserve">(ru)  </t>
    </r>
    <r>
      <rPr>
        <sz val="10"/>
        <rFont val="Noto Sans CJK SC"/>
        <family val="2"/>
      </rPr>
      <t xml:space="preserve">れ </t>
    </r>
    <r>
      <rPr>
        <sz val="10"/>
        <rFont val="Arial"/>
        <family val="0"/>
        <charset val="1"/>
      </rPr>
      <t xml:space="preserve">(re)  </t>
    </r>
    <r>
      <rPr>
        <sz val="10"/>
        <rFont val="Noto Sans CJK SC"/>
        <family val="2"/>
      </rPr>
      <t xml:space="preserve">ろ </t>
    </r>
    <r>
      <rPr>
        <sz val="10"/>
        <rFont val="Arial"/>
        <family val="0"/>
        <charset val="1"/>
      </rPr>
      <t xml:space="preserve">(ro)  </t>
    </r>
    <r>
      <rPr>
        <sz val="10"/>
        <rFont val="Noto Sans CJK SC"/>
        <family val="2"/>
      </rPr>
      <t xml:space="preserve">わ </t>
    </r>
    <r>
      <rPr>
        <sz val="10"/>
        <rFont val="Arial"/>
        <family val="0"/>
        <charset val="1"/>
      </rPr>
      <t xml:space="preserve">(wa)  </t>
    </r>
    <r>
      <rPr>
        <sz val="10"/>
        <rFont val="Noto Sans CJK SC"/>
        <family val="2"/>
      </rPr>
      <t xml:space="preserve">を </t>
    </r>
    <r>
      <rPr>
        <sz val="10"/>
        <rFont val="Arial"/>
        <family val="0"/>
        <charset val="1"/>
      </rPr>
      <t xml:space="preserve">(wo)  </t>
    </r>
    <r>
      <rPr>
        <sz val="10"/>
        <rFont val="Noto Sans CJK SC"/>
        <family val="2"/>
      </rPr>
      <t xml:space="preserve">ん </t>
    </r>
    <r>
      <rPr>
        <sz val="10"/>
        <rFont val="Arial"/>
        <family val="0"/>
        <charset val="1"/>
      </rPr>
      <t xml:space="preserve">(n). Xem thứ tự nét trước khi viết. Mẹo nhớ hình dáng từng chữ có ở sheet '7. Bảng chữ cái'.</t>
    </r>
  </si>
  <si>
    <r>
      <rPr>
        <sz val="10"/>
        <rFont val="Arial"/>
        <family val="0"/>
        <charset val="1"/>
      </rPr>
      <t xml:space="preserve">Học 2 từ mới: </t>
    </r>
    <r>
      <rPr>
        <sz val="10"/>
        <rFont val="Noto Sans CJK SC"/>
        <family val="2"/>
      </rPr>
      <t xml:space="preserve">はじめまして </t>
    </r>
    <r>
      <rPr>
        <sz val="10"/>
        <rFont val="Arial"/>
        <family val="0"/>
        <charset val="1"/>
      </rPr>
      <t xml:space="preserve">(rất vui được gặp) </t>
    </r>
    <r>
      <rPr>
        <sz val="10"/>
        <rFont val="Noto Sans CJK SC"/>
        <family val="2"/>
      </rPr>
      <t xml:space="preserve">・ どうぞよろしく </t>
    </r>
    <r>
      <rPr>
        <sz val="10"/>
        <rFont val="Arial"/>
        <family val="0"/>
        <charset val="1"/>
      </rPr>
      <t xml:space="preserve">(mong được giúp đỡ)</t>
    </r>
  </si>
  <si>
    <r>
      <rPr>
        <b val="true"/>
        <sz val="12"/>
        <color rgb="FF1F3864"/>
        <rFont val="Arial"/>
        <family val="0"/>
        <charset val="1"/>
      </rPr>
      <t xml:space="preserve">NGÀY 6  ·  Tuần 1  ·  Hiragana: âm đục, âm bán đục và âm ghép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</si>
  <si>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b val="true"/>
        <sz val="10"/>
        <rFont val="Noto Sans CJK SC"/>
        <family val="2"/>
      </rPr>
      <t xml:space="preserve">゛  </t>
    </r>
    <r>
      <rPr>
        <b val="true"/>
        <sz val="10"/>
        <rFont val="Arial"/>
        <family val="0"/>
        <charset val="1"/>
      </rPr>
      <t xml:space="preserve">Âm đục</t>
    </r>
  </si>
  <si>
    <r>
      <rPr>
        <sz val="10"/>
        <rFont val="Arial"/>
        <family val="0"/>
        <charset val="1"/>
      </rPr>
      <t xml:space="preserve">Học 25 âm đục/bán đục. Quy tắc: thêm dấu " thành âm đục (</t>
    </r>
    <r>
      <rPr>
        <sz val="10"/>
        <rFont val="Noto Sans CJK SC"/>
        <family val="2"/>
      </rPr>
      <t xml:space="preserve">か→が</t>
    </r>
    <r>
      <rPr>
        <sz val="10"/>
        <rFont val="Arial"/>
        <family val="0"/>
        <charset val="1"/>
      </rPr>
      <t xml:space="preserve">), dấu ° thành bán đục (</t>
    </r>
    <r>
      <rPr>
        <sz val="10"/>
        <rFont val="Noto Sans CJK SC"/>
        <family val="2"/>
      </rPr>
      <t xml:space="preserve">は→ぱ</t>
    </r>
    <r>
      <rPr>
        <sz val="10"/>
        <rFont val="Arial"/>
        <family val="0"/>
        <charset val="1"/>
      </rPr>
      <t xml:space="preserve">). Xem sheet '7. Bảng chữ cái'.</t>
    </r>
  </si>
  <si>
    <r>
      <rPr>
        <b val="true"/>
        <sz val="10"/>
        <rFont val="Noto Sans CJK SC"/>
        <family val="2"/>
      </rPr>
      <t xml:space="preserve">ゃ  </t>
    </r>
    <r>
      <rPr>
        <b val="true"/>
        <sz val="10"/>
        <rFont val="Arial"/>
        <family val="0"/>
        <charset val="1"/>
      </rPr>
      <t xml:space="preserve">Âm ghép</t>
    </r>
  </si>
  <si>
    <r>
      <rPr>
        <sz val="10"/>
        <rFont val="Arial"/>
        <family val="0"/>
        <charset val="1"/>
      </rPr>
      <t xml:space="preserve">Học 33 âm ghép. Quy tắc: chữ hàng </t>
    </r>
    <r>
      <rPr>
        <sz val="10"/>
        <rFont val="Noto Sans CJK SC"/>
        <family val="2"/>
      </rPr>
      <t xml:space="preserve">い </t>
    </r>
    <r>
      <rPr>
        <sz val="10"/>
        <rFont val="Arial"/>
        <family val="0"/>
        <charset val="1"/>
      </rPr>
      <t xml:space="preserve">+ </t>
    </r>
    <r>
      <rPr>
        <sz val="10"/>
        <rFont val="Noto Sans CJK SC"/>
        <family val="2"/>
      </rPr>
      <t xml:space="preserve">や</t>
    </r>
    <r>
      <rPr>
        <sz val="10"/>
        <rFont val="Arial"/>
        <family val="0"/>
        <charset val="1"/>
      </rPr>
      <t xml:space="preserve">/</t>
    </r>
    <r>
      <rPr>
        <sz val="10"/>
        <rFont val="Noto Sans CJK SC"/>
        <family val="2"/>
      </rPr>
      <t xml:space="preserve">ゆ</t>
    </r>
    <r>
      <rPr>
        <sz val="10"/>
        <rFont val="Arial"/>
        <family val="0"/>
        <charset val="1"/>
      </rPr>
      <t xml:space="preserve">/</t>
    </r>
    <r>
      <rPr>
        <sz val="10"/>
        <rFont val="Noto Sans CJK SC"/>
        <family val="2"/>
      </rPr>
      <t xml:space="preserve">よ </t>
    </r>
    <r>
      <rPr>
        <sz val="10"/>
        <rFont val="Arial"/>
        <family val="0"/>
        <charset val="1"/>
      </rPr>
      <t xml:space="preserve">viết nhỏ (</t>
    </r>
    <r>
      <rPr>
        <sz val="10"/>
        <rFont val="Noto Sans CJK SC"/>
        <family val="2"/>
      </rPr>
      <t xml:space="preserve">き</t>
    </r>
    <r>
      <rPr>
        <sz val="10"/>
        <rFont val="Arial"/>
        <family val="0"/>
        <charset val="1"/>
      </rPr>
      <t xml:space="preserve">+</t>
    </r>
    <r>
      <rPr>
        <sz val="10"/>
        <rFont val="Noto Sans CJK SC"/>
        <family val="2"/>
      </rPr>
      <t xml:space="preserve">ゃ </t>
    </r>
    <r>
      <rPr>
        <sz val="10"/>
        <rFont val="Arial"/>
        <family val="0"/>
        <charset val="1"/>
      </rPr>
      <t xml:space="preserve">= </t>
    </r>
    <r>
      <rPr>
        <sz val="10"/>
        <rFont val="Noto Sans CJK SC"/>
        <family val="2"/>
      </rPr>
      <t xml:space="preserve">きゃ</t>
    </r>
    <r>
      <rPr>
        <sz val="10"/>
        <rFont val="Arial"/>
        <family val="0"/>
        <charset val="1"/>
      </rPr>
      <t xml:space="preserve">).</t>
    </r>
  </si>
  <si>
    <t xml:space="preserve">Viết mỗi âm 5 lần, đọc to khi viết.</t>
  </si>
  <si>
    <r>
      <rPr>
        <sz val="10"/>
        <rFont val="Arial"/>
        <family val="0"/>
        <charset val="1"/>
      </rPr>
      <t xml:space="preserve">Học 2 từ mới: </t>
    </r>
    <r>
      <rPr>
        <sz val="10"/>
        <rFont val="Noto Sans CJK SC"/>
        <family val="2"/>
      </rPr>
      <t xml:space="preserve">はい </t>
    </r>
    <r>
      <rPr>
        <sz val="10"/>
        <rFont val="Arial"/>
        <family val="0"/>
        <charset val="1"/>
      </rPr>
      <t xml:space="preserve">(vâng) </t>
    </r>
    <r>
      <rPr>
        <sz val="10"/>
        <rFont val="Noto Sans CJK SC"/>
        <family val="2"/>
      </rPr>
      <t xml:space="preserve">・ いいえ </t>
    </r>
    <r>
      <rPr>
        <sz val="10"/>
        <rFont val="Arial"/>
        <family val="0"/>
        <charset val="1"/>
      </rPr>
      <t xml:space="preserve">(không) </t>
    </r>
    <r>
      <rPr>
        <sz val="10"/>
        <rFont val="Noto Sans CJK SC"/>
        <family val="2"/>
      </rPr>
      <t xml:space="preserve">・ わかりました </t>
    </r>
    <r>
      <rPr>
        <sz val="10"/>
        <rFont val="Arial"/>
        <family val="0"/>
        <charset val="1"/>
      </rPr>
      <t xml:space="preserve">(tôi hiểu rồi)</t>
    </r>
  </si>
  <si>
    <r>
      <rPr>
        <sz val="10"/>
        <rFont val="Arial"/>
        <family val="0"/>
        <charset val="1"/>
      </rPr>
      <t xml:space="preserve">Luyện phân biệt âm trong và âm đục: </t>
    </r>
    <r>
      <rPr>
        <sz val="10"/>
        <rFont val="Noto Sans CJK SC"/>
        <family val="2"/>
      </rPr>
      <t xml:space="preserve">か</t>
    </r>
    <r>
      <rPr>
        <sz val="10"/>
        <rFont val="Arial"/>
        <family val="0"/>
        <charset val="1"/>
      </rPr>
      <t xml:space="preserve">/</t>
    </r>
    <r>
      <rPr>
        <sz val="10"/>
        <rFont val="Noto Sans CJK SC"/>
        <family val="2"/>
      </rPr>
      <t xml:space="preserve">が</t>
    </r>
    <r>
      <rPr>
        <sz val="10"/>
        <rFont val="Arial"/>
        <family val="0"/>
        <charset val="1"/>
      </rPr>
      <t xml:space="preserve">, </t>
    </r>
    <r>
      <rPr>
        <sz val="10"/>
        <rFont val="Noto Sans CJK SC"/>
        <family val="2"/>
      </rPr>
      <t xml:space="preserve">た</t>
    </r>
    <r>
      <rPr>
        <sz val="10"/>
        <rFont val="Arial"/>
        <family val="0"/>
        <charset val="1"/>
      </rPr>
      <t xml:space="preserve">/</t>
    </r>
    <r>
      <rPr>
        <sz val="10"/>
        <rFont val="Noto Sans CJK SC"/>
        <family val="2"/>
      </rPr>
      <t xml:space="preserve">だ</t>
    </r>
    <r>
      <rPr>
        <sz val="10"/>
        <rFont val="Arial"/>
        <family val="0"/>
        <charset val="1"/>
      </rPr>
      <t xml:space="preserve">, </t>
    </r>
    <r>
      <rPr>
        <sz val="10"/>
        <rFont val="Noto Sans CJK SC"/>
        <family val="2"/>
      </rPr>
      <t xml:space="preserve">は</t>
    </r>
    <r>
      <rPr>
        <sz val="10"/>
        <rFont val="Arial"/>
        <family val="0"/>
        <charset val="1"/>
      </rPr>
      <t xml:space="preserve">/</t>
    </r>
    <r>
      <rPr>
        <sz val="10"/>
        <rFont val="Noto Sans CJK SC"/>
        <family val="2"/>
      </rPr>
      <t xml:space="preserve">ば</t>
    </r>
    <r>
      <rPr>
        <sz val="10"/>
        <rFont val="Arial"/>
        <family val="0"/>
        <charset val="1"/>
      </rPr>
      <t xml:space="preserve">/</t>
    </r>
    <r>
      <rPr>
        <sz val="10"/>
        <rFont val="Noto Sans CJK SC"/>
        <family val="2"/>
      </rPr>
      <t xml:space="preserve">ぱ</t>
    </r>
    <r>
      <rPr>
        <sz val="10"/>
        <rFont val="Arial"/>
        <family val="0"/>
        <charset val="1"/>
      </rPr>
      <t xml:space="preserve">.</t>
    </r>
  </si>
  <si>
    <r>
      <rPr>
        <b val="true"/>
        <sz val="12"/>
        <color rgb="FF1F3864"/>
        <rFont val="Arial"/>
        <family val="0"/>
        <charset val="1"/>
      </rPr>
      <t xml:space="preserve">NGÀY 7  ·  Tuần 1  ·  Ôn tập &amp; kiểm tra toàn bộ Hiragana      </t>
    </r>
    <r>
      <rPr>
        <b val="true"/>
        <sz val="12"/>
        <color rgb="FF1F3864"/>
        <rFont val="Noto Sans CJK SC"/>
        <family val="2"/>
      </rPr>
      <t xml:space="preserve">〔</t>
    </r>
    <r>
      <rPr>
        <b val="true"/>
        <sz val="12"/>
        <color rgb="FF1F3864"/>
        <rFont val="Arial"/>
        <family val="0"/>
        <charset val="1"/>
      </rPr>
      <t xml:space="preserve">85 phút · 5 việc</t>
    </r>
    <r>
      <rPr>
        <b val="true"/>
        <sz val="12"/>
        <color rgb="FF1F3864"/>
        <rFont val="Noto Sans CJK SC"/>
        <family val="2"/>
      </rPr>
      <t xml:space="preserve">〕</t>
    </r>
  </si>
  <si>
    <t xml:space="preserve">?  Kiểm tra</t>
  </si>
  <si>
    <t xml:space="preserve">Lấy giấy trắng, viết lại toàn bộ 104 âm Hiragana mà KHÔNG nhìn bảng. Đối chiếu, khoanh tròn âm sai.</t>
  </si>
  <si>
    <t xml:space="preserve">✎  Sửa sai</t>
  </si>
  <si>
    <t xml:space="preserve">Mỗi âm viết sai: viết lại 10 lần và đọc to thành tiếng.</t>
  </si>
  <si>
    <t xml:space="preserve">⏱  Tốc độ</t>
  </si>
  <si>
    <t xml:space="preserve">Nhìn 50 âm Hiragana ngẫu nhiên đọc to trong 3 phút. Mục tiêu dưới 1 giây/âm.</t>
  </si>
  <si>
    <t xml:space="preserve">Ôn lại toàn bộ 14 từ đã học trong tuần.</t>
  </si>
  <si>
    <t xml:space="preserve">Nghe bảng chữ cái đọc chuẩn 1 lượt, đọc nhẩm theo.</t>
  </si>
  <si>
    <r>
      <rPr>
        <b val="true"/>
        <sz val="12"/>
        <color rgb="FF1F3864"/>
        <rFont val="Arial"/>
        <family val="0"/>
        <charset val="1"/>
      </rPr>
      <t xml:space="preserve">NGÀY 8  ·  Tuần 2  ·  Katakana: 10 âm mới (</t>
    </r>
    <r>
      <rPr>
        <b val="true"/>
        <sz val="12"/>
        <color rgb="FF1F3864"/>
        <rFont val="Noto Sans CJK SC"/>
        <family val="2"/>
      </rPr>
      <t xml:space="preserve">ア → コ</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</si>
  <si>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10 âm: </t>
    </r>
    <r>
      <rPr>
        <sz val="10"/>
        <rFont val="Noto Sans CJK SC"/>
        <family val="2"/>
      </rPr>
      <t xml:space="preserve">ア </t>
    </r>
    <r>
      <rPr>
        <sz val="10"/>
        <rFont val="Arial"/>
        <family val="0"/>
        <charset val="1"/>
      </rPr>
      <t xml:space="preserve">(a)  </t>
    </r>
    <r>
      <rPr>
        <sz val="10"/>
        <rFont val="Noto Sans CJK SC"/>
        <family val="2"/>
      </rPr>
      <t xml:space="preserve">イ </t>
    </r>
    <r>
      <rPr>
        <sz val="10"/>
        <rFont val="Arial"/>
        <family val="0"/>
        <charset val="1"/>
      </rPr>
      <t xml:space="preserve">(i)  </t>
    </r>
    <r>
      <rPr>
        <sz val="10"/>
        <rFont val="Noto Sans CJK SC"/>
        <family val="2"/>
      </rPr>
      <t xml:space="preserve">ウ </t>
    </r>
    <r>
      <rPr>
        <sz val="10"/>
        <rFont val="Arial"/>
        <family val="0"/>
        <charset val="1"/>
      </rPr>
      <t xml:space="preserve">(u)  </t>
    </r>
    <r>
      <rPr>
        <sz val="10"/>
        <rFont val="Noto Sans CJK SC"/>
        <family val="2"/>
      </rPr>
      <t xml:space="preserve">エ </t>
    </r>
    <r>
      <rPr>
        <sz val="10"/>
        <rFont val="Arial"/>
        <family val="0"/>
        <charset val="1"/>
      </rPr>
      <t xml:space="preserve">(e)  </t>
    </r>
    <r>
      <rPr>
        <sz val="10"/>
        <rFont val="Noto Sans CJK SC"/>
        <family val="2"/>
      </rPr>
      <t xml:space="preserve">オ </t>
    </r>
    <r>
      <rPr>
        <sz val="10"/>
        <rFont val="Arial"/>
        <family val="0"/>
        <charset val="1"/>
      </rPr>
      <t xml:space="preserve">(o)  </t>
    </r>
    <r>
      <rPr>
        <sz val="10"/>
        <rFont val="Noto Sans CJK SC"/>
        <family val="2"/>
      </rPr>
      <t xml:space="preserve">カ </t>
    </r>
    <r>
      <rPr>
        <sz val="10"/>
        <rFont val="Arial"/>
        <family val="0"/>
        <charset val="1"/>
      </rPr>
      <t xml:space="preserve">(ka)  </t>
    </r>
    <r>
      <rPr>
        <sz val="10"/>
        <rFont val="Noto Sans CJK SC"/>
        <family val="2"/>
      </rPr>
      <t xml:space="preserve">キ </t>
    </r>
    <r>
      <rPr>
        <sz val="10"/>
        <rFont val="Arial"/>
        <family val="0"/>
        <charset val="1"/>
      </rPr>
      <t xml:space="preserve">(ki)  </t>
    </r>
    <r>
      <rPr>
        <sz val="10"/>
        <rFont val="Noto Sans CJK SC"/>
        <family val="2"/>
      </rPr>
      <t xml:space="preserve">ク </t>
    </r>
    <r>
      <rPr>
        <sz val="10"/>
        <rFont val="Arial"/>
        <family val="0"/>
        <charset val="1"/>
      </rPr>
      <t xml:space="preserve">(ku)  </t>
    </r>
    <r>
      <rPr>
        <sz val="10"/>
        <rFont val="Noto Sans CJK SC"/>
        <family val="2"/>
      </rPr>
      <t xml:space="preserve">ケ </t>
    </r>
    <r>
      <rPr>
        <sz val="10"/>
        <rFont val="Arial"/>
        <family val="0"/>
        <charset val="1"/>
      </rPr>
      <t xml:space="preserve">(ke)  </t>
    </r>
    <r>
      <rPr>
        <sz val="10"/>
        <rFont val="Noto Sans CJK SC"/>
        <family val="2"/>
      </rPr>
      <t xml:space="preserve">コ </t>
    </r>
    <r>
      <rPr>
        <sz val="10"/>
        <rFont val="Arial"/>
        <family val="0"/>
        <charset val="1"/>
      </rPr>
      <t xml:space="preserve">(ko). Xem thứ tự nét trước khi viết. Mẹo nhớ hình dáng từng chữ có ở sheet '7. Bảng chữ cái'.</t>
    </r>
  </si>
  <si>
    <r>
      <rPr>
        <sz val="10"/>
        <rFont val="Arial"/>
        <family val="0"/>
        <charset val="1"/>
      </rPr>
      <t xml:space="preserve">Học 2 từ mới: </t>
    </r>
    <r>
      <rPr>
        <sz val="10"/>
        <rFont val="Noto Sans CJK SC"/>
        <family val="2"/>
      </rPr>
      <t xml:space="preserve">テレビ </t>
    </r>
    <r>
      <rPr>
        <sz val="10"/>
        <rFont val="Arial"/>
        <family val="0"/>
        <charset val="1"/>
      </rPr>
      <t xml:space="preserve">(ti vi) </t>
    </r>
    <r>
      <rPr>
        <sz val="10"/>
        <rFont val="Noto Sans CJK SC"/>
        <family val="2"/>
      </rPr>
      <t xml:space="preserve">・ ラジオ </t>
    </r>
    <r>
      <rPr>
        <sz val="10"/>
        <rFont val="Arial"/>
        <family val="0"/>
        <charset val="1"/>
      </rPr>
      <t xml:space="preserve">(radio)</t>
    </r>
  </si>
  <si>
    <r>
      <rPr>
        <b val="true"/>
        <sz val="12"/>
        <color rgb="FF1F3864"/>
        <rFont val="Arial"/>
        <family val="0"/>
        <charset val="1"/>
      </rPr>
      <t xml:space="preserve">NGÀY 9  ·  Tuần 2  ·  Katakana: 9 âm mới (</t>
    </r>
    <r>
      <rPr>
        <b val="true"/>
        <sz val="12"/>
        <color rgb="FF1F3864"/>
        <rFont val="Noto Sans CJK SC"/>
        <family val="2"/>
      </rPr>
      <t xml:space="preserve">サ → テ</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</si>
  <si>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9 âm: </t>
    </r>
    <r>
      <rPr>
        <sz val="10"/>
        <rFont val="Noto Sans CJK SC"/>
        <family val="2"/>
      </rPr>
      <t xml:space="preserve">サ </t>
    </r>
    <r>
      <rPr>
        <sz val="10"/>
        <rFont val="Arial"/>
        <family val="0"/>
        <charset val="1"/>
      </rPr>
      <t xml:space="preserve">(sa)  </t>
    </r>
    <r>
      <rPr>
        <sz val="10"/>
        <rFont val="Noto Sans CJK SC"/>
        <family val="2"/>
      </rPr>
      <t xml:space="preserve">シ </t>
    </r>
    <r>
      <rPr>
        <sz val="10"/>
        <rFont val="Arial"/>
        <family val="0"/>
        <charset val="1"/>
      </rPr>
      <t xml:space="preserve">(shi)  </t>
    </r>
    <r>
      <rPr>
        <sz val="10"/>
        <rFont val="Noto Sans CJK SC"/>
        <family val="2"/>
      </rPr>
      <t xml:space="preserve">ス </t>
    </r>
    <r>
      <rPr>
        <sz val="10"/>
        <rFont val="Arial"/>
        <family val="0"/>
        <charset val="1"/>
      </rPr>
      <t xml:space="preserve">(su)  </t>
    </r>
    <r>
      <rPr>
        <sz val="10"/>
        <rFont val="Noto Sans CJK SC"/>
        <family val="2"/>
      </rPr>
      <t xml:space="preserve">セ </t>
    </r>
    <r>
      <rPr>
        <sz val="10"/>
        <rFont val="Arial"/>
        <family val="0"/>
        <charset val="1"/>
      </rPr>
      <t xml:space="preserve">(se)  </t>
    </r>
    <r>
      <rPr>
        <sz val="10"/>
        <rFont val="Noto Sans CJK SC"/>
        <family val="2"/>
      </rPr>
      <t xml:space="preserve">ソ </t>
    </r>
    <r>
      <rPr>
        <sz val="10"/>
        <rFont val="Arial"/>
        <family val="0"/>
        <charset val="1"/>
      </rPr>
      <t xml:space="preserve">(so)  </t>
    </r>
    <r>
      <rPr>
        <sz val="10"/>
        <rFont val="Noto Sans CJK SC"/>
        <family val="2"/>
      </rPr>
      <t xml:space="preserve">タ </t>
    </r>
    <r>
      <rPr>
        <sz val="10"/>
        <rFont val="Arial"/>
        <family val="0"/>
        <charset val="1"/>
      </rPr>
      <t xml:space="preserve">(ta)  </t>
    </r>
    <r>
      <rPr>
        <sz val="10"/>
        <rFont val="Noto Sans CJK SC"/>
        <family val="2"/>
      </rPr>
      <t xml:space="preserve">チ </t>
    </r>
    <r>
      <rPr>
        <sz val="10"/>
        <rFont val="Arial"/>
        <family val="0"/>
        <charset val="1"/>
      </rPr>
      <t xml:space="preserve">(chi)  </t>
    </r>
    <r>
      <rPr>
        <sz val="10"/>
        <rFont val="Noto Sans CJK SC"/>
        <family val="2"/>
      </rPr>
      <t xml:space="preserve">ツ </t>
    </r>
    <r>
      <rPr>
        <sz val="10"/>
        <rFont val="Arial"/>
        <family val="0"/>
        <charset val="1"/>
      </rPr>
      <t xml:space="preserve">(tsu)  </t>
    </r>
    <r>
      <rPr>
        <sz val="10"/>
        <rFont val="Noto Sans CJK SC"/>
        <family val="2"/>
      </rPr>
      <t xml:space="preserve">テ </t>
    </r>
    <r>
      <rPr>
        <sz val="10"/>
        <rFont val="Arial"/>
        <family val="0"/>
        <charset val="1"/>
      </rPr>
      <t xml:space="preserve">(te). Xem thứ tự nét trước khi viết. Mẹo nhớ hình dáng từng chữ có ở sheet '7. Bảng chữ cái'.</t>
    </r>
  </si>
  <si>
    <r>
      <rPr>
        <sz val="10"/>
        <rFont val="Arial"/>
        <family val="0"/>
        <charset val="1"/>
      </rPr>
      <t xml:space="preserve">Học 2 từ mới: </t>
    </r>
    <r>
      <rPr>
        <sz val="10"/>
        <rFont val="Noto Sans CJK SC"/>
        <family val="2"/>
      </rPr>
      <t xml:space="preserve">パン </t>
    </r>
    <r>
      <rPr>
        <sz val="10"/>
        <rFont val="Arial"/>
        <family val="0"/>
        <charset val="1"/>
      </rPr>
      <t xml:space="preserve">(bánh mì) </t>
    </r>
    <r>
      <rPr>
        <sz val="10"/>
        <rFont val="Noto Sans CJK SC"/>
        <family val="2"/>
      </rPr>
      <t xml:space="preserve">・ コーヒー </t>
    </r>
    <r>
      <rPr>
        <sz val="10"/>
        <rFont val="Arial"/>
        <family val="0"/>
        <charset val="1"/>
      </rPr>
      <t xml:space="preserve">(cà phê)</t>
    </r>
  </si>
  <si>
    <r>
      <rPr>
        <b val="true"/>
        <sz val="12"/>
        <color rgb="FF1F3864"/>
        <rFont val="Arial"/>
        <family val="0"/>
        <charset val="1"/>
      </rPr>
      <t xml:space="preserve">NGÀY 10  ·  Tuần 2  ·  Katakana: 9 âm mới (</t>
    </r>
    <r>
      <rPr>
        <b val="true"/>
        <sz val="12"/>
        <color rgb="FF1F3864"/>
        <rFont val="Noto Sans CJK SC"/>
        <family val="2"/>
      </rPr>
      <t xml:space="preserve">ト → フ</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</si>
  <si>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9 âm: </t>
    </r>
    <r>
      <rPr>
        <sz val="10"/>
        <rFont val="Noto Sans CJK SC"/>
        <family val="2"/>
      </rPr>
      <t xml:space="preserve">ト </t>
    </r>
    <r>
      <rPr>
        <sz val="10"/>
        <rFont val="Arial"/>
        <family val="0"/>
        <charset val="1"/>
      </rPr>
      <t xml:space="preserve">(to)  </t>
    </r>
    <r>
      <rPr>
        <sz val="10"/>
        <rFont val="Noto Sans CJK SC"/>
        <family val="2"/>
      </rPr>
      <t xml:space="preserve">ナ </t>
    </r>
    <r>
      <rPr>
        <sz val="10"/>
        <rFont val="Arial"/>
        <family val="0"/>
        <charset val="1"/>
      </rPr>
      <t xml:space="preserve">(na)  </t>
    </r>
    <r>
      <rPr>
        <sz val="10"/>
        <rFont val="Noto Sans CJK SC"/>
        <family val="2"/>
      </rPr>
      <t xml:space="preserve">ニ </t>
    </r>
    <r>
      <rPr>
        <sz val="10"/>
        <rFont val="Arial"/>
        <family val="0"/>
        <charset val="1"/>
      </rPr>
      <t xml:space="preserve">(ni)  </t>
    </r>
    <r>
      <rPr>
        <sz val="10"/>
        <rFont val="Noto Sans CJK SC"/>
        <family val="2"/>
      </rPr>
      <t xml:space="preserve">ヌ </t>
    </r>
    <r>
      <rPr>
        <sz val="10"/>
        <rFont val="Arial"/>
        <family val="0"/>
        <charset val="1"/>
      </rPr>
      <t xml:space="preserve">(nu)  </t>
    </r>
    <r>
      <rPr>
        <sz val="10"/>
        <rFont val="Noto Sans CJK SC"/>
        <family val="2"/>
      </rPr>
      <t xml:space="preserve">ネ </t>
    </r>
    <r>
      <rPr>
        <sz val="10"/>
        <rFont val="Arial"/>
        <family val="0"/>
        <charset val="1"/>
      </rPr>
      <t xml:space="preserve">(ne)  </t>
    </r>
    <r>
      <rPr>
        <sz val="10"/>
        <rFont val="Noto Sans CJK SC"/>
        <family val="2"/>
      </rPr>
      <t xml:space="preserve">ノ </t>
    </r>
    <r>
      <rPr>
        <sz val="10"/>
        <rFont val="Arial"/>
        <family val="0"/>
        <charset val="1"/>
      </rPr>
      <t xml:space="preserve">(no)  </t>
    </r>
    <r>
      <rPr>
        <sz val="10"/>
        <rFont val="Noto Sans CJK SC"/>
        <family val="2"/>
      </rPr>
      <t xml:space="preserve">ハ </t>
    </r>
    <r>
      <rPr>
        <sz val="10"/>
        <rFont val="Arial"/>
        <family val="0"/>
        <charset val="1"/>
      </rPr>
      <t xml:space="preserve">(ha)  </t>
    </r>
    <r>
      <rPr>
        <sz val="10"/>
        <rFont val="Noto Sans CJK SC"/>
        <family val="2"/>
      </rPr>
      <t xml:space="preserve">ヒ </t>
    </r>
    <r>
      <rPr>
        <sz val="10"/>
        <rFont val="Arial"/>
        <family val="0"/>
        <charset val="1"/>
      </rPr>
      <t xml:space="preserve">(hi)  </t>
    </r>
    <r>
      <rPr>
        <sz val="10"/>
        <rFont val="Noto Sans CJK SC"/>
        <family val="2"/>
      </rPr>
      <t xml:space="preserve">フ </t>
    </r>
    <r>
      <rPr>
        <sz val="10"/>
        <rFont val="Arial"/>
        <family val="0"/>
        <charset val="1"/>
      </rPr>
      <t xml:space="preserve">(fu). Xem thứ tự nét trước khi viết. Mẹo nhớ hình dáng từng chữ có ở sheet '7. Bảng chữ cái'.</t>
    </r>
  </si>
  <si>
    <r>
      <rPr>
        <sz val="10"/>
        <rFont val="Arial"/>
        <family val="0"/>
        <charset val="1"/>
      </rPr>
      <t xml:space="preserve">Học 2 từ mới: </t>
    </r>
    <r>
      <rPr>
        <sz val="10"/>
        <rFont val="Noto Sans CJK SC"/>
        <family val="2"/>
      </rPr>
      <t xml:space="preserve">タクシー </t>
    </r>
    <r>
      <rPr>
        <sz val="10"/>
        <rFont val="Arial"/>
        <family val="0"/>
        <charset val="1"/>
      </rPr>
      <t xml:space="preserve">(taxi) </t>
    </r>
    <r>
      <rPr>
        <sz val="10"/>
        <rFont val="Noto Sans CJK SC"/>
        <family val="2"/>
      </rPr>
      <t xml:space="preserve">・ バス </t>
    </r>
    <r>
      <rPr>
        <sz val="10"/>
        <rFont val="Arial"/>
        <family val="0"/>
        <charset val="1"/>
      </rPr>
      <t xml:space="preserve">(xe buýt)</t>
    </r>
  </si>
  <si>
    <r>
      <rPr>
        <b val="true"/>
        <sz val="12"/>
        <color rgb="FF1F3864"/>
        <rFont val="Arial"/>
        <family val="0"/>
        <charset val="1"/>
      </rPr>
      <t xml:space="preserve">NGÀY 11  ·  Tuần 2  ·  Katakana: 9 âm mới (</t>
    </r>
    <r>
      <rPr>
        <b val="true"/>
        <sz val="12"/>
        <color rgb="FF1F3864"/>
        <rFont val="Noto Sans CJK SC"/>
        <family val="2"/>
      </rPr>
      <t xml:space="preserve">ヘ → ユ</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</si>
  <si>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9 âm: </t>
    </r>
    <r>
      <rPr>
        <sz val="10"/>
        <rFont val="Noto Sans CJK SC"/>
        <family val="2"/>
      </rPr>
      <t xml:space="preserve">ヘ </t>
    </r>
    <r>
      <rPr>
        <sz val="10"/>
        <rFont val="Arial"/>
        <family val="0"/>
        <charset val="1"/>
      </rPr>
      <t xml:space="preserve">(he)  </t>
    </r>
    <r>
      <rPr>
        <sz val="10"/>
        <rFont val="Noto Sans CJK SC"/>
        <family val="2"/>
      </rPr>
      <t xml:space="preserve">ホ </t>
    </r>
    <r>
      <rPr>
        <sz val="10"/>
        <rFont val="Arial"/>
        <family val="0"/>
        <charset val="1"/>
      </rPr>
      <t xml:space="preserve">(ho)  </t>
    </r>
    <r>
      <rPr>
        <sz val="10"/>
        <rFont val="Noto Sans CJK SC"/>
        <family val="2"/>
      </rPr>
      <t xml:space="preserve">マ </t>
    </r>
    <r>
      <rPr>
        <sz val="10"/>
        <rFont val="Arial"/>
        <family val="0"/>
        <charset val="1"/>
      </rPr>
      <t xml:space="preserve">(ma)  </t>
    </r>
    <r>
      <rPr>
        <sz val="10"/>
        <rFont val="Noto Sans CJK SC"/>
        <family val="2"/>
      </rPr>
      <t xml:space="preserve">ミ </t>
    </r>
    <r>
      <rPr>
        <sz val="10"/>
        <rFont val="Arial"/>
        <family val="0"/>
        <charset val="1"/>
      </rPr>
      <t xml:space="preserve">(mi)  </t>
    </r>
    <r>
      <rPr>
        <sz val="10"/>
        <rFont val="Noto Sans CJK SC"/>
        <family val="2"/>
      </rPr>
      <t xml:space="preserve">ム </t>
    </r>
    <r>
      <rPr>
        <sz val="10"/>
        <rFont val="Arial"/>
        <family val="0"/>
        <charset val="1"/>
      </rPr>
      <t xml:space="preserve">(mu)  </t>
    </r>
    <r>
      <rPr>
        <sz val="10"/>
        <rFont val="Noto Sans CJK SC"/>
        <family val="2"/>
      </rPr>
      <t xml:space="preserve">メ </t>
    </r>
    <r>
      <rPr>
        <sz val="10"/>
        <rFont val="Arial"/>
        <family val="0"/>
        <charset val="1"/>
      </rPr>
      <t xml:space="preserve">(me)  </t>
    </r>
    <r>
      <rPr>
        <sz val="10"/>
        <rFont val="Noto Sans CJK SC"/>
        <family val="2"/>
      </rPr>
      <t xml:space="preserve">モ </t>
    </r>
    <r>
      <rPr>
        <sz val="10"/>
        <rFont val="Arial"/>
        <family val="0"/>
        <charset val="1"/>
      </rPr>
      <t xml:space="preserve">(mo)  </t>
    </r>
    <r>
      <rPr>
        <sz val="10"/>
        <rFont val="Noto Sans CJK SC"/>
        <family val="2"/>
      </rPr>
      <t xml:space="preserve">ヤ </t>
    </r>
    <r>
      <rPr>
        <sz val="10"/>
        <rFont val="Arial"/>
        <family val="0"/>
        <charset val="1"/>
      </rPr>
      <t xml:space="preserve">(ya)  </t>
    </r>
    <r>
      <rPr>
        <sz val="10"/>
        <rFont val="Noto Sans CJK SC"/>
        <family val="2"/>
      </rPr>
      <t xml:space="preserve">ユ </t>
    </r>
    <r>
      <rPr>
        <sz val="10"/>
        <rFont val="Arial"/>
        <family val="0"/>
        <charset val="1"/>
      </rPr>
      <t xml:space="preserve">(yu). Xem thứ tự nét trước khi viết. Mẹo nhớ hình dáng từng chữ có ở sheet '7. Bảng chữ cái'.</t>
    </r>
  </si>
  <si>
    <r>
      <rPr>
        <sz val="10"/>
        <rFont val="Arial"/>
        <family val="0"/>
        <charset val="1"/>
      </rPr>
      <t xml:space="preserve">Học 2 từ mới: </t>
    </r>
    <r>
      <rPr>
        <sz val="10"/>
        <rFont val="Noto Sans CJK SC"/>
        <family val="2"/>
      </rPr>
      <t xml:space="preserve">ノート </t>
    </r>
    <r>
      <rPr>
        <sz val="10"/>
        <rFont val="Arial"/>
        <family val="0"/>
        <charset val="1"/>
      </rPr>
      <t xml:space="preserve">(vở) </t>
    </r>
    <r>
      <rPr>
        <sz val="10"/>
        <rFont val="Noto Sans CJK SC"/>
        <family val="2"/>
      </rPr>
      <t xml:space="preserve">・ ペン </t>
    </r>
    <r>
      <rPr>
        <sz val="10"/>
        <rFont val="Arial"/>
        <family val="0"/>
        <charset val="1"/>
      </rPr>
      <t xml:space="preserve">(bút)</t>
    </r>
  </si>
  <si>
    <r>
      <rPr>
        <b val="true"/>
        <sz val="12"/>
        <color rgb="FF1F3864"/>
        <rFont val="Arial"/>
        <family val="0"/>
        <charset val="1"/>
      </rPr>
      <t xml:space="preserve">NGÀY 12  ·  Tuần 2  ·  Katakana: 9 âm mới (</t>
    </r>
    <r>
      <rPr>
        <b val="true"/>
        <sz val="12"/>
        <color rgb="FF1F3864"/>
        <rFont val="Noto Sans CJK SC"/>
        <family val="2"/>
      </rPr>
      <t xml:space="preserve">ヨ → ン</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</si>
  <si>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9 âm: </t>
    </r>
    <r>
      <rPr>
        <sz val="10"/>
        <rFont val="Noto Sans CJK SC"/>
        <family val="2"/>
      </rPr>
      <t xml:space="preserve">ヨ </t>
    </r>
    <r>
      <rPr>
        <sz val="10"/>
        <rFont val="Arial"/>
        <family val="0"/>
        <charset val="1"/>
      </rPr>
      <t xml:space="preserve">(yo)  </t>
    </r>
    <r>
      <rPr>
        <sz val="10"/>
        <rFont val="Noto Sans CJK SC"/>
        <family val="2"/>
      </rPr>
      <t xml:space="preserve">ラ </t>
    </r>
    <r>
      <rPr>
        <sz val="10"/>
        <rFont val="Arial"/>
        <family val="0"/>
        <charset val="1"/>
      </rPr>
      <t xml:space="preserve">(ra)  </t>
    </r>
    <r>
      <rPr>
        <sz val="10"/>
        <rFont val="Noto Sans CJK SC"/>
        <family val="2"/>
      </rPr>
      <t xml:space="preserve">リ </t>
    </r>
    <r>
      <rPr>
        <sz val="10"/>
        <rFont val="Arial"/>
        <family val="0"/>
        <charset val="1"/>
      </rPr>
      <t xml:space="preserve">(ri)  </t>
    </r>
    <r>
      <rPr>
        <sz val="10"/>
        <rFont val="Noto Sans CJK SC"/>
        <family val="2"/>
      </rPr>
      <t xml:space="preserve">ル </t>
    </r>
    <r>
      <rPr>
        <sz val="10"/>
        <rFont val="Arial"/>
        <family val="0"/>
        <charset val="1"/>
      </rPr>
      <t xml:space="preserve">(ru)  </t>
    </r>
    <r>
      <rPr>
        <sz val="10"/>
        <rFont val="Noto Sans CJK SC"/>
        <family val="2"/>
      </rPr>
      <t xml:space="preserve">レ </t>
    </r>
    <r>
      <rPr>
        <sz val="10"/>
        <rFont val="Arial"/>
        <family val="0"/>
        <charset val="1"/>
      </rPr>
      <t xml:space="preserve">(re)  </t>
    </r>
    <r>
      <rPr>
        <sz val="10"/>
        <rFont val="Noto Sans CJK SC"/>
        <family val="2"/>
      </rPr>
      <t xml:space="preserve">ロ </t>
    </r>
    <r>
      <rPr>
        <sz val="10"/>
        <rFont val="Arial"/>
        <family val="0"/>
        <charset val="1"/>
      </rPr>
      <t xml:space="preserve">(ro)  </t>
    </r>
    <r>
      <rPr>
        <sz val="10"/>
        <rFont val="Noto Sans CJK SC"/>
        <family val="2"/>
      </rPr>
      <t xml:space="preserve">ワ </t>
    </r>
    <r>
      <rPr>
        <sz val="10"/>
        <rFont val="Arial"/>
        <family val="0"/>
        <charset val="1"/>
      </rPr>
      <t xml:space="preserve">(wa)  </t>
    </r>
    <r>
      <rPr>
        <sz val="10"/>
        <rFont val="Noto Sans CJK SC"/>
        <family val="2"/>
      </rPr>
      <t xml:space="preserve">ヲ </t>
    </r>
    <r>
      <rPr>
        <sz val="10"/>
        <rFont val="Arial"/>
        <family val="0"/>
        <charset val="1"/>
      </rPr>
      <t xml:space="preserve">(wo)  </t>
    </r>
    <r>
      <rPr>
        <sz val="10"/>
        <rFont val="Noto Sans CJK SC"/>
        <family val="2"/>
      </rPr>
      <t xml:space="preserve">ン </t>
    </r>
    <r>
      <rPr>
        <sz val="10"/>
        <rFont val="Arial"/>
        <family val="0"/>
        <charset val="1"/>
      </rPr>
      <t xml:space="preserve">(n). Xem thứ tự nét trước khi viết. Mẹo nhớ hình dáng từng chữ có ở sheet '7. Bảng chữ cái'.</t>
    </r>
  </si>
  <si>
    <r>
      <rPr>
        <sz val="10"/>
        <rFont val="Arial"/>
        <family val="0"/>
        <charset val="1"/>
      </rPr>
      <t xml:space="preserve">Học 2 từ mới: </t>
    </r>
    <r>
      <rPr>
        <sz val="10"/>
        <rFont val="Noto Sans CJK SC"/>
        <family val="2"/>
      </rPr>
      <t xml:space="preserve">カメラ </t>
    </r>
    <r>
      <rPr>
        <sz val="10"/>
        <rFont val="Arial"/>
        <family val="0"/>
        <charset val="1"/>
      </rPr>
      <t xml:space="preserve">(máy ảnh) </t>
    </r>
    <r>
      <rPr>
        <sz val="10"/>
        <rFont val="Noto Sans CJK SC"/>
        <family val="2"/>
      </rPr>
      <t xml:space="preserve">・ パソコン </t>
    </r>
    <r>
      <rPr>
        <sz val="10"/>
        <rFont val="Arial"/>
        <family val="0"/>
        <charset val="1"/>
      </rPr>
      <t xml:space="preserve">(máy tính)</t>
    </r>
  </si>
  <si>
    <r>
      <rPr>
        <b val="true"/>
        <sz val="12"/>
        <color rgb="FF1F3864"/>
        <rFont val="Arial"/>
        <family val="0"/>
        <charset val="1"/>
      </rPr>
      <t xml:space="preserve">NGÀY 13  ·  Tuần 2  ·  Katakana: âm đục, âm bán đục và âm ghép      </t>
    </r>
    <r>
      <rPr>
        <b val="true"/>
        <sz val="12"/>
        <color rgb="FF1F3864"/>
        <rFont val="Noto Sans CJK SC"/>
        <family val="2"/>
      </rPr>
      <t xml:space="preserve">〔</t>
    </r>
    <r>
      <rPr>
        <b val="true"/>
        <sz val="12"/>
        <color rgb="FF1F3864"/>
        <rFont val="Arial"/>
        <family val="0"/>
        <charset val="1"/>
      </rPr>
      <t xml:space="preserve">90 phút · 5 việc</t>
    </r>
    <r>
      <rPr>
        <b val="true"/>
        <sz val="12"/>
        <color rgb="FF1F3864"/>
        <rFont val="Noto Sans CJK SC"/>
        <family val="2"/>
      </rPr>
      <t xml:space="preserve">〕</t>
    </r>
  </si>
  <si>
    <r>
      <rPr>
        <sz val="10"/>
        <rFont val="Arial"/>
        <family val="0"/>
        <charset val="1"/>
      </rPr>
      <t xml:space="preserve">Học 2 từ mới: </t>
    </r>
    <r>
      <rPr>
        <sz val="10"/>
        <rFont val="Noto Sans CJK SC"/>
        <family val="2"/>
      </rPr>
      <t xml:space="preserve">レストラン </t>
    </r>
    <r>
      <rPr>
        <sz val="10"/>
        <rFont val="Arial"/>
        <family val="0"/>
        <charset val="1"/>
      </rPr>
      <t xml:space="preserve">(nhà hàng) </t>
    </r>
    <r>
      <rPr>
        <sz val="10"/>
        <rFont val="Noto Sans CJK SC"/>
        <family val="2"/>
      </rPr>
      <t xml:space="preserve">・ コンビニ </t>
    </r>
    <r>
      <rPr>
        <sz val="10"/>
        <rFont val="Arial"/>
        <family val="0"/>
        <charset val="1"/>
      </rPr>
      <t xml:space="preserve">(cửa hàng tiện lợi)</t>
    </r>
  </si>
  <si>
    <r>
      <rPr>
        <b val="true"/>
        <sz val="12"/>
        <color rgb="FF1F3864"/>
        <rFont val="Arial"/>
        <family val="0"/>
        <charset val="1"/>
      </rPr>
      <t xml:space="preserve">NGÀY 14  ·  Tuần 2  ·  Ôn tập &amp; kiểm tra toàn bộ Katakana      </t>
    </r>
    <r>
      <rPr>
        <b val="true"/>
        <sz val="12"/>
        <color rgb="FF1F3864"/>
        <rFont val="Noto Sans CJK SC"/>
        <family val="2"/>
      </rPr>
      <t xml:space="preserve">〔</t>
    </r>
    <r>
      <rPr>
        <b val="true"/>
        <sz val="12"/>
        <color rgb="FF1F3864"/>
        <rFont val="Arial"/>
        <family val="0"/>
        <charset val="1"/>
      </rPr>
      <t xml:space="preserve">85 phút · 5 việc</t>
    </r>
    <r>
      <rPr>
        <b val="true"/>
        <sz val="12"/>
        <color rgb="FF1F3864"/>
        <rFont val="Noto Sans CJK SC"/>
        <family val="2"/>
      </rPr>
      <t xml:space="preserve">〕</t>
    </r>
  </si>
  <si>
    <t xml:space="preserve">Lấy giấy trắng, viết lại toàn bộ 104 âm Katakana mà KHÔNG nhìn bảng. Đối chiếu, khoanh tròn âm sai.</t>
  </si>
  <si>
    <t xml:space="preserve">Nhìn 50 âm Katakana ngẫu nhiên đọc to trong 3 phút. Mục tiêu dưới 1 giây/âm.</t>
  </si>
  <si>
    <t xml:space="preserve">GIAI ĐOẠN 2A · NGÀY 15–45 · MINNA BÀI 1–13</t>
  </si>
  <si>
    <r>
      <rPr>
        <b val="true"/>
        <sz val="12"/>
        <color rgb="FF1F3864"/>
        <rFont val="Arial"/>
        <family val="0"/>
        <charset val="1"/>
      </rPr>
      <t xml:space="preserve">NGÀY 15  ·  Tuần 3  ·  Minna Bài 1 (1/2)  ·  Chào hỏi &amp; Giới thiệu bản thân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</si>
  <si>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t xml:space="preserve">◐  Khởi động</t>
  </si>
  <si>
    <t xml:space="preserve">Ôn nhanh nội dung hôm qua: đọc lại Kanji và mẫu ngữ pháp cũ, không nhìn đáp án.</t>
  </si>
  <si>
    <r>
      <rPr>
        <b val="true"/>
        <sz val="10"/>
        <rFont val="Noto Sans CJK SC"/>
        <family val="2"/>
      </rPr>
      <t xml:space="preserve">部  </t>
    </r>
    <r>
      <rPr>
        <b val="true"/>
        <sz val="10"/>
        <rFont val="Arial"/>
        <family val="0"/>
        <charset val="1"/>
      </rPr>
      <t xml:space="preserve">Bộ thủ</t>
    </r>
  </si>
  <si>
    <r>
      <rPr>
        <sz val="10"/>
        <rFont val="Arial"/>
        <family val="0"/>
        <charset val="1"/>
      </rPr>
      <t xml:space="preserve">Bộ </t>
    </r>
    <r>
      <rPr>
        <sz val="10"/>
        <rFont val="Noto Sans CJK SC"/>
        <family val="2"/>
      </rPr>
      <t xml:space="preserve">人 </t>
    </r>
    <r>
      <rPr>
        <sz val="10"/>
        <rFont val="Arial"/>
        <family val="0"/>
        <charset val="1"/>
      </rPr>
      <t xml:space="preserve">/ </t>
    </r>
    <r>
      <rPr>
        <sz val="10"/>
        <rFont val="Noto Sans CJK SC"/>
        <family val="2"/>
      </rPr>
      <t xml:space="preserve">亻 </t>
    </r>
    <r>
      <rPr>
        <sz val="10"/>
        <rFont val="Arial"/>
        <family val="0"/>
        <charset val="1"/>
      </rPr>
      <t xml:space="preserve">(</t>
    </r>
    <r>
      <rPr>
        <sz val="10"/>
        <rFont val="Noto Sans CJK SC"/>
        <family val="2"/>
      </rPr>
      <t xml:space="preserve">ひと </t>
    </r>
    <r>
      <rPr>
        <sz val="10"/>
        <rFont val="Arial"/>
        <family val="0"/>
        <charset val="1"/>
      </rPr>
      <t xml:space="preserve">/ </t>
    </r>
    <r>
      <rPr>
        <sz val="10"/>
        <rFont val="Noto Sans CJK SC"/>
        <family val="2"/>
      </rPr>
      <t xml:space="preserve">にんべん</t>
    </r>
    <r>
      <rPr>
        <sz val="10"/>
        <rFont val="Arial"/>
        <family val="0"/>
        <charset val="1"/>
      </rPr>
      <t xml:space="preserve">) = Người
   Mẹo nhớ: </t>
    </r>
    <r>
      <rPr>
        <sz val="10"/>
        <rFont val="Noto Sans CJK SC"/>
        <family val="2"/>
      </rPr>
      <t xml:space="preserve">亻 </t>
    </r>
    <r>
      <rPr>
        <sz val="10"/>
        <rFont val="Arial"/>
        <family val="0"/>
        <charset val="1"/>
      </rPr>
      <t xml:space="preserve">đứng bên trái = dáng người đứng nghiêng
   Kanji chứa bộ này: </t>
    </r>
    <r>
      <rPr>
        <sz val="10"/>
        <rFont val="Noto Sans CJK SC"/>
        <family val="2"/>
      </rPr>
      <t xml:space="preserve">人・休・何・今</t>
    </r>
  </si>
  <si>
    <r>
      <rPr>
        <b val="true"/>
        <sz val="10"/>
        <rFont val="Noto Sans CJK SC"/>
        <family val="2"/>
      </rPr>
      <t xml:space="preserve">漢  </t>
    </r>
    <r>
      <rPr>
        <b val="true"/>
        <sz val="10"/>
        <rFont val="Arial"/>
        <family val="0"/>
        <charset val="1"/>
      </rPr>
      <t xml:space="preserve">Kanji</t>
    </r>
  </si>
  <si>
    <r>
      <rPr>
        <sz val="10"/>
        <rFont val="Arial"/>
        <family val="0"/>
        <charset val="1"/>
      </rPr>
      <t xml:space="preserve">Học 2 chữ. Mỗi chữ viết tay 10 lần đúng thứ tự nét.
• </t>
    </r>
    <r>
      <rPr>
        <sz val="10"/>
        <rFont val="Noto Sans CJK SC"/>
        <family val="2"/>
      </rPr>
      <t xml:space="preserve">日 </t>
    </r>
    <r>
      <rPr>
        <sz val="10"/>
        <rFont val="Arial"/>
        <family val="0"/>
        <charset val="1"/>
      </rPr>
      <t xml:space="preserve">[NHẬT] Ngày, mặt trời — On: </t>
    </r>
    <r>
      <rPr>
        <sz val="10"/>
        <rFont val="Noto Sans CJK SC"/>
        <family val="2"/>
      </rPr>
      <t xml:space="preserve">ニチ・ジツ </t>
    </r>
    <r>
      <rPr>
        <sz val="10"/>
        <rFont val="Arial"/>
        <family val="0"/>
        <charset val="1"/>
      </rPr>
      <t xml:space="preserve">/ Kun: </t>
    </r>
    <r>
      <rPr>
        <sz val="10"/>
        <rFont val="Noto Sans CJK SC"/>
        <family val="2"/>
      </rPr>
      <t xml:space="preserve">ひ・か </t>
    </r>
    <r>
      <rPr>
        <sz val="10"/>
        <rFont val="Arial"/>
        <family val="0"/>
        <charset val="1"/>
      </rPr>
      <t xml:space="preserve">(4 nét)
   Từ ghép: </t>
    </r>
    <r>
      <rPr>
        <sz val="10"/>
        <rFont val="Noto Sans CJK SC"/>
        <family val="2"/>
      </rPr>
      <t xml:space="preserve">日本 </t>
    </r>
    <r>
      <rPr>
        <sz val="10"/>
        <rFont val="Arial"/>
        <family val="0"/>
        <charset val="1"/>
      </rPr>
      <t xml:space="preserve">(</t>
    </r>
    <r>
      <rPr>
        <sz val="10"/>
        <rFont val="Noto Sans CJK SC"/>
        <family val="2"/>
      </rPr>
      <t xml:space="preserve">にほん</t>
    </r>
    <r>
      <rPr>
        <sz val="10"/>
        <rFont val="Arial"/>
        <family val="0"/>
        <charset val="1"/>
      </rPr>
      <t xml:space="preserve">) Nhật Bản </t>
    </r>
    <r>
      <rPr>
        <sz val="10"/>
        <rFont val="Noto Sans CJK SC"/>
        <family val="2"/>
      </rPr>
      <t xml:space="preserve">・ 今日 </t>
    </r>
    <r>
      <rPr>
        <sz val="10"/>
        <rFont val="Arial"/>
        <family val="0"/>
        <charset val="1"/>
      </rPr>
      <t xml:space="preserve">(</t>
    </r>
    <r>
      <rPr>
        <sz val="10"/>
        <rFont val="Noto Sans CJK SC"/>
        <family val="2"/>
      </rPr>
      <t xml:space="preserve">きょう</t>
    </r>
    <r>
      <rPr>
        <sz val="10"/>
        <rFont val="Arial"/>
        <family val="0"/>
        <charset val="1"/>
      </rPr>
      <t xml:space="preserve">) hôm nay </t>
    </r>
    <r>
      <rPr>
        <sz val="10"/>
        <rFont val="Noto Sans CJK SC"/>
        <family val="2"/>
      </rPr>
      <t xml:space="preserve">・ 毎日 </t>
    </r>
    <r>
      <rPr>
        <sz val="10"/>
        <rFont val="Arial"/>
        <family val="0"/>
        <charset val="1"/>
      </rPr>
      <t xml:space="preserve">(</t>
    </r>
    <r>
      <rPr>
        <sz val="10"/>
        <rFont val="Noto Sans CJK SC"/>
        <family val="2"/>
      </rPr>
      <t xml:space="preserve">まいにち</t>
    </r>
    <r>
      <rPr>
        <sz val="10"/>
        <rFont val="Arial"/>
        <family val="0"/>
        <charset val="1"/>
      </rPr>
      <t xml:space="preserve">) hằng ngày
   Mẹo: Ô vuông có một gạch ở giữa = mặt trời có chấm đen. Mặt trời mọc một lần → một NGÀY.
• </t>
    </r>
    <r>
      <rPr>
        <sz val="10"/>
        <rFont val="Noto Sans CJK SC"/>
        <family val="2"/>
      </rPr>
      <t xml:space="preserve">一 </t>
    </r>
    <r>
      <rPr>
        <sz val="10"/>
        <rFont val="Arial"/>
        <family val="0"/>
        <charset val="1"/>
      </rPr>
      <t xml:space="preserve">[NHẤT] Một — On: </t>
    </r>
    <r>
      <rPr>
        <sz val="10"/>
        <rFont val="Noto Sans CJK SC"/>
        <family val="2"/>
      </rPr>
      <t xml:space="preserve">イチ・イツ </t>
    </r>
    <r>
      <rPr>
        <sz val="10"/>
        <rFont val="Arial"/>
        <family val="0"/>
        <charset val="1"/>
      </rPr>
      <t xml:space="preserve">/ Kun: </t>
    </r>
    <r>
      <rPr>
        <sz val="10"/>
        <rFont val="Noto Sans CJK SC"/>
        <family val="2"/>
      </rPr>
      <t xml:space="preserve">ひと</t>
    </r>
    <r>
      <rPr>
        <sz val="10"/>
        <rFont val="Arial"/>
        <family val="0"/>
        <charset val="1"/>
      </rPr>
      <t xml:space="preserve">(</t>
    </r>
    <r>
      <rPr>
        <sz val="10"/>
        <rFont val="Noto Sans CJK SC"/>
        <family val="2"/>
      </rPr>
      <t xml:space="preserve">つ</t>
    </r>
    <r>
      <rPr>
        <sz val="10"/>
        <rFont val="Arial"/>
        <family val="0"/>
        <charset val="1"/>
      </rPr>
      <t xml:space="preserve">) (1 nét)
   Từ ghép: </t>
    </r>
    <r>
      <rPr>
        <sz val="10"/>
        <rFont val="Noto Sans CJK SC"/>
        <family val="2"/>
      </rPr>
      <t xml:space="preserve">一つ </t>
    </r>
    <r>
      <rPr>
        <sz val="10"/>
        <rFont val="Arial"/>
        <family val="0"/>
        <charset val="1"/>
      </rPr>
      <t xml:space="preserve">(</t>
    </r>
    <r>
      <rPr>
        <sz val="10"/>
        <rFont val="Noto Sans CJK SC"/>
        <family val="2"/>
      </rPr>
      <t xml:space="preserve">ひとつ</t>
    </r>
    <r>
      <rPr>
        <sz val="10"/>
        <rFont val="Arial"/>
        <family val="0"/>
        <charset val="1"/>
      </rPr>
      <t xml:space="preserve">) một cái </t>
    </r>
    <r>
      <rPr>
        <sz val="10"/>
        <rFont val="Noto Sans CJK SC"/>
        <family val="2"/>
      </rPr>
      <t xml:space="preserve">・ 一人 </t>
    </r>
    <r>
      <rPr>
        <sz val="10"/>
        <rFont val="Arial"/>
        <family val="0"/>
        <charset val="1"/>
      </rPr>
      <t xml:space="preserve">(</t>
    </r>
    <r>
      <rPr>
        <sz val="10"/>
        <rFont val="Noto Sans CJK SC"/>
        <family val="2"/>
      </rPr>
      <t xml:space="preserve">ひとり</t>
    </r>
    <r>
      <rPr>
        <sz val="10"/>
        <rFont val="Arial"/>
        <family val="0"/>
        <charset val="1"/>
      </rPr>
      <t xml:space="preserve">) một người </t>
    </r>
    <r>
      <rPr>
        <sz val="10"/>
        <rFont val="Noto Sans CJK SC"/>
        <family val="2"/>
      </rPr>
      <t xml:space="preserve">・ 一月 </t>
    </r>
    <r>
      <rPr>
        <sz val="10"/>
        <rFont val="Arial"/>
        <family val="0"/>
        <charset val="1"/>
      </rPr>
      <t xml:space="preserve">(</t>
    </r>
    <r>
      <rPr>
        <sz val="10"/>
        <rFont val="Noto Sans CJK SC"/>
        <family val="2"/>
      </rPr>
      <t xml:space="preserve">いちがつ</t>
    </r>
    <r>
      <rPr>
        <sz val="10"/>
        <rFont val="Arial"/>
        <family val="0"/>
        <charset val="1"/>
      </rPr>
      <t xml:space="preserve">) tháng Một
   Mẹo: Một nét ngang = số 1. Dễ nhất trong 103 chữ, nhưng chú ý </t>
    </r>
    <r>
      <rPr>
        <sz val="10"/>
        <rFont val="Noto Sans CJK SC"/>
        <family val="2"/>
      </rPr>
      <t xml:space="preserve">一人 </t>
    </r>
    <r>
      <rPr>
        <sz val="10"/>
        <rFont val="Arial"/>
        <family val="0"/>
        <charset val="1"/>
      </rPr>
      <t xml:space="preserve">đọc bất quy tắc là </t>
    </r>
    <r>
      <rPr>
        <sz val="10"/>
        <rFont val="Noto Sans CJK SC"/>
        <family val="2"/>
      </rPr>
      <t xml:space="preserve">ひとり</t>
    </r>
    <r>
      <rPr>
        <sz val="10"/>
        <rFont val="Arial"/>
        <family val="0"/>
        <charset val="1"/>
      </rPr>
      <t xml:space="preserve">.</t>
    </r>
  </si>
  <si>
    <r>
      <rPr>
        <b val="true"/>
        <sz val="10"/>
        <rFont val="Noto Sans CJK SC"/>
        <family val="2"/>
      </rPr>
      <t xml:space="preserve">文  </t>
    </r>
    <r>
      <rPr>
        <b val="true"/>
        <sz val="10"/>
        <rFont val="Arial"/>
        <family val="0"/>
        <charset val="1"/>
      </rPr>
      <t xml:space="preserve">Ngữ pháp</t>
    </r>
  </si>
  <si>
    <r>
      <rPr>
        <sz val="10"/>
        <rFont val="Arial"/>
        <family val="0"/>
        <charset val="1"/>
      </rPr>
      <t xml:space="preserve">Minna bài 1 (1/2) — Chào hỏi &amp; Giới thiệu bản thân
• N1 </t>
    </r>
    <r>
      <rPr>
        <sz val="10"/>
        <rFont val="Noto Sans CJK SC"/>
        <family val="2"/>
      </rPr>
      <t xml:space="preserve">は </t>
    </r>
    <r>
      <rPr>
        <sz val="10"/>
        <rFont val="Arial"/>
        <family val="0"/>
        <charset val="1"/>
      </rPr>
      <t xml:space="preserve">N2 </t>
    </r>
    <r>
      <rPr>
        <sz val="10"/>
        <rFont val="Noto Sans CJK SC"/>
        <family val="2"/>
      </rPr>
      <t xml:space="preserve">です  </t>
    </r>
    <r>
      <rPr>
        <sz val="10"/>
        <rFont val="Arial"/>
        <family val="0"/>
        <charset val="1"/>
      </rPr>
      <t xml:space="preserve">(N1 là N2. </t>
    </r>
    <r>
      <rPr>
        <sz val="10"/>
        <rFont val="Noto Sans CJK SC"/>
        <family val="2"/>
      </rPr>
      <t xml:space="preserve">は </t>
    </r>
    <r>
      <rPr>
        <sz val="10"/>
        <rFont val="Arial"/>
        <family val="0"/>
        <charset val="1"/>
      </rPr>
      <t xml:space="preserve">đọc là 'wa' khi làm trợ từ chủ đề.)
   Ví dụ: </t>
    </r>
    <r>
      <rPr>
        <sz val="10"/>
        <rFont val="Noto Sans CJK SC"/>
        <family val="2"/>
      </rPr>
      <t xml:space="preserve">わたしは グエンです。  </t>
    </r>
    <r>
      <rPr>
        <sz val="10"/>
        <rFont val="Arial"/>
        <family val="0"/>
        <charset val="1"/>
      </rPr>
      <t xml:space="preserve">= Tôi là Nguyễn.
• N1 </t>
    </r>
    <r>
      <rPr>
        <sz val="10"/>
        <rFont val="Noto Sans CJK SC"/>
        <family val="2"/>
      </rPr>
      <t xml:space="preserve">は </t>
    </r>
    <r>
      <rPr>
        <sz val="10"/>
        <rFont val="Arial"/>
        <family val="0"/>
        <charset val="1"/>
      </rPr>
      <t xml:space="preserve">N2 </t>
    </r>
    <r>
      <rPr>
        <sz val="10"/>
        <rFont val="Noto Sans CJK SC"/>
        <family val="2"/>
      </rPr>
      <t xml:space="preserve">じゃ ありません  </t>
    </r>
    <r>
      <rPr>
        <sz val="10"/>
        <rFont val="Arial"/>
        <family val="0"/>
        <charset val="1"/>
      </rPr>
      <t xml:space="preserve">(N1 không phải là N2. Văn viết dùng </t>
    </r>
    <r>
      <rPr>
        <sz val="10"/>
        <rFont val="Noto Sans CJK SC"/>
        <family val="2"/>
      </rPr>
      <t xml:space="preserve">では ありません</t>
    </r>
    <r>
      <rPr>
        <sz val="10"/>
        <rFont val="Arial"/>
        <family val="0"/>
        <charset val="1"/>
      </rPr>
      <t xml:space="preserve">.)
   Ví dụ: </t>
    </r>
    <r>
      <rPr>
        <sz val="10"/>
        <rFont val="Noto Sans CJK SC"/>
        <family val="2"/>
      </rPr>
      <t xml:space="preserve">わたしは 学生じゃ ありません。  </t>
    </r>
    <r>
      <rPr>
        <sz val="10"/>
        <rFont val="Arial"/>
        <family val="0"/>
        <charset val="1"/>
      </rPr>
      <t xml:space="preserve">= Tôi không phải là học sinh.
• N1 </t>
    </r>
    <r>
      <rPr>
        <sz val="10"/>
        <rFont val="Noto Sans CJK SC"/>
        <family val="2"/>
      </rPr>
      <t xml:space="preserve">は </t>
    </r>
    <r>
      <rPr>
        <sz val="10"/>
        <rFont val="Arial"/>
        <family val="0"/>
        <charset val="1"/>
      </rPr>
      <t xml:space="preserve">N2 </t>
    </r>
    <r>
      <rPr>
        <sz val="10"/>
        <rFont val="Noto Sans CJK SC"/>
        <family val="2"/>
      </rPr>
      <t xml:space="preserve">ですか  </t>
    </r>
    <r>
      <rPr>
        <sz val="10"/>
        <rFont val="Arial"/>
        <family val="0"/>
        <charset val="1"/>
      </rPr>
      <t xml:space="preserve">(N1 có phải là N2 không? Thêm </t>
    </r>
    <r>
      <rPr>
        <sz val="10"/>
        <rFont val="Noto Sans CJK SC"/>
        <family val="2"/>
      </rPr>
      <t xml:space="preserve">か </t>
    </r>
    <r>
      <rPr>
        <sz val="10"/>
        <rFont val="Arial"/>
        <family val="0"/>
        <charset val="1"/>
      </rPr>
      <t xml:space="preserve">cuối câu là thành câu hỏi.)
   Ví dụ: </t>
    </r>
    <r>
      <rPr>
        <sz val="10"/>
        <rFont val="Noto Sans CJK SC"/>
        <family val="2"/>
      </rPr>
      <t xml:space="preserve">ミラーさんは アメリカ人ですか。  </t>
    </r>
    <r>
      <rPr>
        <sz val="10"/>
        <rFont val="Arial"/>
        <family val="0"/>
        <charset val="1"/>
      </rPr>
      <t xml:space="preserve">= Anh Miller là người Mỹ phải không?
→ Làm </t>
    </r>
    <r>
      <rPr>
        <sz val="10"/>
        <rFont val="Noto Sans CJK SC"/>
        <family val="2"/>
      </rPr>
      <t xml:space="preserve">練習</t>
    </r>
    <r>
      <rPr>
        <sz val="10"/>
        <rFont val="Arial"/>
        <family val="0"/>
        <charset val="1"/>
      </rPr>
      <t xml:space="preserve">A của bài 1 trong sách, mỗi mẫu tự đặt 3 câu.</t>
    </r>
  </si>
  <si>
    <r>
      <rPr>
        <sz val="10"/>
        <rFont val="Arial"/>
        <family val="0"/>
        <charset val="1"/>
      </rPr>
      <t xml:space="preserve">Từ mới Minna bài 1:
• </t>
    </r>
    <r>
      <rPr>
        <sz val="10"/>
        <rFont val="Noto Sans CJK SC"/>
        <family val="2"/>
      </rPr>
      <t xml:space="preserve">わたし（私） </t>
    </r>
    <r>
      <rPr>
        <sz val="10"/>
        <rFont val="Arial"/>
        <family val="0"/>
        <charset val="1"/>
      </rPr>
      <t xml:space="preserve">= Tôi
   Mẹo: Kanji </t>
    </r>
    <r>
      <rPr>
        <sz val="10"/>
        <rFont val="Noto Sans CJK SC"/>
        <family val="2"/>
      </rPr>
      <t xml:space="preserve">私 </t>
    </r>
    <r>
      <rPr>
        <sz val="10"/>
        <rFont val="Arial"/>
        <family val="0"/>
        <charset val="1"/>
      </rPr>
      <t xml:space="preserve">= </t>
    </r>
    <r>
      <rPr>
        <sz val="10"/>
        <rFont val="Noto Sans CJK SC"/>
        <family val="2"/>
      </rPr>
      <t xml:space="preserve">禾 </t>
    </r>
    <r>
      <rPr>
        <sz val="10"/>
        <rFont val="Arial"/>
        <family val="0"/>
        <charset val="1"/>
      </rPr>
      <t xml:space="preserve">(lúa) + </t>
    </r>
    <r>
      <rPr>
        <sz val="10"/>
        <rFont val="Noto Sans CJK SC"/>
        <family val="2"/>
      </rPr>
      <t xml:space="preserve">ム </t>
    </r>
    <r>
      <rPr>
        <sz val="10"/>
        <rFont val="Arial"/>
        <family val="0"/>
        <charset val="1"/>
      </rPr>
      <t xml:space="preserve">(riêng) → phần lúa riêng của mình = TÔI.
• </t>
    </r>
    <r>
      <rPr>
        <sz val="10"/>
        <rFont val="Noto Sans CJK SC"/>
        <family val="2"/>
      </rPr>
      <t xml:space="preserve">あなた </t>
    </r>
    <r>
      <rPr>
        <sz val="10"/>
        <rFont val="Arial"/>
        <family val="0"/>
        <charset val="1"/>
      </rPr>
      <t xml:space="preserve">= Bạn, anh/chị
   Mẹo: A-NA-TA nghe gần như 'anh ta' — người đối diện mình.
• </t>
    </r>
    <r>
      <rPr>
        <sz val="10"/>
        <rFont val="Noto Sans CJK SC"/>
        <family val="2"/>
      </rPr>
      <t xml:space="preserve">せんせい（先生） </t>
    </r>
    <r>
      <rPr>
        <sz val="10"/>
        <rFont val="Arial"/>
        <family val="0"/>
        <charset val="1"/>
      </rPr>
      <t xml:space="preserve">= Giáo viên
   Mẹo: Âm Hán Việt TIÊN SINH = người sinh ra trước, đi trước ta → thầy cô.
• </t>
    </r>
    <r>
      <rPr>
        <sz val="10"/>
        <rFont val="Noto Sans CJK SC"/>
        <family val="2"/>
      </rPr>
      <t xml:space="preserve">がくせい（学生） </t>
    </r>
    <r>
      <rPr>
        <sz val="10"/>
        <rFont val="Arial"/>
        <family val="0"/>
        <charset val="1"/>
      </rPr>
      <t xml:space="preserve">= Học sinh, sinh viên
   Mẹo: HỌC SINH — </t>
    </r>
    <r>
      <rPr>
        <sz val="10"/>
        <rFont val="Noto Sans CJK SC"/>
        <family val="2"/>
      </rPr>
      <t xml:space="preserve">学 </t>
    </r>
    <r>
      <rPr>
        <sz val="10"/>
        <rFont val="Arial"/>
        <family val="0"/>
        <charset val="1"/>
      </rPr>
      <t xml:space="preserve">(học) + </t>
    </r>
    <r>
      <rPr>
        <sz val="10"/>
        <rFont val="Noto Sans CJK SC"/>
        <family val="2"/>
      </rPr>
      <t xml:space="preserve">生 </t>
    </r>
    <r>
      <rPr>
        <sz val="10"/>
        <rFont val="Arial"/>
        <family val="0"/>
        <charset val="1"/>
      </rPr>
      <t xml:space="preserve">(sinh). Đọc thẳng âm Hán Việt là ra.
• </t>
    </r>
    <r>
      <rPr>
        <sz val="10"/>
        <rFont val="Noto Sans CJK SC"/>
        <family val="2"/>
      </rPr>
      <t xml:space="preserve">かいしゃいん（会社員） </t>
    </r>
    <r>
      <rPr>
        <sz val="10"/>
        <rFont val="Arial"/>
        <family val="0"/>
        <charset val="1"/>
      </rPr>
      <t xml:space="preserve">= Nhân viên công ty
   Mẹo: HỘI XÃ VIÊN = </t>
    </r>
    <r>
      <rPr>
        <sz val="10"/>
        <rFont val="Noto Sans CJK SC"/>
        <family val="2"/>
      </rPr>
      <t xml:space="preserve">会 </t>
    </r>
    <r>
      <rPr>
        <sz val="10"/>
        <rFont val="Arial"/>
        <family val="0"/>
        <charset val="1"/>
      </rPr>
      <t xml:space="preserve">(hội) + </t>
    </r>
    <r>
      <rPr>
        <sz val="10"/>
        <rFont val="Noto Sans CJK SC"/>
        <family val="2"/>
      </rPr>
      <t xml:space="preserve">社 </t>
    </r>
    <r>
      <rPr>
        <sz val="10"/>
        <rFont val="Arial"/>
        <family val="0"/>
        <charset val="1"/>
      </rPr>
      <t xml:space="preserve">(xã) + </t>
    </r>
    <r>
      <rPr>
        <sz val="10"/>
        <rFont val="Noto Sans CJK SC"/>
        <family val="2"/>
      </rPr>
      <t xml:space="preserve">員 </t>
    </r>
    <r>
      <rPr>
        <sz val="10"/>
        <rFont val="Arial"/>
        <family val="0"/>
        <charset val="1"/>
      </rPr>
      <t xml:space="preserve">(viên).
• </t>
    </r>
    <r>
      <rPr>
        <sz val="10"/>
        <rFont val="Noto Sans CJK SC"/>
        <family val="2"/>
      </rPr>
      <t xml:space="preserve">いしゃ（医者） </t>
    </r>
    <r>
      <rPr>
        <sz val="10"/>
        <rFont val="Arial"/>
        <family val="0"/>
        <charset val="1"/>
      </rPr>
      <t xml:space="preserve">= Bác sĩ
   Mẹo: Y GIẢ = người làm nghề y. </t>
    </r>
    <r>
      <rPr>
        <sz val="10"/>
        <rFont val="Noto Sans CJK SC"/>
        <family val="2"/>
      </rPr>
      <t xml:space="preserve">者 </t>
    </r>
    <r>
      <rPr>
        <sz val="10"/>
        <rFont val="Arial"/>
        <family val="0"/>
        <charset val="1"/>
      </rPr>
      <t xml:space="preserve">(giả) = người, gặp lại ở </t>
    </r>
    <r>
      <rPr>
        <sz val="10"/>
        <rFont val="Noto Sans CJK SC"/>
        <family val="2"/>
      </rPr>
      <t xml:space="preserve">学者</t>
    </r>
    <r>
      <rPr>
        <sz val="10"/>
        <rFont val="Arial"/>
        <family val="0"/>
        <charset val="1"/>
      </rPr>
      <t xml:space="preserve">, </t>
    </r>
    <r>
      <rPr>
        <sz val="10"/>
        <rFont val="Noto Sans CJK SC"/>
        <family val="2"/>
      </rPr>
      <t xml:space="preserve">記者</t>
    </r>
    <r>
      <rPr>
        <sz val="10"/>
        <rFont val="Arial"/>
        <family val="0"/>
        <charset val="1"/>
      </rPr>
      <t xml:space="preserve">.
• </t>
    </r>
    <r>
      <rPr>
        <sz val="10"/>
        <rFont val="Noto Sans CJK SC"/>
        <family val="2"/>
      </rPr>
      <t xml:space="preserve">ぎんこういん（銀行員） </t>
    </r>
    <r>
      <rPr>
        <sz val="10"/>
        <rFont val="Arial"/>
        <family val="0"/>
        <charset val="1"/>
      </rPr>
      <t xml:space="preserve">= Nhân viên ngân hàng
   Mẹo: NGÂN HÀNH VIÊN. </t>
    </r>
    <r>
      <rPr>
        <sz val="10"/>
        <rFont val="Noto Sans CJK SC"/>
        <family val="2"/>
      </rPr>
      <t xml:space="preserve">銀行 </t>
    </r>
    <r>
      <rPr>
        <sz val="10"/>
        <rFont val="Arial"/>
        <family val="0"/>
        <charset val="1"/>
      </rPr>
      <t xml:space="preserve">= ngân hàng, thêm </t>
    </r>
    <r>
      <rPr>
        <sz val="10"/>
        <rFont val="Noto Sans CJK SC"/>
        <family val="2"/>
      </rPr>
      <t xml:space="preserve">員 </t>
    </r>
    <r>
      <rPr>
        <sz val="10"/>
        <rFont val="Arial"/>
        <family val="0"/>
        <charset val="1"/>
      </rPr>
      <t xml:space="preserve">thành người làm ở đó.
→ Đối chiếu thêm với mục </t>
    </r>
    <r>
      <rPr>
        <sz val="10"/>
        <rFont val="Noto Sans CJK SC"/>
        <family val="2"/>
      </rPr>
      <t xml:space="preserve">語彙 </t>
    </r>
    <r>
      <rPr>
        <sz val="10"/>
        <rFont val="Arial"/>
        <family val="0"/>
        <charset val="1"/>
      </rPr>
      <t xml:space="preserve">của bài 1 trong sách để bổ sung.</t>
    </r>
  </si>
  <si>
    <r>
      <rPr>
        <sz val="10"/>
        <rFont val="Arial"/>
        <family val="0"/>
        <charset val="1"/>
      </rPr>
      <t xml:space="preserve">Mở CD Minna no Nihongo bài đang học, phần </t>
    </r>
    <r>
      <rPr>
        <sz val="10"/>
        <rFont val="Noto Sans CJK SC"/>
        <family val="2"/>
      </rPr>
      <t xml:space="preserve">会話</t>
    </r>
    <r>
      <rPr>
        <sz val="10"/>
        <rFont val="Arial"/>
        <family val="0"/>
        <charset val="1"/>
      </rPr>
      <t xml:space="preserve">. Nghe 3 lượt: lượt 1 chỉ nghe, lượt 2 nhìn script, lượt 3 nghe và nhắc theo.</t>
    </r>
  </si>
  <si>
    <r>
      <rPr>
        <b val="true"/>
        <sz val="12"/>
        <color rgb="FF1F3864"/>
        <rFont val="Arial"/>
        <family val="0"/>
        <charset val="1"/>
      </rPr>
      <t xml:space="preserve">NGÀY 16  ·  Tuần 3  ·  Minna Bài 1 (2/2)  ·  Chào hỏi &amp; Giới thiệu bản thân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</si>
  <si>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口 </t>
    </r>
    <r>
      <rPr>
        <sz val="10"/>
        <rFont val="Arial"/>
        <family val="0"/>
        <charset val="1"/>
      </rPr>
      <t xml:space="preserve">(</t>
    </r>
    <r>
      <rPr>
        <sz val="10"/>
        <rFont val="Noto Sans CJK SC"/>
        <family val="2"/>
      </rPr>
      <t xml:space="preserve">くち</t>
    </r>
    <r>
      <rPr>
        <sz val="10"/>
        <rFont val="Arial"/>
        <family val="0"/>
        <charset val="1"/>
      </rPr>
      <t xml:space="preserve">) = Miệng, cái lỗ
   Mẹo nhớ: Ô vuông nhỏ = cái miệng đang mở
   Kanji chứa bộ này: </t>
    </r>
    <r>
      <rPr>
        <sz val="10"/>
        <rFont val="Noto Sans CJK SC"/>
        <family val="2"/>
      </rPr>
      <t xml:space="preserve">口・名・右・古</t>
    </r>
  </si>
  <si>
    <r>
      <rPr>
        <sz val="10"/>
        <rFont val="Arial"/>
        <family val="0"/>
        <charset val="1"/>
      </rPr>
      <t xml:space="preserve">Học 2 chữ. Mỗi chữ viết tay 10 lần đúng thứ tự nét.
• </t>
    </r>
    <r>
      <rPr>
        <sz val="10"/>
        <rFont val="Noto Sans CJK SC"/>
        <family val="2"/>
      </rPr>
      <t xml:space="preserve">国 </t>
    </r>
    <r>
      <rPr>
        <sz val="10"/>
        <rFont val="Arial"/>
        <family val="0"/>
        <charset val="1"/>
      </rPr>
      <t xml:space="preserve">[QUỐC] Đất nước — On: </t>
    </r>
    <r>
      <rPr>
        <sz val="10"/>
        <rFont val="Noto Sans CJK SC"/>
        <family val="2"/>
      </rPr>
      <t xml:space="preserve">コク </t>
    </r>
    <r>
      <rPr>
        <sz val="10"/>
        <rFont val="Arial"/>
        <family val="0"/>
        <charset val="1"/>
      </rPr>
      <t xml:space="preserve">/ Kun: </t>
    </r>
    <r>
      <rPr>
        <sz val="10"/>
        <rFont val="Noto Sans CJK SC"/>
        <family val="2"/>
      </rPr>
      <t xml:space="preserve">くに </t>
    </r>
    <r>
      <rPr>
        <sz val="10"/>
        <rFont val="Arial"/>
        <family val="0"/>
        <charset val="1"/>
      </rPr>
      <t xml:space="preserve">(8 nét)
   Từ ghép: </t>
    </r>
    <r>
      <rPr>
        <sz val="10"/>
        <rFont val="Noto Sans CJK SC"/>
        <family val="2"/>
      </rPr>
      <t xml:space="preserve">外国 </t>
    </r>
    <r>
      <rPr>
        <sz val="10"/>
        <rFont val="Arial"/>
        <family val="0"/>
        <charset val="1"/>
      </rPr>
      <t xml:space="preserve">(</t>
    </r>
    <r>
      <rPr>
        <sz val="10"/>
        <rFont val="Noto Sans CJK SC"/>
        <family val="2"/>
      </rPr>
      <t xml:space="preserve">がいこく</t>
    </r>
    <r>
      <rPr>
        <sz val="10"/>
        <rFont val="Arial"/>
        <family val="0"/>
        <charset val="1"/>
      </rPr>
      <t xml:space="preserve">) nước ngoài </t>
    </r>
    <r>
      <rPr>
        <sz val="10"/>
        <rFont val="Noto Sans CJK SC"/>
        <family val="2"/>
      </rPr>
      <t xml:space="preserve">・ 国語 </t>
    </r>
    <r>
      <rPr>
        <sz val="10"/>
        <rFont val="Arial"/>
        <family val="0"/>
        <charset val="1"/>
      </rPr>
      <t xml:space="preserve">(</t>
    </r>
    <r>
      <rPr>
        <sz val="10"/>
        <rFont val="Noto Sans CJK SC"/>
        <family val="2"/>
      </rPr>
      <t xml:space="preserve">こくご</t>
    </r>
    <r>
      <rPr>
        <sz val="10"/>
        <rFont val="Arial"/>
        <family val="0"/>
        <charset val="1"/>
      </rPr>
      <t xml:space="preserve">) quốc ngữ </t>
    </r>
    <r>
      <rPr>
        <sz val="10"/>
        <rFont val="Noto Sans CJK SC"/>
        <family val="2"/>
      </rPr>
      <t xml:space="preserve">・ 中国 </t>
    </r>
    <r>
      <rPr>
        <sz val="10"/>
        <rFont val="Arial"/>
        <family val="0"/>
        <charset val="1"/>
      </rPr>
      <t xml:space="preserve">(</t>
    </r>
    <r>
      <rPr>
        <sz val="10"/>
        <rFont val="Noto Sans CJK SC"/>
        <family val="2"/>
      </rPr>
      <t xml:space="preserve">ちゅうごく</t>
    </r>
    <r>
      <rPr>
        <sz val="10"/>
        <rFont val="Arial"/>
        <family val="0"/>
        <charset val="1"/>
      </rPr>
      <t xml:space="preserve">) Trung Quốc
   Mẹo: Bộ </t>
    </r>
    <r>
      <rPr>
        <sz val="10"/>
        <rFont val="Noto Sans CJK SC"/>
        <family val="2"/>
      </rPr>
      <t xml:space="preserve">囗 </t>
    </r>
    <r>
      <rPr>
        <sz val="10"/>
        <rFont val="Arial"/>
        <family val="0"/>
        <charset val="1"/>
      </rPr>
      <t xml:space="preserve">(vòng vây, biên giới) bao lấy </t>
    </r>
    <r>
      <rPr>
        <sz val="10"/>
        <rFont val="Noto Sans CJK SC"/>
        <family val="2"/>
      </rPr>
      <t xml:space="preserve">玉 </t>
    </r>
    <r>
      <rPr>
        <sz val="10"/>
        <rFont val="Arial"/>
        <family val="0"/>
        <charset val="1"/>
      </rPr>
      <t xml:space="preserve">(ngọc quý) = lãnh thổ có biên giới bảo vệ báu vật → QUỐC GIA.
• </t>
    </r>
    <r>
      <rPr>
        <sz val="10"/>
        <rFont val="Noto Sans CJK SC"/>
        <family val="2"/>
      </rPr>
      <t xml:space="preserve">会 </t>
    </r>
    <r>
      <rPr>
        <sz val="10"/>
        <rFont val="Arial"/>
        <family val="0"/>
        <charset val="1"/>
      </rPr>
      <t xml:space="preserve">[HỘI] Gặp gỡ, hội họp — On: </t>
    </r>
    <r>
      <rPr>
        <sz val="10"/>
        <rFont val="Noto Sans CJK SC"/>
        <family val="2"/>
      </rPr>
      <t xml:space="preserve">カイ </t>
    </r>
    <r>
      <rPr>
        <sz val="10"/>
        <rFont val="Arial"/>
        <family val="0"/>
        <charset val="1"/>
      </rPr>
      <t xml:space="preserve">/ Kun: </t>
    </r>
    <r>
      <rPr>
        <sz val="10"/>
        <rFont val="Noto Sans CJK SC"/>
        <family val="2"/>
      </rPr>
      <t xml:space="preserve">あ</t>
    </r>
    <r>
      <rPr>
        <sz val="10"/>
        <rFont val="Arial"/>
        <family val="0"/>
        <charset val="1"/>
      </rPr>
      <t xml:space="preserve">(</t>
    </r>
    <r>
      <rPr>
        <sz val="10"/>
        <rFont val="Noto Sans CJK SC"/>
        <family val="2"/>
      </rPr>
      <t xml:space="preserve">う</t>
    </r>
    <r>
      <rPr>
        <sz val="10"/>
        <rFont val="Arial"/>
        <family val="0"/>
        <charset val="1"/>
      </rPr>
      <t xml:space="preserve">) (6 nét)
   Từ ghép: </t>
    </r>
    <r>
      <rPr>
        <sz val="10"/>
        <rFont val="Noto Sans CJK SC"/>
        <family val="2"/>
      </rPr>
      <t xml:space="preserve">会社 </t>
    </r>
    <r>
      <rPr>
        <sz val="10"/>
        <rFont val="Arial"/>
        <family val="0"/>
        <charset val="1"/>
      </rPr>
      <t xml:space="preserve">(</t>
    </r>
    <r>
      <rPr>
        <sz val="10"/>
        <rFont val="Noto Sans CJK SC"/>
        <family val="2"/>
      </rPr>
      <t xml:space="preserve">かいしゃ</t>
    </r>
    <r>
      <rPr>
        <sz val="10"/>
        <rFont val="Arial"/>
        <family val="0"/>
        <charset val="1"/>
      </rPr>
      <t xml:space="preserve">) công ty </t>
    </r>
    <r>
      <rPr>
        <sz val="10"/>
        <rFont val="Noto Sans CJK SC"/>
        <family val="2"/>
      </rPr>
      <t xml:space="preserve">・ 会います </t>
    </r>
    <r>
      <rPr>
        <sz val="10"/>
        <rFont val="Arial"/>
        <family val="0"/>
        <charset val="1"/>
      </rPr>
      <t xml:space="preserve">(</t>
    </r>
    <r>
      <rPr>
        <sz val="10"/>
        <rFont val="Noto Sans CJK SC"/>
        <family val="2"/>
      </rPr>
      <t xml:space="preserve">あいます</t>
    </r>
    <r>
      <rPr>
        <sz val="10"/>
        <rFont val="Arial"/>
        <family val="0"/>
        <charset val="1"/>
      </rPr>
      <t xml:space="preserve">) gặp </t>
    </r>
    <r>
      <rPr>
        <sz val="10"/>
        <rFont val="Noto Sans CJK SC"/>
        <family val="2"/>
      </rPr>
      <t xml:space="preserve">・ 会話 </t>
    </r>
    <r>
      <rPr>
        <sz val="10"/>
        <rFont val="Arial"/>
        <family val="0"/>
        <charset val="1"/>
      </rPr>
      <t xml:space="preserve">(</t>
    </r>
    <r>
      <rPr>
        <sz val="10"/>
        <rFont val="Noto Sans CJK SC"/>
        <family val="2"/>
      </rPr>
      <t xml:space="preserve">かいわ</t>
    </r>
    <r>
      <rPr>
        <sz val="10"/>
        <rFont val="Arial"/>
        <family val="0"/>
        <charset val="1"/>
      </rPr>
      <t xml:space="preserve">) hội thoại
   Mẹo: Mái nhà </t>
    </r>
    <r>
      <rPr>
        <sz val="10"/>
        <rFont val="Noto Sans CJK SC"/>
        <family val="2"/>
      </rPr>
      <t xml:space="preserve">人 </t>
    </r>
    <r>
      <rPr>
        <sz val="10"/>
        <rFont val="Arial"/>
        <family val="0"/>
        <charset val="1"/>
      </rPr>
      <t xml:space="preserve">che bên trên, nhiều người tụ lại bên dưới = cuộc HỘI HỌP.</t>
    </r>
  </si>
  <si>
    <r>
      <rPr>
        <sz val="10"/>
        <rFont val="Arial"/>
        <family val="0"/>
        <charset val="1"/>
      </rPr>
      <t xml:space="preserve">Minna bài 1 (2/2) — Chào hỏi &amp; Giới thiệu bản thân
• N </t>
    </r>
    <r>
      <rPr>
        <sz val="10"/>
        <rFont val="Noto Sans CJK SC"/>
        <family val="2"/>
      </rPr>
      <t xml:space="preserve">も  </t>
    </r>
    <r>
      <rPr>
        <sz val="10"/>
        <rFont val="Arial"/>
        <family val="0"/>
        <charset val="1"/>
      </rPr>
      <t xml:space="preserve">(N cũng. Thay thế vị trí của </t>
    </r>
    <r>
      <rPr>
        <sz val="10"/>
        <rFont val="Noto Sans CJK SC"/>
        <family val="2"/>
      </rPr>
      <t xml:space="preserve">は</t>
    </r>
    <r>
      <rPr>
        <sz val="10"/>
        <rFont val="Arial"/>
        <family val="0"/>
        <charset val="1"/>
      </rPr>
      <t xml:space="preserve">.)
   Ví dụ: </t>
    </r>
    <r>
      <rPr>
        <sz val="10"/>
        <rFont val="Noto Sans CJK SC"/>
        <family val="2"/>
      </rPr>
      <t xml:space="preserve">わたしも ベトナム人です。  </t>
    </r>
    <r>
      <rPr>
        <sz val="10"/>
        <rFont val="Arial"/>
        <family val="0"/>
        <charset val="1"/>
      </rPr>
      <t xml:space="preserve">= Tôi cũng là người Việt Nam.
• N1 </t>
    </r>
    <r>
      <rPr>
        <sz val="10"/>
        <rFont val="Noto Sans CJK SC"/>
        <family val="2"/>
      </rPr>
      <t xml:space="preserve">の </t>
    </r>
    <r>
      <rPr>
        <sz val="10"/>
        <rFont val="Arial"/>
        <family val="0"/>
        <charset val="1"/>
      </rPr>
      <t xml:space="preserve">N2  (N2 thuộc về / của N1.)
   Ví dụ: </t>
    </r>
    <r>
      <rPr>
        <sz val="10"/>
        <rFont val="Noto Sans CJK SC"/>
        <family val="2"/>
      </rPr>
      <t xml:space="preserve">わたしは </t>
    </r>
    <r>
      <rPr>
        <sz val="10"/>
        <rFont val="Arial"/>
        <family val="0"/>
        <charset val="1"/>
      </rPr>
      <t xml:space="preserve">ABC</t>
    </r>
    <r>
      <rPr>
        <sz val="10"/>
        <rFont val="Noto Sans CJK SC"/>
        <family val="2"/>
      </rPr>
      <t xml:space="preserve">の 社員です。  </t>
    </r>
    <r>
      <rPr>
        <sz val="10"/>
        <rFont val="Arial"/>
        <family val="0"/>
        <charset val="1"/>
      </rPr>
      <t xml:space="preserve">= Tôi là nhân viên của công ty ABC.
→ Làm </t>
    </r>
    <r>
      <rPr>
        <sz val="10"/>
        <rFont val="Noto Sans CJK SC"/>
        <family val="2"/>
      </rPr>
      <t xml:space="preserve">練習</t>
    </r>
    <r>
      <rPr>
        <sz val="10"/>
        <rFont val="Arial"/>
        <family val="0"/>
        <charset val="1"/>
      </rPr>
      <t xml:space="preserve">A của bài 1 trong sách, mỗi mẫu tự đặt 3 câu.</t>
    </r>
  </si>
  <si>
    <r>
      <rPr>
        <sz val="10"/>
        <rFont val="Arial"/>
        <family val="0"/>
        <charset val="1"/>
      </rPr>
      <t xml:space="preserve">Từ mới Minna bài 1:
• </t>
    </r>
    <r>
      <rPr>
        <sz val="10"/>
        <rFont val="Noto Sans CJK SC"/>
        <family val="2"/>
      </rPr>
      <t xml:space="preserve">だいがく（大学） </t>
    </r>
    <r>
      <rPr>
        <sz val="10"/>
        <rFont val="Arial"/>
        <family val="0"/>
        <charset val="1"/>
      </rPr>
      <t xml:space="preserve">= Đại học
   Mẹo: ĐẠI HỌC — chuẩn âm Hán Việt, không cần mẹo gì thêm.
• </t>
    </r>
    <r>
      <rPr>
        <sz val="10"/>
        <rFont val="Noto Sans CJK SC"/>
        <family val="2"/>
      </rPr>
      <t xml:space="preserve">なまえ（名前） </t>
    </r>
    <r>
      <rPr>
        <sz val="10"/>
        <rFont val="Arial"/>
        <family val="0"/>
        <charset val="1"/>
      </rPr>
      <t xml:space="preserve">= Tên
   Mẹo: DANH TIỀN = cái danh đặt phía trước. Nhớ </t>
    </r>
    <r>
      <rPr>
        <sz val="10"/>
        <rFont val="Noto Sans CJK SC"/>
        <family val="2"/>
      </rPr>
      <t xml:space="preserve">名 </t>
    </r>
    <r>
      <rPr>
        <sz val="10"/>
        <rFont val="Arial"/>
        <family val="0"/>
        <charset val="1"/>
      </rPr>
      <t xml:space="preserve">(danh) + </t>
    </r>
    <r>
      <rPr>
        <sz val="10"/>
        <rFont val="Noto Sans CJK SC"/>
        <family val="2"/>
      </rPr>
      <t xml:space="preserve">前 </t>
    </r>
    <r>
      <rPr>
        <sz val="10"/>
        <rFont val="Arial"/>
        <family val="0"/>
        <charset val="1"/>
      </rPr>
      <t xml:space="preserve">(tiền/trước).
• </t>
    </r>
    <r>
      <rPr>
        <sz val="10"/>
        <rFont val="Noto Sans CJK SC"/>
        <family val="2"/>
      </rPr>
      <t xml:space="preserve">だれ </t>
    </r>
    <r>
      <rPr>
        <sz val="10"/>
        <rFont val="Arial"/>
        <family val="0"/>
        <charset val="1"/>
      </rPr>
      <t xml:space="preserve">/ </t>
    </r>
    <r>
      <rPr>
        <sz val="10"/>
        <rFont val="Noto Sans CJK SC"/>
        <family val="2"/>
      </rPr>
      <t xml:space="preserve">どなた </t>
    </r>
    <r>
      <rPr>
        <sz val="10"/>
        <rFont val="Arial"/>
        <family val="0"/>
        <charset val="1"/>
      </rPr>
      <t xml:space="preserve">= Ai (</t>
    </r>
    <r>
      <rPr>
        <sz val="10"/>
        <rFont val="Noto Sans CJK SC"/>
        <family val="2"/>
      </rPr>
      <t xml:space="preserve">どなた </t>
    </r>
    <r>
      <rPr>
        <sz val="10"/>
        <rFont val="Arial"/>
        <family val="0"/>
        <charset val="1"/>
      </rPr>
      <t xml:space="preserve">lịch sự hơn)
   Mẹo: DA-RE: 'Đá rê' bóng cho AI? </t>
    </r>
    <r>
      <rPr>
        <sz val="10"/>
        <rFont val="Noto Sans CJK SC"/>
        <family val="2"/>
      </rPr>
      <t xml:space="preserve">どなた </t>
    </r>
    <r>
      <rPr>
        <sz val="10"/>
        <rFont val="Arial"/>
        <family val="0"/>
        <charset val="1"/>
      </rPr>
      <t xml:space="preserve">dùng khi hỏi người trên.
• </t>
    </r>
    <r>
      <rPr>
        <sz val="10"/>
        <rFont val="Noto Sans CJK SC"/>
        <family val="2"/>
      </rPr>
      <t xml:space="preserve">〜さん </t>
    </r>
    <r>
      <rPr>
        <sz val="10"/>
        <rFont val="Arial"/>
        <family val="0"/>
        <charset val="1"/>
      </rPr>
      <t xml:space="preserve">= Hậu tố lịch sự sau tên người
   Mẹo: Không bao giờ dùng </t>
    </r>
    <r>
      <rPr>
        <sz val="10"/>
        <rFont val="Noto Sans CJK SC"/>
        <family val="2"/>
      </rPr>
      <t xml:space="preserve">さん </t>
    </r>
    <r>
      <rPr>
        <sz val="10"/>
        <rFont val="Arial"/>
        <family val="0"/>
        <charset val="1"/>
      </rPr>
      <t xml:space="preserve">cho chính mình.
• </t>
    </r>
    <r>
      <rPr>
        <sz val="10"/>
        <rFont val="Noto Sans CJK SC"/>
        <family val="2"/>
      </rPr>
      <t xml:space="preserve">〜じん（〜人） </t>
    </r>
    <r>
      <rPr>
        <sz val="10"/>
        <rFont val="Arial"/>
        <family val="0"/>
        <charset val="1"/>
      </rPr>
      <t xml:space="preserve">= Người nước ~
   Mẹo: </t>
    </r>
    <r>
      <rPr>
        <sz val="10"/>
        <rFont val="Noto Sans CJK SC"/>
        <family val="2"/>
      </rPr>
      <t xml:space="preserve">ベトナム人 </t>
    </r>
    <r>
      <rPr>
        <sz val="10"/>
        <rFont val="Arial"/>
        <family val="0"/>
        <charset val="1"/>
      </rPr>
      <t xml:space="preserve">= người Việt. </t>
    </r>
    <r>
      <rPr>
        <sz val="10"/>
        <rFont val="Noto Sans CJK SC"/>
        <family val="2"/>
      </rPr>
      <t xml:space="preserve">人 </t>
    </r>
    <r>
      <rPr>
        <sz val="10"/>
        <rFont val="Arial"/>
        <family val="0"/>
        <charset val="1"/>
      </rPr>
      <t xml:space="preserve">đọc </t>
    </r>
    <r>
      <rPr>
        <sz val="10"/>
        <rFont val="Noto Sans CJK SC"/>
        <family val="2"/>
      </rPr>
      <t xml:space="preserve">じん </t>
    </r>
    <r>
      <rPr>
        <sz val="10"/>
        <rFont val="Arial"/>
        <family val="0"/>
        <charset val="1"/>
      </rPr>
      <t xml:space="preserve">khi đứng sau tên nước.
• </t>
    </r>
    <r>
      <rPr>
        <sz val="10"/>
        <rFont val="Noto Sans CJK SC"/>
        <family val="2"/>
      </rPr>
      <t xml:space="preserve">はじめまして </t>
    </r>
    <r>
      <rPr>
        <sz val="10"/>
        <rFont val="Arial"/>
        <family val="0"/>
        <charset val="1"/>
      </rPr>
      <t xml:space="preserve">= Rất hân hạnh được gặp
   Mẹo: Chỉ nói MỘT LẦN duy nhất khi gặp lần đầu.
• </t>
    </r>
    <r>
      <rPr>
        <sz val="10"/>
        <rFont val="Noto Sans CJK SC"/>
        <family val="2"/>
      </rPr>
      <t xml:space="preserve">どうぞ よろしく </t>
    </r>
    <r>
      <rPr>
        <sz val="10"/>
        <rFont val="Arial"/>
        <family val="0"/>
        <charset val="1"/>
      </rPr>
      <t xml:space="preserve">= Mong được giúp đỡ
   Mẹo: Câu chốt sau khi giới thiệu tên. Lịch sự hơn: </t>
    </r>
    <r>
      <rPr>
        <sz val="10"/>
        <rFont val="Noto Sans CJK SC"/>
        <family val="2"/>
      </rPr>
      <t xml:space="preserve">よろしく おねがいします。
→ </t>
    </r>
    <r>
      <rPr>
        <sz val="10"/>
        <rFont val="Arial"/>
        <family val="0"/>
        <charset val="1"/>
      </rPr>
      <t xml:space="preserve">Đối chiếu thêm với mục </t>
    </r>
    <r>
      <rPr>
        <sz val="10"/>
        <rFont val="Noto Sans CJK SC"/>
        <family val="2"/>
      </rPr>
      <t xml:space="preserve">語彙 </t>
    </r>
    <r>
      <rPr>
        <sz val="10"/>
        <rFont val="Arial"/>
        <family val="0"/>
        <charset val="1"/>
      </rPr>
      <t xml:space="preserve">của bài 1 trong sách để bổ sung.</t>
    </r>
  </si>
  <si>
    <r>
      <rPr>
        <sz val="10"/>
        <rFont val="Arial"/>
        <family val="0"/>
        <charset val="1"/>
      </rPr>
      <t xml:space="preserve">Shadowing 15 phút: bật lại </t>
    </r>
    <r>
      <rPr>
        <sz val="10"/>
        <rFont val="Noto Sans CJK SC"/>
        <family val="2"/>
      </rPr>
      <t xml:space="preserve">会話 </t>
    </r>
    <r>
      <rPr>
        <sz val="10"/>
        <rFont val="Arial"/>
        <family val="0"/>
        <charset val="1"/>
      </rPr>
      <t xml:space="preserve">hôm qua, nói đuổi theo băng, không nhìn script.</t>
    </r>
  </si>
  <si>
    <r>
      <rPr>
        <b val="true"/>
        <sz val="12"/>
        <color rgb="FF1F3864"/>
        <rFont val="Arial"/>
        <family val="0"/>
        <charset val="1"/>
      </rPr>
      <t xml:space="preserve">NGÀY 17  ·  Tuần 3  ·  Minna Bài 2 (1/2)  ·  </t>
    </r>
    <r>
      <rPr>
        <b val="true"/>
        <sz val="12"/>
        <color rgb="FF1F3864"/>
        <rFont val="Noto Sans CJK SC"/>
        <family val="2"/>
      </rPr>
      <t xml:space="preserve">これ・それ・あれ — </t>
    </r>
    <r>
      <rPr>
        <b val="true"/>
        <sz val="12"/>
        <color rgb="FF1F3864"/>
        <rFont val="Arial"/>
        <family val="0"/>
        <charset val="1"/>
      </rPr>
      <t xml:space="preserve">Chỉ đồ vật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</si>
  <si>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日 </t>
    </r>
    <r>
      <rPr>
        <sz val="10"/>
        <rFont val="Arial"/>
        <family val="0"/>
        <charset val="1"/>
      </rPr>
      <t xml:space="preserve">(</t>
    </r>
    <r>
      <rPr>
        <sz val="10"/>
        <rFont val="Noto Sans CJK SC"/>
        <family val="2"/>
      </rPr>
      <t xml:space="preserve">ひ </t>
    </r>
    <r>
      <rPr>
        <sz val="10"/>
        <rFont val="Arial"/>
        <family val="0"/>
        <charset val="1"/>
      </rPr>
      <t xml:space="preserve">/ </t>
    </r>
    <r>
      <rPr>
        <sz val="10"/>
        <rFont val="Noto Sans CJK SC"/>
        <family val="2"/>
      </rPr>
      <t xml:space="preserve">にちへん</t>
    </r>
    <r>
      <rPr>
        <sz val="10"/>
        <rFont val="Arial"/>
        <family val="0"/>
        <charset val="1"/>
      </rPr>
      <t xml:space="preserve">) = Mặt trời, ngày
   Mẹo nhớ: Ô vuông có gạch giữa = mặt trời
   Kanji chứa bộ này: </t>
    </r>
    <r>
      <rPr>
        <sz val="10"/>
        <rFont val="Noto Sans CJK SC"/>
        <family val="2"/>
      </rPr>
      <t xml:space="preserve">日・時・明・早</t>
    </r>
  </si>
  <si>
    <r>
      <rPr>
        <sz val="10"/>
        <rFont val="Arial"/>
        <family val="0"/>
        <charset val="1"/>
      </rPr>
      <t xml:space="preserve">Học 2 chữ. Mỗi chữ viết tay 10 lần đúng thứ tự nét.
• </t>
    </r>
    <r>
      <rPr>
        <sz val="10"/>
        <rFont val="Noto Sans CJK SC"/>
        <family val="2"/>
      </rPr>
      <t xml:space="preserve">人 </t>
    </r>
    <r>
      <rPr>
        <sz val="10"/>
        <rFont val="Arial"/>
        <family val="0"/>
        <charset val="1"/>
      </rPr>
      <t xml:space="preserve">[NHÂN] Người — On: </t>
    </r>
    <r>
      <rPr>
        <sz val="10"/>
        <rFont val="Noto Sans CJK SC"/>
        <family val="2"/>
      </rPr>
      <t xml:space="preserve">ジン・ニン </t>
    </r>
    <r>
      <rPr>
        <sz val="10"/>
        <rFont val="Arial"/>
        <family val="0"/>
        <charset val="1"/>
      </rPr>
      <t xml:space="preserve">/ Kun: </t>
    </r>
    <r>
      <rPr>
        <sz val="10"/>
        <rFont val="Noto Sans CJK SC"/>
        <family val="2"/>
      </rPr>
      <t xml:space="preserve">ひと </t>
    </r>
    <r>
      <rPr>
        <sz val="10"/>
        <rFont val="Arial"/>
        <family val="0"/>
        <charset val="1"/>
      </rPr>
      <t xml:space="preserve">(2 nét)
   Từ ghép: </t>
    </r>
    <r>
      <rPr>
        <sz val="10"/>
        <rFont val="Noto Sans CJK SC"/>
        <family val="2"/>
      </rPr>
      <t xml:space="preserve">日本人 </t>
    </r>
    <r>
      <rPr>
        <sz val="10"/>
        <rFont val="Arial"/>
        <family val="0"/>
        <charset val="1"/>
      </rPr>
      <t xml:space="preserve">(</t>
    </r>
    <r>
      <rPr>
        <sz val="10"/>
        <rFont val="Noto Sans CJK SC"/>
        <family val="2"/>
      </rPr>
      <t xml:space="preserve">にほんじん</t>
    </r>
    <r>
      <rPr>
        <sz val="10"/>
        <rFont val="Arial"/>
        <family val="0"/>
        <charset val="1"/>
      </rPr>
      <t xml:space="preserve">) người Nhật </t>
    </r>
    <r>
      <rPr>
        <sz val="10"/>
        <rFont val="Noto Sans CJK SC"/>
        <family val="2"/>
      </rPr>
      <t xml:space="preserve">・ 一人 </t>
    </r>
    <r>
      <rPr>
        <sz val="10"/>
        <rFont val="Arial"/>
        <family val="0"/>
        <charset val="1"/>
      </rPr>
      <t xml:space="preserve">(</t>
    </r>
    <r>
      <rPr>
        <sz val="10"/>
        <rFont val="Noto Sans CJK SC"/>
        <family val="2"/>
      </rPr>
      <t xml:space="preserve">ひとり</t>
    </r>
    <r>
      <rPr>
        <sz val="10"/>
        <rFont val="Arial"/>
        <family val="0"/>
        <charset val="1"/>
      </rPr>
      <t xml:space="preserve">) một người </t>
    </r>
    <r>
      <rPr>
        <sz val="10"/>
        <rFont val="Noto Sans CJK SC"/>
        <family val="2"/>
      </rPr>
      <t xml:space="preserve">・ 人口 </t>
    </r>
    <r>
      <rPr>
        <sz val="10"/>
        <rFont val="Arial"/>
        <family val="0"/>
        <charset val="1"/>
      </rPr>
      <t xml:space="preserve">(</t>
    </r>
    <r>
      <rPr>
        <sz val="10"/>
        <rFont val="Noto Sans CJK SC"/>
        <family val="2"/>
      </rPr>
      <t xml:space="preserve">じんこう</t>
    </r>
    <r>
      <rPr>
        <sz val="10"/>
        <rFont val="Arial"/>
        <family val="0"/>
        <charset val="1"/>
      </rPr>
      <t xml:space="preserve">) dân số
   Mẹo: Hai nét như hai chân đang bước = dáng NGƯỜI đi. Đuôi </t>
    </r>
    <r>
      <rPr>
        <sz val="10"/>
        <rFont val="Noto Sans CJK SC"/>
        <family val="2"/>
      </rPr>
      <t xml:space="preserve">〜人 </t>
    </r>
    <r>
      <rPr>
        <sz val="10"/>
        <rFont val="Arial"/>
        <family val="0"/>
        <charset val="1"/>
      </rPr>
      <t xml:space="preserve">gắn tên nước = người nước đó.
• </t>
    </r>
    <r>
      <rPr>
        <sz val="10"/>
        <rFont val="Noto Sans CJK SC"/>
        <family val="2"/>
      </rPr>
      <t xml:space="preserve">年 </t>
    </r>
    <r>
      <rPr>
        <sz val="10"/>
        <rFont val="Arial"/>
        <family val="0"/>
        <charset val="1"/>
      </rPr>
      <t xml:space="preserve">[NIÊN] Năm — On: </t>
    </r>
    <r>
      <rPr>
        <sz val="10"/>
        <rFont val="Noto Sans CJK SC"/>
        <family val="2"/>
      </rPr>
      <t xml:space="preserve">ネン </t>
    </r>
    <r>
      <rPr>
        <sz val="10"/>
        <rFont val="Arial"/>
        <family val="0"/>
        <charset val="1"/>
      </rPr>
      <t xml:space="preserve">/ Kun: </t>
    </r>
    <r>
      <rPr>
        <sz val="10"/>
        <rFont val="Noto Sans CJK SC"/>
        <family val="2"/>
      </rPr>
      <t xml:space="preserve">とし </t>
    </r>
    <r>
      <rPr>
        <sz val="10"/>
        <rFont val="Arial"/>
        <family val="0"/>
        <charset val="1"/>
      </rPr>
      <t xml:space="preserve">(6 nét)
   Từ ghép: </t>
    </r>
    <r>
      <rPr>
        <sz val="10"/>
        <rFont val="Noto Sans CJK SC"/>
        <family val="2"/>
      </rPr>
      <t xml:space="preserve">今年 </t>
    </r>
    <r>
      <rPr>
        <sz val="10"/>
        <rFont val="Arial"/>
        <family val="0"/>
        <charset val="1"/>
      </rPr>
      <t xml:space="preserve">(</t>
    </r>
    <r>
      <rPr>
        <sz val="10"/>
        <rFont val="Noto Sans CJK SC"/>
        <family val="2"/>
      </rPr>
      <t xml:space="preserve">ことし</t>
    </r>
    <r>
      <rPr>
        <sz val="10"/>
        <rFont val="Arial"/>
        <family val="0"/>
        <charset val="1"/>
      </rPr>
      <t xml:space="preserve">) năm nay </t>
    </r>
    <r>
      <rPr>
        <sz val="10"/>
        <rFont val="Noto Sans CJK SC"/>
        <family val="2"/>
      </rPr>
      <t xml:space="preserve">・ 去年 </t>
    </r>
    <r>
      <rPr>
        <sz val="10"/>
        <rFont val="Arial"/>
        <family val="0"/>
        <charset val="1"/>
      </rPr>
      <t xml:space="preserve">(</t>
    </r>
    <r>
      <rPr>
        <sz val="10"/>
        <rFont val="Noto Sans CJK SC"/>
        <family val="2"/>
      </rPr>
      <t xml:space="preserve">きょねん</t>
    </r>
    <r>
      <rPr>
        <sz val="10"/>
        <rFont val="Arial"/>
        <family val="0"/>
        <charset val="1"/>
      </rPr>
      <t xml:space="preserve">) năm ngoái </t>
    </r>
    <r>
      <rPr>
        <sz val="10"/>
        <rFont val="Noto Sans CJK SC"/>
        <family val="2"/>
      </rPr>
      <t xml:space="preserve">・ 一年 </t>
    </r>
    <r>
      <rPr>
        <sz val="10"/>
        <rFont val="Arial"/>
        <family val="0"/>
        <charset val="1"/>
      </rPr>
      <t xml:space="preserve">(</t>
    </r>
    <r>
      <rPr>
        <sz val="10"/>
        <rFont val="Noto Sans CJK SC"/>
        <family val="2"/>
      </rPr>
      <t xml:space="preserve">いちねん</t>
    </r>
    <r>
      <rPr>
        <sz val="10"/>
        <rFont val="Arial"/>
        <family val="0"/>
        <charset val="1"/>
      </rPr>
      <t xml:space="preserve">) một năm
   Mẹo: Hình cây lúa trĩu hạt. Lúa chín một vụ = trôi qua một NĂM.</t>
    </r>
  </si>
  <si>
    <r>
      <rPr>
        <sz val="10"/>
        <rFont val="Arial"/>
        <family val="0"/>
        <charset val="1"/>
      </rPr>
      <t xml:space="preserve">Minna bài 2 (1/2) — </t>
    </r>
    <r>
      <rPr>
        <sz val="10"/>
        <rFont val="Noto Sans CJK SC"/>
        <family val="2"/>
      </rPr>
      <t xml:space="preserve">これ・それ・あれ — </t>
    </r>
    <r>
      <rPr>
        <sz val="10"/>
        <rFont val="Arial"/>
        <family val="0"/>
        <charset val="1"/>
      </rPr>
      <t xml:space="preserve">Chỉ đồ vật
• </t>
    </r>
    <r>
      <rPr>
        <sz val="10"/>
        <rFont val="Noto Sans CJK SC"/>
        <family val="2"/>
      </rPr>
      <t xml:space="preserve">これ </t>
    </r>
    <r>
      <rPr>
        <sz val="10"/>
        <rFont val="Arial"/>
        <family val="0"/>
        <charset val="1"/>
      </rPr>
      <t xml:space="preserve">/ </t>
    </r>
    <r>
      <rPr>
        <sz val="10"/>
        <rFont val="Noto Sans CJK SC"/>
        <family val="2"/>
      </rPr>
      <t xml:space="preserve">それ </t>
    </r>
    <r>
      <rPr>
        <sz val="10"/>
        <rFont val="Arial"/>
        <family val="0"/>
        <charset val="1"/>
      </rPr>
      <t xml:space="preserve">/ </t>
    </r>
    <r>
      <rPr>
        <sz val="10"/>
        <rFont val="Noto Sans CJK SC"/>
        <family val="2"/>
      </rPr>
      <t xml:space="preserve">あれ  </t>
    </r>
    <r>
      <rPr>
        <sz val="10"/>
        <rFont val="Arial"/>
        <family val="0"/>
        <charset val="1"/>
      </rPr>
      <t xml:space="preserve">(Cái này (gần tôi) / cái đó (gần bạn) / cái kia (xa cả hai). Đứng một mình như danh từ.)
   Ví dụ: </t>
    </r>
    <r>
      <rPr>
        <sz val="10"/>
        <rFont val="Noto Sans CJK SC"/>
        <family val="2"/>
      </rPr>
      <t xml:space="preserve">これは 本です。  </t>
    </r>
    <r>
      <rPr>
        <sz val="10"/>
        <rFont val="Arial"/>
        <family val="0"/>
        <charset val="1"/>
      </rPr>
      <t xml:space="preserve">= Cái này là quyển sách.
• </t>
    </r>
    <r>
      <rPr>
        <sz val="10"/>
        <rFont val="Noto Sans CJK SC"/>
        <family val="2"/>
      </rPr>
      <t xml:space="preserve">この </t>
    </r>
    <r>
      <rPr>
        <sz val="10"/>
        <rFont val="Arial"/>
        <family val="0"/>
        <charset val="1"/>
      </rPr>
      <t xml:space="preserve">N / </t>
    </r>
    <r>
      <rPr>
        <sz val="10"/>
        <rFont val="Noto Sans CJK SC"/>
        <family val="2"/>
      </rPr>
      <t xml:space="preserve">その </t>
    </r>
    <r>
      <rPr>
        <sz val="10"/>
        <rFont val="Arial"/>
        <family val="0"/>
        <charset val="1"/>
      </rPr>
      <t xml:space="preserve">N / </t>
    </r>
    <r>
      <rPr>
        <sz val="10"/>
        <rFont val="Noto Sans CJK SC"/>
        <family val="2"/>
      </rPr>
      <t xml:space="preserve">あの </t>
    </r>
    <r>
      <rPr>
        <sz val="10"/>
        <rFont val="Arial"/>
        <family val="0"/>
        <charset val="1"/>
      </rPr>
      <t xml:space="preserve">N  (N này / N đó / N kia. Bắt buộc phải có danh từ đi sau.)
   Ví dụ: </t>
    </r>
    <r>
      <rPr>
        <sz val="10"/>
        <rFont val="Noto Sans CJK SC"/>
        <family val="2"/>
      </rPr>
      <t xml:space="preserve">この 本は わたしのです。  </t>
    </r>
    <r>
      <rPr>
        <sz val="10"/>
        <rFont val="Arial"/>
        <family val="0"/>
        <charset val="1"/>
      </rPr>
      <t xml:space="preserve">= Quyển sách này là của tôi.
• </t>
    </r>
    <r>
      <rPr>
        <sz val="10"/>
        <rFont val="Noto Sans CJK SC"/>
        <family val="2"/>
      </rPr>
      <t xml:space="preserve">そうです </t>
    </r>
    <r>
      <rPr>
        <sz val="10"/>
        <rFont val="Arial"/>
        <family val="0"/>
        <charset val="1"/>
      </rPr>
      <t xml:space="preserve">/ </t>
    </r>
    <r>
      <rPr>
        <sz val="10"/>
        <rFont val="Noto Sans CJK SC"/>
        <family val="2"/>
      </rPr>
      <t xml:space="preserve">そうじゃ ありません  </t>
    </r>
    <r>
      <rPr>
        <sz val="10"/>
        <rFont val="Arial"/>
        <family val="0"/>
        <charset val="1"/>
      </rPr>
      <t xml:space="preserve">(Đúng vậy / Không phải vậy. Dùng trả lời câu hỏi có–không.)
   Ví dụ: </t>
    </r>
    <r>
      <rPr>
        <sz val="10"/>
        <rFont val="Noto Sans CJK SC"/>
        <family val="2"/>
      </rPr>
      <t xml:space="preserve">はい、そうです。  </t>
    </r>
    <r>
      <rPr>
        <sz val="10"/>
        <rFont val="Arial"/>
        <family val="0"/>
        <charset val="1"/>
      </rPr>
      <t xml:space="preserve">= Vâng, đúng vậy.
→ Làm </t>
    </r>
    <r>
      <rPr>
        <sz val="10"/>
        <rFont val="Noto Sans CJK SC"/>
        <family val="2"/>
      </rPr>
      <t xml:space="preserve">練習</t>
    </r>
    <r>
      <rPr>
        <sz val="10"/>
        <rFont val="Arial"/>
        <family val="0"/>
        <charset val="1"/>
      </rPr>
      <t xml:space="preserve">A của bài 2 trong sách, mỗi mẫu tự đặt 3 câu.</t>
    </r>
  </si>
  <si>
    <r>
      <rPr>
        <sz val="10"/>
        <rFont val="Arial"/>
        <family val="0"/>
        <charset val="1"/>
      </rPr>
      <t xml:space="preserve">Từ mới Minna bài 2:
• </t>
    </r>
    <r>
      <rPr>
        <sz val="10"/>
        <rFont val="Noto Sans CJK SC"/>
        <family val="2"/>
      </rPr>
      <t xml:space="preserve">ほん（本） </t>
    </r>
    <r>
      <rPr>
        <sz val="10"/>
        <rFont val="Arial"/>
        <family val="0"/>
        <charset val="1"/>
      </rPr>
      <t xml:space="preserve">= Sách
   Mẹo: </t>
    </r>
    <r>
      <rPr>
        <sz val="10"/>
        <rFont val="Noto Sans CJK SC"/>
        <family val="2"/>
      </rPr>
      <t xml:space="preserve">本 </t>
    </r>
    <r>
      <rPr>
        <sz val="10"/>
        <rFont val="Arial"/>
        <family val="0"/>
        <charset val="1"/>
      </rPr>
      <t xml:space="preserve">= gốc cây (</t>
    </r>
    <r>
      <rPr>
        <sz val="10"/>
        <rFont val="Noto Sans CJK SC"/>
        <family val="2"/>
      </rPr>
      <t xml:space="preserve">木 </t>
    </r>
    <r>
      <rPr>
        <sz val="10"/>
        <rFont val="Arial"/>
        <family val="0"/>
        <charset val="1"/>
      </rPr>
      <t xml:space="preserve">thêm vạch ở rễ) → gốc tri thức → SÁCH.
• </t>
    </r>
    <r>
      <rPr>
        <sz val="10"/>
        <rFont val="Noto Sans CJK SC"/>
        <family val="2"/>
      </rPr>
      <t xml:space="preserve">じしょ（辞書） </t>
    </r>
    <r>
      <rPr>
        <sz val="10"/>
        <rFont val="Arial"/>
        <family val="0"/>
        <charset val="1"/>
      </rPr>
      <t xml:space="preserve">= Từ điển
   Mẹo: TỪ THƯ = sách chứa từ. </t>
    </r>
    <r>
      <rPr>
        <sz val="10"/>
        <rFont val="Noto Sans CJK SC"/>
        <family val="2"/>
      </rPr>
      <t xml:space="preserve">書 </t>
    </r>
    <r>
      <rPr>
        <sz val="10"/>
        <rFont val="Arial"/>
        <family val="0"/>
        <charset val="1"/>
      </rPr>
      <t xml:space="preserve">(thư) = viết/sách.
• </t>
    </r>
    <r>
      <rPr>
        <sz val="10"/>
        <rFont val="Noto Sans CJK SC"/>
        <family val="2"/>
      </rPr>
      <t xml:space="preserve">ざっし（雑誌） </t>
    </r>
    <r>
      <rPr>
        <sz val="10"/>
        <rFont val="Arial"/>
        <family val="0"/>
        <charset val="1"/>
      </rPr>
      <t xml:space="preserve">= Tạp chí
   Mẹo: TẠP CHÍ — âm Hán Việt gần như y hệt tiếng Việt.
• </t>
    </r>
    <r>
      <rPr>
        <sz val="10"/>
        <rFont val="Noto Sans CJK SC"/>
        <family val="2"/>
      </rPr>
      <t xml:space="preserve">しんぶん（新聞） </t>
    </r>
    <r>
      <rPr>
        <sz val="10"/>
        <rFont val="Arial"/>
        <family val="0"/>
        <charset val="1"/>
      </rPr>
      <t xml:space="preserve">= Báo
   Mẹo: TÂN VĂN = tin mới nghe được. </t>
    </r>
    <r>
      <rPr>
        <sz val="10"/>
        <rFont val="Noto Sans CJK SC"/>
        <family val="2"/>
      </rPr>
      <t xml:space="preserve">新 </t>
    </r>
    <r>
      <rPr>
        <sz val="10"/>
        <rFont val="Arial"/>
        <family val="0"/>
        <charset val="1"/>
      </rPr>
      <t xml:space="preserve">(mới) + </t>
    </r>
    <r>
      <rPr>
        <sz val="10"/>
        <rFont val="Noto Sans CJK SC"/>
        <family val="2"/>
      </rPr>
      <t xml:space="preserve">聞 </t>
    </r>
    <r>
      <rPr>
        <sz val="10"/>
        <rFont val="Arial"/>
        <family val="0"/>
        <charset val="1"/>
      </rPr>
      <t xml:space="preserve">(nghe).
• </t>
    </r>
    <r>
      <rPr>
        <sz val="10"/>
        <rFont val="Noto Sans CJK SC"/>
        <family val="2"/>
      </rPr>
      <t xml:space="preserve">てちょう（手帳） </t>
    </r>
    <r>
      <rPr>
        <sz val="10"/>
        <rFont val="Arial"/>
        <family val="0"/>
        <charset val="1"/>
      </rPr>
      <t xml:space="preserve">= Sổ tay
   Mẹo: THỦ TRƯỚNG = cuốn sổ cầm trên TAY (</t>
    </r>
    <r>
      <rPr>
        <sz val="10"/>
        <rFont val="Noto Sans CJK SC"/>
        <family val="2"/>
      </rPr>
      <t xml:space="preserve">手</t>
    </r>
    <r>
      <rPr>
        <sz val="10"/>
        <rFont val="Arial"/>
        <family val="0"/>
        <charset val="1"/>
      </rPr>
      <t xml:space="preserve">).
• </t>
    </r>
    <r>
      <rPr>
        <sz val="10"/>
        <rFont val="Noto Sans CJK SC"/>
        <family val="2"/>
      </rPr>
      <t xml:space="preserve">めいし（名刺） </t>
    </r>
    <r>
      <rPr>
        <sz val="10"/>
        <rFont val="Arial"/>
        <family val="0"/>
        <charset val="1"/>
      </rPr>
      <t xml:space="preserve">= Danh thiếp
   Mẹo: DANH THÍCH = tấm ghi tên. </t>
    </r>
    <r>
      <rPr>
        <sz val="10"/>
        <rFont val="Noto Sans CJK SC"/>
        <family val="2"/>
      </rPr>
      <t xml:space="preserve">名 </t>
    </r>
    <r>
      <rPr>
        <sz val="10"/>
        <rFont val="Arial"/>
        <family val="0"/>
        <charset val="1"/>
      </rPr>
      <t xml:space="preserve">(danh) đã học ở </t>
    </r>
    <r>
      <rPr>
        <sz val="10"/>
        <rFont val="Noto Sans CJK SC"/>
        <family val="2"/>
      </rPr>
      <t xml:space="preserve">名前</t>
    </r>
    <r>
      <rPr>
        <sz val="10"/>
        <rFont val="Arial"/>
        <family val="0"/>
        <charset val="1"/>
      </rPr>
      <t xml:space="preserve">.
• </t>
    </r>
    <r>
      <rPr>
        <sz val="10"/>
        <rFont val="Noto Sans CJK SC"/>
        <family val="2"/>
      </rPr>
      <t xml:space="preserve">かぎ（鍵） </t>
    </r>
    <r>
      <rPr>
        <sz val="10"/>
        <rFont val="Arial"/>
        <family val="0"/>
        <charset val="1"/>
      </rPr>
      <t xml:space="preserve">= Chìa khóa
   Mẹo: KA-GI: 'cà ghi' — cắm chìa vào ổ nghe 'cạch'.
→ Đối chiếu thêm với mục </t>
    </r>
    <r>
      <rPr>
        <sz val="10"/>
        <rFont val="Noto Sans CJK SC"/>
        <family val="2"/>
      </rPr>
      <t xml:space="preserve">語彙 </t>
    </r>
    <r>
      <rPr>
        <sz val="10"/>
        <rFont val="Arial"/>
        <family val="0"/>
        <charset val="1"/>
      </rPr>
      <t xml:space="preserve">của bài 2 trong sách để bổ sung.</t>
    </r>
  </si>
  <si>
    <r>
      <rPr>
        <b val="true"/>
        <sz val="10"/>
        <rFont val="Noto Sans CJK SC"/>
        <family val="2"/>
      </rPr>
      <t xml:space="preserve">読  </t>
    </r>
    <r>
      <rPr>
        <b val="true"/>
        <sz val="10"/>
        <rFont val="Arial"/>
        <family val="0"/>
        <charset val="1"/>
      </rPr>
      <t xml:space="preserve">Đọc</t>
    </r>
  </si>
  <si>
    <r>
      <rPr>
        <sz val="10"/>
        <rFont val="Arial"/>
        <family val="0"/>
        <charset val="1"/>
      </rPr>
      <t xml:space="preserve">Làm phần </t>
    </r>
    <r>
      <rPr>
        <sz val="10"/>
        <rFont val="Noto Sans CJK SC"/>
        <family val="2"/>
      </rPr>
      <t xml:space="preserve">読み物 </t>
    </r>
    <r>
      <rPr>
        <sz val="10"/>
        <rFont val="Arial"/>
        <family val="0"/>
        <charset val="1"/>
      </rPr>
      <t xml:space="preserve">hoặc </t>
    </r>
    <r>
      <rPr>
        <sz val="10"/>
        <rFont val="Noto Sans CJK SC"/>
        <family val="2"/>
      </rPr>
      <t xml:space="preserve">練習</t>
    </r>
    <r>
      <rPr>
        <sz val="10"/>
        <rFont val="Arial"/>
        <family val="0"/>
        <charset val="1"/>
      </rPr>
      <t xml:space="preserve">C của bài đang học. Đọc to thành tiếng ít nhất 1 lượt.</t>
    </r>
  </si>
  <si>
    <r>
      <rPr>
        <b val="true"/>
        <sz val="12"/>
        <color rgb="FF1F3864"/>
        <rFont val="Arial"/>
        <family val="0"/>
        <charset val="1"/>
      </rPr>
      <t xml:space="preserve">NGÀY 18  ·  Tuần 3  ·  Minna Bài 2 (2/2)  ·  </t>
    </r>
    <r>
      <rPr>
        <b val="true"/>
        <sz val="12"/>
        <color rgb="FF1F3864"/>
        <rFont val="Noto Sans CJK SC"/>
        <family val="2"/>
      </rPr>
      <t xml:space="preserve">これ・それ・あれ — </t>
    </r>
    <r>
      <rPr>
        <b val="true"/>
        <sz val="12"/>
        <color rgb="FF1F3864"/>
        <rFont val="Arial"/>
        <family val="0"/>
        <charset val="1"/>
      </rPr>
      <t xml:space="preserve">Chỉ đồ vật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</si>
  <si>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月 </t>
    </r>
    <r>
      <rPr>
        <sz val="10"/>
        <rFont val="Arial"/>
        <family val="0"/>
        <charset val="1"/>
      </rPr>
      <t xml:space="preserve">(</t>
    </r>
    <r>
      <rPr>
        <sz val="10"/>
        <rFont val="Noto Sans CJK SC"/>
        <family val="2"/>
      </rPr>
      <t xml:space="preserve">つき </t>
    </r>
    <r>
      <rPr>
        <sz val="10"/>
        <rFont val="Arial"/>
        <family val="0"/>
        <charset val="1"/>
      </rPr>
      <t xml:space="preserve">/ </t>
    </r>
    <r>
      <rPr>
        <sz val="10"/>
        <rFont val="Noto Sans CJK SC"/>
        <family val="2"/>
      </rPr>
      <t xml:space="preserve">にくづき</t>
    </r>
    <r>
      <rPr>
        <sz val="10"/>
        <rFont val="Arial"/>
        <family val="0"/>
        <charset val="1"/>
      </rPr>
      <t xml:space="preserve">) = Mặt trăng, tháng, thân thể
   Mẹo nhớ: Trăng khuyết; khi chỉ cơ thể đọc là </t>
    </r>
    <r>
      <rPr>
        <sz val="10"/>
        <rFont val="Noto Sans CJK SC"/>
        <family val="2"/>
      </rPr>
      <t xml:space="preserve">にくづき
   </t>
    </r>
    <r>
      <rPr>
        <sz val="10"/>
        <rFont val="Arial"/>
        <family val="0"/>
        <charset val="1"/>
      </rPr>
      <t xml:space="preserve">Kanji chứa bộ này: </t>
    </r>
    <r>
      <rPr>
        <sz val="10"/>
        <rFont val="Noto Sans CJK SC"/>
        <family val="2"/>
      </rPr>
      <t xml:space="preserve">月・前・服</t>
    </r>
  </si>
  <si>
    <r>
      <rPr>
        <sz val="10"/>
        <rFont val="Arial"/>
        <family val="0"/>
        <charset val="1"/>
      </rPr>
      <t xml:space="preserve">Học 2 chữ. Mỗi chữ viết tay 10 lần đúng thứ tự nét.
• </t>
    </r>
    <r>
      <rPr>
        <sz val="10"/>
        <rFont val="Noto Sans CJK SC"/>
        <family val="2"/>
      </rPr>
      <t xml:space="preserve">大 </t>
    </r>
    <r>
      <rPr>
        <sz val="10"/>
        <rFont val="Arial"/>
        <family val="0"/>
        <charset val="1"/>
      </rPr>
      <t xml:space="preserve">[ĐẠI] To, lớn — On: </t>
    </r>
    <r>
      <rPr>
        <sz val="10"/>
        <rFont val="Noto Sans CJK SC"/>
        <family val="2"/>
      </rPr>
      <t xml:space="preserve">ダイ・タイ </t>
    </r>
    <r>
      <rPr>
        <sz val="10"/>
        <rFont val="Arial"/>
        <family val="0"/>
        <charset val="1"/>
      </rPr>
      <t xml:space="preserve">/ Kun: </t>
    </r>
    <r>
      <rPr>
        <sz val="10"/>
        <rFont val="Noto Sans CJK SC"/>
        <family val="2"/>
      </rPr>
      <t xml:space="preserve">おお</t>
    </r>
    <r>
      <rPr>
        <sz val="10"/>
        <rFont val="Arial"/>
        <family val="0"/>
        <charset val="1"/>
      </rPr>
      <t xml:space="preserve">(</t>
    </r>
    <r>
      <rPr>
        <sz val="10"/>
        <rFont val="Noto Sans CJK SC"/>
        <family val="2"/>
      </rPr>
      <t xml:space="preserve">きい</t>
    </r>
    <r>
      <rPr>
        <sz val="10"/>
        <rFont val="Arial"/>
        <family val="0"/>
        <charset val="1"/>
      </rPr>
      <t xml:space="preserve">) (3 nét)
   Từ ghép: </t>
    </r>
    <r>
      <rPr>
        <sz val="10"/>
        <rFont val="Noto Sans CJK SC"/>
        <family val="2"/>
      </rPr>
      <t xml:space="preserve">大学 </t>
    </r>
    <r>
      <rPr>
        <sz val="10"/>
        <rFont val="Arial"/>
        <family val="0"/>
        <charset val="1"/>
      </rPr>
      <t xml:space="preserve">(</t>
    </r>
    <r>
      <rPr>
        <sz val="10"/>
        <rFont val="Noto Sans CJK SC"/>
        <family val="2"/>
      </rPr>
      <t xml:space="preserve">だいがく</t>
    </r>
    <r>
      <rPr>
        <sz val="10"/>
        <rFont val="Arial"/>
        <family val="0"/>
        <charset val="1"/>
      </rPr>
      <t xml:space="preserve">) đại học </t>
    </r>
    <r>
      <rPr>
        <sz val="10"/>
        <rFont val="Noto Sans CJK SC"/>
        <family val="2"/>
      </rPr>
      <t xml:space="preserve">・ 大きい </t>
    </r>
    <r>
      <rPr>
        <sz val="10"/>
        <rFont val="Arial"/>
        <family val="0"/>
        <charset val="1"/>
      </rPr>
      <t xml:space="preserve">(</t>
    </r>
    <r>
      <rPr>
        <sz val="10"/>
        <rFont val="Noto Sans CJK SC"/>
        <family val="2"/>
      </rPr>
      <t xml:space="preserve">おおきい</t>
    </r>
    <r>
      <rPr>
        <sz val="10"/>
        <rFont val="Arial"/>
        <family val="0"/>
        <charset val="1"/>
      </rPr>
      <t xml:space="preserve">) to </t>
    </r>
    <r>
      <rPr>
        <sz val="10"/>
        <rFont val="Noto Sans CJK SC"/>
        <family val="2"/>
      </rPr>
      <t xml:space="preserve">・ 大人 </t>
    </r>
    <r>
      <rPr>
        <sz val="10"/>
        <rFont val="Arial"/>
        <family val="0"/>
        <charset val="1"/>
      </rPr>
      <t xml:space="preserve">(</t>
    </r>
    <r>
      <rPr>
        <sz val="10"/>
        <rFont val="Noto Sans CJK SC"/>
        <family val="2"/>
      </rPr>
      <t xml:space="preserve">おとな</t>
    </r>
    <r>
      <rPr>
        <sz val="10"/>
        <rFont val="Arial"/>
        <family val="0"/>
        <charset val="1"/>
      </rPr>
      <t xml:space="preserve">) người lớn
   Mẹo: Người </t>
    </r>
    <r>
      <rPr>
        <sz val="10"/>
        <rFont val="Noto Sans CJK SC"/>
        <family val="2"/>
      </rPr>
      <t xml:space="preserve">人 </t>
    </r>
    <r>
      <rPr>
        <sz val="10"/>
        <rFont val="Arial"/>
        <family val="0"/>
        <charset val="1"/>
      </rPr>
      <t xml:space="preserve">dang rộng hai tay ra hết cỡ để khoe 'to bằng này!' → TO LỚN.
• </t>
    </r>
    <r>
      <rPr>
        <sz val="10"/>
        <rFont val="Noto Sans CJK SC"/>
        <family val="2"/>
      </rPr>
      <t xml:space="preserve">十 </t>
    </r>
    <r>
      <rPr>
        <sz val="10"/>
        <rFont val="Arial"/>
        <family val="0"/>
        <charset val="1"/>
      </rPr>
      <t xml:space="preserve">[THẬP] Mười — On: </t>
    </r>
    <r>
      <rPr>
        <sz val="10"/>
        <rFont val="Noto Sans CJK SC"/>
        <family val="2"/>
      </rPr>
      <t xml:space="preserve">ジュウ </t>
    </r>
    <r>
      <rPr>
        <sz val="10"/>
        <rFont val="Arial"/>
        <family val="0"/>
        <charset val="1"/>
      </rPr>
      <t xml:space="preserve">/ Kun: </t>
    </r>
    <r>
      <rPr>
        <sz val="10"/>
        <rFont val="Noto Sans CJK SC"/>
        <family val="2"/>
      </rPr>
      <t xml:space="preserve">とお </t>
    </r>
    <r>
      <rPr>
        <sz val="10"/>
        <rFont val="Arial"/>
        <family val="0"/>
        <charset val="1"/>
      </rPr>
      <t xml:space="preserve">(2 nét)
   Từ ghép: </t>
    </r>
    <r>
      <rPr>
        <sz val="10"/>
        <rFont val="Noto Sans CJK SC"/>
        <family val="2"/>
      </rPr>
      <t xml:space="preserve">十日 </t>
    </r>
    <r>
      <rPr>
        <sz val="10"/>
        <rFont val="Arial"/>
        <family val="0"/>
        <charset val="1"/>
      </rPr>
      <t xml:space="preserve">(</t>
    </r>
    <r>
      <rPr>
        <sz val="10"/>
        <rFont val="Noto Sans CJK SC"/>
        <family val="2"/>
      </rPr>
      <t xml:space="preserve">とおか</t>
    </r>
    <r>
      <rPr>
        <sz val="10"/>
        <rFont val="Arial"/>
        <family val="0"/>
        <charset val="1"/>
      </rPr>
      <t xml:space="preserve">) ngày 10 </t>
    </r>
    <r>
      <rPr>
        <sz val="10"/>
        <rFont val="Noto Sans CJK SC"/>
        <family val="2"/>
      </rPr>
      <t xml:space="preserve">・ 二十歳 </t>
    </r>
    <r>
      <rPr>
        <sz val="10"/>
        <rFont val="Arial"/>
        <family val="0"/>
        <charset val="1"/>
      </rPr>
      <t xml:space="preserve">(</t>
    </r>
    <r>
      <rPr>
        <sz val="10"/>
        <rFont val="Noto Sans CJK SC"/>
        <family val="2"/>
      </rPr>
      <t xml:space="preserve">はたち</t>
    </r>
    <r>
      <rPr>
        <sz val="10"/>
        <rFont val="Arial"/>
        <family val="0"/>
        <charset val="1"/>
      </rPr>
      <t xml:space="preserve">) 20 tuổi </t>
    </r>
    <r>
      <rPr>
        <sz val="10"/>
        <rFont val="Noto Sans CJK SC"/>
        <family val="2"/>
      </rPr>
      <t xml:space="preserve">・ 十分 </t>
    </r>
    <r>
      <rPr>
        <sz val="10"/>
        <rFont val="Arial"/>
        <family val="0"/>
        <charset val="1"/>
      </rPr>
      <t xml:space="preserve">(</t>
    </r>
    <r>
      <rPr>
        <sz val="10"/>
        <rFont val="Noto Sans CJK SC"/>
        <family val="2"/>
      </rPr>
      <t xml:space="preserve">じゅっぷん</t>
    </r>
    <r>
      <rPr>
        <sz val="10"/>
        <rFont val="Arial"/>
        <family val="0"/>
        <charset val="1"/>
      </rPr>
      <t xml:space="preserve">) 10 phút
   Mẹo: Dấu cộng = đủ mười ngón tay của hai bàn tay chắp ngang dọc.</t>
    </r>
  </si>
  <si>
    <r>
      <rPr>
        <sz val="10"/>
        <rFont val="Arial"/>
        <family val="0"/>
        <charset val="1"/>
      </rPr>
      <t xml:space="preserve">Minna bài 2 (2/2) — </t>
    </r>
    <r>
      <rPr>
        <sz val="10"/>
        <rFont val="Noto Sans CJK SC"/>
        <family val="2"/>
      </rPr>
      <t xml:space="preserve">これ・それ・あれ — </t>
    </r>
    <r>
      <rPr>
        <sz val="10"/>
        <rFont val="Arial"/>
        <family val="0"/>
        <charset val="1"/>
      </rPr>
      <t xml:space="preserve">Chỉ đồ vật
• N1 </t>
    </r>
    <r>
      <rPr>
        <sz val="10"/>
        <rFont val="Noto Sans CJK SC"/>
        <family val="2"/>
      </rPr>
      <t xml:space="preserve">の </t>
    </r>
    <r>
      <rPr>
        <sz val="10"/>
        <rFont val="Arial"/>
        <family val="0"/>
        <charset val="1"/>
      </rPr>
      <t xml:space="preserve">N2 (chất liệu, chủ đề)  (N2 làm bằng / nói về N1.)
   Ví dụ: </t>
    </r>
    <r>
      <rPr>
        <sz val="10"/>
        <rFont val="Noto Sans CJK SC"/>
        <family val="2"/>
      </rPr>
      <t xml:space="preserve">これは 日本語の 本です。  </t>
    </r>
    <r>
      <rPr>
        <sz val="10"/>
        <rFont val="Arial"/>
        <family val="0"/>
        <charset val="1"/>
      </rPr>
      <t xml:space="preserve">= Đây là sách tiếng Nhật.
• </t>
    </r>
    <r>
      <rPr>
        <sz val="10"/>
        <rFont val="Noto Sans CJK SC"/>
        <family val="2"/>
      </rPr>
      <t xml:space="preserve">〜は 〜ですか、〜ですか  </t>
    </r>
    <r>
      <rPr>
        <sz val="10"/>
        <rFont val="Arial"/>
        <family val="0"/>
        <charset val="1"/>
      </rPr>
      <t xml:space="preserve">(Câu hỏi lựa chọn: A hay B?)
   Ví dụ: </t>
    </r>
    <r>
      <rPr>
        <sz val="10"/>
        <rFont val="Noto Sans CJK SC"/>
        <family val="2"/>
      </rPr>
      <t xml:space="preserve">これは ペンですか、えんぴつですか。  </t>
    </r>
    <r>
      <rPr>
        <sz val="10"/>
        <rFont val="Arial"/>
        <family val="0"/>
        <charset val="1"/>
      </rPr>
      <t xml:space="preserve">= Cái này là bút bi hay bút chì?
→ Làm </t>
    </r>
    <r>
      <rPr>
        <sz val="10"/>
        <rFont val="Noto Sans CJK SC"/>
        <family val="2"/>
      </rPr>
      <t xml:space="preserve">練習</t>
    </r>
    <r>
      <rPr>
        <sz val="10"/>
        <rFont val="Arial"/>
        <family val="0"/>
        <charset val="1"/>
      </rPr>
      <t xml:space="preserve">A của bài 2 trong sách, mỗi mẫu tự đặt 3 câu.</t>
    </r>
  </si>
  <si>
    <r>
      <rPr>
        <sz val="10"/>
        <rFont val="Arial"/>
        <family val="0"/>
        <charset val="1"/>
      </rPr>
      <t xml:space="preserve">Từ mới Minna bài 2:
• </t>
    </r>
    <r>
      <rPr>
        <sz val="10"/>
        <rFont val="Noto Sans CJK SC"/>
        <family val="2"/>
      </rPr>
      <t xml:space="preserve">とけい（時計） </t>
    </r>
    <r>
      <rPr>
        <sz val="10"/>
        <rFont val="Arial"/>
        <family val="0"/>
        <charset val="1"/>
      </rPr>
      <t xml:space="preserve">= Đồng hồ
   Mẹo: THỜI KẾ = dụng cụ đo thời gian. </t>
    </r>
    <r>
      <rPr>
        <sz val="10"/>
        <rFont val="Noto Sans CJK SC"/>
        <family val="2"/>
      </rPr>
      <t xml:space="preserve">時 </t>
    </r>
    <r>
      <rPr>
        <sz val="10"/>
        <rFont val="Arial"/>
        <family val="0"/>
        <charset val="1"/>
      </rPr>
      <t xml:space="preserve">(thời) vừa học.
• </t>
    </r>
    <r>
      <rPr>
        <sz val="10"/>
        <rFont val="Noto Sans CJK SC"/>
        <family val="2"/>
      </rPr>
      <t xml:space="preserve">かさ（傘） </t>
    </r>
    <r>
      <rPr>
        <sz val="10"/>
        <rFont val="Arial"/>
        <family val="0"/>
        <charset val="1"/>
      </rPr>
      <t xml:space="preserve">= Ô, dù
   Mẹo: Kanji </t>
    </r>
    <r>
      <rPr>
        <sz val="10"/>
        <rFont val="Noto Sans CJK SC"/>
        <family val="2"/>
      </rPr>
      <t xml:space="preserve">傘 </t>
    </r>
    <r>
      <rPr>
        <sz val="10"/>
        <rFont val="Arial"/>
        <family val="0"/>
        <charset val="1"/>
      </rPr>
      <t xml:space="preserve">nhìn đúng như cái ô đang xòe ra có nan.
• </t>
    </r>
    <r>
      <rPr>
        <sz val="10"/>
        <rFont val="Noto Sans CJK SC"/>
        <family val="2"/>
      </rPr>
      <t xml:space="preserve">かばん </t>
    </r>
    <r>
      <rPr>
        <sz val="10"/>
        <rFont val="Arial"/>
        <family val="0"/>
        <charset val="1"/>
      </rPr>
      <t xml:space="preserve">= Cặp, túi xách
   Mẹo: KA-BAN nghe như 'cà bần' — cái túi đeo lủng lẳng.
• </t>
    </r>
    <r>
      <rPr>
        <sz val="10"/>
        <rFont val="Noto Sans CJK SC"/>
        <family val="2"/>
      </rPr>
      <t xml:space="preserve">テレビ </t>
    </r>
    <r>
      <rPr>
        <sz val="10"/>
        <rFont val="Arial"/>
        <family val="0"/>
        <charset val="1"/>
      </rPr>
      <t xml:space="preserve">= Ti vi
   Mẹo: Từ 'television'. Katakana rút gọn tiếng Anh.
• </t>
    </r>
    <r>
      <rPr>
        <sz val="10"/>
        <rFont val="Noto Sans CJK SC"/>
        <family val="2"/>
      </rPr>
      <t xml:space="preserve">ラジオ </t>
    </r>
    <r>
      <rPr>
        <sz val="10"/>
        <rFont val="Arial"/>
        <family val="0"/>
        <charset val="1"/>
      </rPr>
      <t xml:space="preserve">= Radio
   Mẹo: Đọc thẳng từ 'radio'.
• </t>
    </r>
    <r>
      <rPr>
        <sz val="10"/>
        <rFont val="Noto Sans CJK SC"/>
        <family val="2"/>
      </rPr>
      <t xml:space="preserve">えんぴつ（鉛筆） </t>
    </r>
    <r>
      <rPr>
        <sz val="10"/>
        <rFont val="Arial"/>
        <family val="0"/>
        <charset val="1"/>
      </rPr>
      <t xml:space="preserve">= Bút chì
   Mẹo: DIÊN BÚT = bút bằng chì. </t>
    </r>
    <r>
      <rPr>
        <sz val="10"/>
        <rFont val="Noto Sans CJK SC"/>
        <family val="2"/>
      </rPr>
      <t xml:space="preserve">筆 </t>
    </r>
    <r>
      <rPr>
        <sz val="10"/>
        <rFont val="Arial"/>
        <family val="0"/>
        <charset val="1"/>
      </rPr>
      <t xml:space="preserve">(bút) là bộ </t>
    </r>
    <r>
      <rPr>
        <sz val="10"/>
        <rFont val="Noto Sans CJK SC"/>
        <family val="2"/>
      </rPr>
      <t xml:space="preserve">竹 </t>
    </r>
    <r>
      <rPr>
        <sz val="10"/>
        <rFont val="Arial"/>
        <family val="0"/>
        <charset val="1"/>
      </rPr>
      <t xml:space="preserve">(tre) + </t>
    </r>
    <r>
      <rPr>
        <sz val="10"/>
        <rFont val="Noto Sans CJK SC"/>
        <family val="2"/>
      </rPr>
      <t xml:space="preserve">聿</t>
    </r>
    <r>
      <rPr>
        <sz val="10"/>
        <rFont val="Arial"/>
        <family val="0"/>
        <charset val="1"/>
      </rPr>
      <t xml:space="preserve">.
• </t>
    </r>
    <r>
      <rPr>
        <sz val="10"/>
        <rFont val="Noto Sans CJK SC"/>
        <family val="2"/>
      </rPr>
      <t xml:space="preserve">ボールペン </t>
    </r>
    <r>
      <rPr>
        <sz val="10"/>
        <rFont val="Arial"/>
        <family val="0"/>
        <charset val="1"/>
      </rPr>
      <t xml:space="preserve">= Bút bi
   Mẹo: 'Ball pen' — bút có viên bi ở đầu.
→ Đối chiếu thêm với mục </t>
    </r>
    <r>
      <rPr>
        <sz val="10"/>
        <rFont val="Noto Sans CJK SC"/>
        <family val="2"/>
      </rPr>
      <t xml:space="preserve">語彙 </t>
    </r>
    <r>
      <rPr>
        <sz val="10"/>
        <rFont val="Arial"/>
        <family val="0"/>
        <charset val="1"/>
      </rPr>
      <t xml:space="preserve">của bài 2 trong sách để bổ sung.</t>
    </r>
  </si>
  <si>
    <r>
      <rPr>
        <sz val="10"/>
        <rFont val="Arial"/>
        <family val="0"/>
        <charset val="1"/>
      </rPr>
      <t xml:space="preserve">Làm </t>
    </r>
    <r>
      <rPr>
        <sz val="10"/>
        <rFont val="Noto Sans CJK SC"/>
        <family val="2"/>
      </rPr>
      <t xml:space="preserve">聴解 </t>
    </r>
    <r>
      <rPr>
        <sz val="10"/>
        <rFont val="Arial"/>
        <family val="0"/>
        <charset val="1"/>
      </rPr>
      <t xml:space="preserve">(phần nghe) trong sách bài tập Minna </t>
    </r>
    <r>
      <rPr>
        <sz val="10"/>
        <rFont val="Noto Sans CJK SC"/>
        <family val="2"/>
      </rPr>
      <t xml:space="preserve">標準問題集 </t>
    </r>
    <r>
      <rPr>
        <sz val="10"/>
        <rFont val="Arial"/>
        <family val="0"/>
        <charset val="1"/>
      </rPr>
      <t xml:space="preserve">của bài đang học.</t>
    </r>
  </si>
  <si>
    <r>
      <rPr>
        <b val="true"/>
        <sz val="12"/>
        <color rgb="FF1F3864"/>
        <rFont val="Arial"/>
        <family val="0"/>
        <charset val="1"/>
      </rPr>
      <t xml:space="preserve">NGÀY 19  ·  Tuần 3  ·  Minna Bài 3 (1/2)  ·  </t>
    </r>
    <r>
      <rPr>
        <b val="true"/>
        <sz val="12"/>
        <color rgb="FF1F3864"/>
        <rFont val="Noto Sans CJK SC"/>
        <family val="2"/>
      </rPr>
      <t xml:space="preserve">ここ・そこ・あそこ — </t>
    </r>
    <r>
      <rPr>
        <b val="true"/>
        <sz val="12"/>
        <color rgb="FF1F3864"/>
        <rFont val="Arial"/>
        <family val="0"/>
        <charset val="1"/>
      </rPr>
      <t xml:space="preserve">Chỉ nơi chốn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</si>
  <si>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木 </t>
    </r>
    <r>
      <rPr>
        <sz val="10"/>
        <rFont val="Arial"/>
        <family val="0"/>
        <charset val="1"/>
      </rPr>
      <t xml:space="preserve">(</t>
    </r>
    <r>
      <rPr>
        <sz val="10"/>
        <rFont val="Noto Sans CJK SC"/>
        <family val="2"/>
      </rPr>
      <t xml:space="preserve">き </t>
    </r>
    <r>
      <rPr>
        <sz val="10"/>
        <rFont val="Arial"/>
        <family val="0"/>
        <charset val="1"/>
      </rPr>
      <t xml:space="preserve">/ </t>
    </r>
    <r>
      <rPr>
        <sz val="10"/>
        <rFont val="Noto Sans CJK SC"/>
        <family val="2"/>
      </rPr>
      <t xml:space="preserve">きへん</t>
    </r>
    <r>
      <rPr>
        <sz val="10"/>
        <rFont val="Arial"/>
        <family val="0"/>
        <charset val="1"/>
      </rPr>
      <t xml:space="preserve">) = Cây, gỗ
   Mẹo nhớ: Thân cây có cành và rễ
   Kanji chứa bộ này: </t>
    </r>
    <r>
      <rPr>
        <sz val="10"/>
        <rFont val="Noto Sans CJK SC"/>
        <family val="2"/>
      </rPr>
      <t xml:space="preserve">木・本・校・東</t>
    </r>
  </si>
  <si>
    <r>
      <rPr>
        <sz val="10"/>
        <rFont val="Arial"/>
        <family val="0"/>
        <charset val="1"/>
      </rPr>
      <t xml:space="preserve">Học 2 chữ. Mỗi chữ viết tay 10 lần đúng thứ tự nét.
• </t>
    </r>
    <r>
      <rPr>
        <sz val="10"/>
        <rFont val="Noto Sans CJK SC"/>
        <family val="2"/>
      </rPr>
      <t xml:space="preserve">二 </t>
    </r>
    <r>
      <rPr>
        <sz val="10"/>
        <rFont val="Arial"/>
        <family val="0"/>
        <charset val="1"/>
      </rPr>
      <t xml:space="preserve">[NHỊ] Hai — On: </t>
    </r>
    <r>
      <rPr>
        <sz val="10"/>
        <rFont val="Noto Sans CJK SC"/>
        <family val="2"/>
      </rPr>
      <t xml:space="preserve">ニ </t>
    </r>
    <r>
      <rPr>
        <sz val="10"/>
        <rFont val="Arial"/>
        <family val="0"/>
        <charset val="1"/>
      </rPr>
      <t xml:space="preserve">/ Kun: </t>
    </r>
    <r>
      <rPr>
        <sz val="10"/>
        <rFont val="Noto Sans CJK SC"/>
        <family val="2"/>
      </rPr>
      <t xml:space="preserve">ふた</t>
    </r>
    <r>
      <rPr>
        <sz val="10"/>
        <rFont val="Arial"/>
        <family val="0"/>
        <charset val="1"/>
      </rPr>
      <t xml:space="preserve">(</t>
    </r>
    <r>
      <rPr>
        <sz val="10"/>
        <rFont val="Noto Sans CJK SC"/>
        <family val="2"/>
      </rPr>
      <t xml:space="preserve">つ</t>
    </r>
    <r>
      <rPr>
        <sz val="10"/>
        <rFont val="Arial"/>
        <family val="0"/>
        <charset val="1"/>
      </rPr>
      <t xml:space="preserve">) (2 nét)
   Từ ghép: </t>
    </r>
    <r>
      <rPr>
        <sz val="10"/>
        <rFont val="Noto Sans CJK SC"/>
        <family val="2"/>
      </rPr>
      <t xml:space="preserve">二つ </t>
    </r>
    <r>
      <rPr>
        <sz val="10"/>
        <rFont val="Arial"/>
        <family val="0"/>
        <charset val="1"/>
      </rPr>
      <t xml:space="preserve">(</t>
    </r>
    <r>
      <rPr>
        <sz val="10"/>
        <rFont val="Noto Sans CJK SC"/>
        <family val="2"/>
      </rPr>
      <t xml:space="preserve">ふたつ</t>
    </r>
    <r>
      <rPr>
        <sz val="10"/>
        <rFont val="Arial"/>
        <family val="0"/>
        <charset val="1"/>
      </rPr>
      <t xml:space="preserve">) hai cái </t>
    </r>
    <r>
      <rPr>
        <sz val="10"/>
        <rFont val="Noto Sans CJK SC"/>
        <family val="2"/>
      </rPr>
      <t xml:space="preserve">・ 二人 </t>
    </r>
    <r>
      <rPr>
        <sz val="10"/>
        <rFont val="Arial"/>
        <family val="0"/>
        <charset val="1"/>
      </rPr>
      <t xml:space="preserve">(</t>
    </r>
    <r>
      <rPr>
        <sz val="10"/>
        <rFont val="Noto Sans CJK SC"/>
        <family val="2"/>
      </rPr>
      <t xml:space="preserve">ふたり</t>
    </r>
    <r>
      <rPr>
        <sz val="10"/>
        <rFont val="Arial"/>
        <family val="0"/>
        <charset val="1"/>
      </rPr>
      <t xml:space="preserve">) hai người </t>
    </r>
    <r>
      <rPr>
        <sz val="10"/>
        <rFont val="Noto Sans CJK SC"/>
        <family val="2"/>
      </rPr>
      <t xml:space="preserve">・ 二月 </t>
    </r>
    <r>
      <rPr>
        <sz val="10"/>
        <rFont val="Arial"/>
        <family val="0"/>
        <charset val="1"/>
      </rPr>
      <t xml:space="preserve">(</t>
    </r>
    <r>
      <rPr>
        <sz val="10"/>
        <rFont val="Noto Sans CJK SC"/>
        <family val="2"/>
      </rPr>
      <t xml:space="preserve">にがつ</t>
    </r>
    <r>
      <rPr>
        <sz val="10"/>
        <rFont val="Arial"/>
        <family val="0"/>
        <charset val="1"/>
      </rPr>
      <t xml:space="preserve">) tháng Hai
   Mẹo: Hai nét ngang = số 2. Nét trên ngắn, nét dưới dài — viết ngược là sai.
• </t>
    </r>
    <r>
      <rPr>
        <sz val="10"/>
        <rFont val="Noto Sans CJK SC"/>
        <family val="2"/>
      </rPr>
      <t xml:space="preserve">本 </t>
    </r>
    <r>
      <rPr>
        <sz val="10"/>
        <rFont val="Arial"/>
        <family val="0"/>
        <charset val="1"/>
      </rPr>
      <t xml:space="preserve">[BẢN / BỔN] Sách, gốc, quyển — On: </t>
    </r>
    <r>
      <rPr>
        <sz val="10"/>
        <rFont val="Noto Sans CJK SC"/>
        <family val="2"/>
      </rPr>
      <t xml:space="preserve">ホン </t>
    </r>
    <r>
      <rPr>
        <sz val="10"/>
        <rFont val="Arial"/>
        <family val="0"/>
        <charset val="1"/>
      </rPr>
      <t xml:space="preserve">/ Kun: </t>
    </r>
    <r>
      <rPr>
        <sz val="10"/>
        <rFont val="Noto Sans CJK SC"/>
        <family val="2"/>
      </rPr>
      <t xml:space="preserve">もと </t>
    </r>
    <r>
      <rPr>
        <sz val="10"/>
        <rFont val="Arial"/>
        <family val="0"/>
        <charset val="1"/>
      </rPr>
      <t xml:space="preserve">(5 nét)
   Từ ghép: </t>
    </r>
    <r>
      <rPr>
        <sz val="10"/>
        <rFont val="Noto Sans CJK SC"/>
        <family val="2"/>
      </rPr>
      <t xml:space="preserve">本 </t>
    </r>
    <r>
      <rPr>
        <sz val="10"/>
        <rFont val="Arial"/>
        <family val="0"/>
        <charset val="1"/>
      </rPr>
      <t xml:space="preserve">(</t>
    </r>
    <r>
      <rPr>
        <sz val="10"/>
        <rFont val="Noto Sans CJK SC"/>
        <family val="2"/>
      </rPr>
      <t xml:space="preserve">ほん</t>
    </r>
    <r>
      <rPr>
        <sz val="10"/>
        <rFont val="Arial"/>
        <family val="0"/>
        <charset val="1"/>
      </rPr>
      <t xml:space="preserve">) sách </t>
    </r>
    <r>
      <rPr>
        <sz val="10"/>
        <rFont val="Noto Sans CJK SC"/>
        <family val="2"/>
      </rPr>
      <t xml:space="preserve">・ 日本 </t>
    </r>
    <r>
      <rPr>
        <sz val="10"/>
        <rFont val="Arial"/>
        <family val="0"/>
        <charset val="1"/>
      </rPr>
      <t xml:space="preserve">(</t>
    </r>
    <r>
      <rPr>
        <sz val="10"/>
        <rFont val="Noto Sans CJK SC"/>
        <family val="2"/>
      </rPr>
      <t xml:space="preserve">にほん</t>
    </r>
    <r>
      <rPr>
        <sz val="10"/>
        <rFont val="Arial"/>
        <family val="0"/>
        <charset val="1"/>
      </rPr>
      <t xml:space="preserve">) Nhật Bản </t>
    </r>
    <r>
      <rPr>
        <sz val="10"/>
        <rFont val="Noto Sans CJK SC"/>
        <family val="2"/>
      </rPr>
      <t xml:space="preserve">・ 本屋 </t>
    </r>
    <r>
      <rPr>
        <sz val="10"/>
        <rFont val="Arial"/>
        <family val="0"/>
        <charset val="1"/>
      </rPr>
      <t xml:space="preserve">(</t>
    </r>
    <r>
      <rPr>
        <sz val="10"/>
        <rFont val="Noto Sans CJK SC"/>
        <family val="2"/>
      </rPr>
      <t xml:space="preserve">ほんや</t>
    </r>
    <r>
      <rPr>
        <sz val="10"/>
        <rFont val="Arial"/>
        <family val="0"/>
        <charset val="1"/>
      </rPr>
      <t xml:space="preserve">) hiệu sách
   Mẹo: Chữ </t>
    </r>
    <r>
      <rPr>
        <sz val="10"/>
        <rFont val="Noto Sans CJK SC"/>
        <family val="2"/>
      </rPr>
      <t xml:space="preserve">木 </t>
    </r>
    <r>
      <rPr>
        <sz val="10"/>
        <rFont val="Arial"/>
        <family val="0"/>
        <charset val="1"/>
      </rPr>
      <t xml:space="preserve">(cây) thêm một gạch ở gốc rễ = GỐC của cây. Gốc → nguồn gốc → sách (nguồn tri thức).</t>
    </r>
  </si>
  <si>
    <r>
      <rPr>
        <sz val="10"/>
        <rFont val="Arial"/>
        <family val="0"/>
        <charset val="1"/>
      </rPr>
      <t xml:space="preserve">Minna bài 3 (1/2) — </t>
    </r>
    <r>
      <rPr>
        <sz val="10"/>
        <rFont val="Noto Sans CJK SC"/>
        <family val="2"/>
      </rPr>
      <t xml:space="preserve">ここ・そこ・あそこ — </t>
    </r>
    <r>
      <rPr>
        <sz val="10"/>
        <rFont val="Arial"/>
        <family val="0"/>
        <charset val="1"/>
      </rPr>
      <t xml:space="preserve">Chỉ nơi chốn
• </t>
    </r>
    <r>
      <rPr>
        <sz val="10"/>
        <rFont val="Noto Sans CJK SC"/>
        <family val="2"/>
      </rPr>
      <t xml:space="preserve">ここ </t>
    </r>
    <r>
      <rPr>
        <sz val="10"/>
        <rFont val="Arial"/>
        <family val="0"/>
        <charset val="1"/>
      </rPr>
      <t xml:space="preserve">/ </t>
    </r>
    <r>
      <rPr>
        <sz val="10"/>
        <rFont val="Noto Sans CJK SC"/>
        <family val="2"/>
      </rPr>
      <t xml:space="preserve">そこ </t>
    </r>
    <r>
      <rPr>
        <sz val="10"/>
        <rFont val="Arial"/>
        <family val="0"/>
        <charset val="1"/>
      </rPr>
      <t xml:space="preserve">/ </t>
    </r>
    <r>
      <rPr>
        <sz val="10"/>
        <rFont val="Noto Sans CJK SC"/>
        <family val="2"/>
      </rPr>
      <t xml:space="preserve">あそこ  </t>
    </r>
    <r>
      <rPr>
        <sz val="10"/>
        <rFont val="Arial"/>
        <family val="0"/>
        <charset val="1"/>
      </rPr>
      <t xml:space="preserve">(Chỗ này / chỗ đó / chỗ kia.)
   Ví dụ: </t>
    </r>
    <r>
      <rPr>
        <sz val="10"/>
        <rFont val="Noto Sans CJK SC"/>
        <family val="2"/>
      </rPr>
      <t xml:space="preserve">ここは 教室です。  </t>
    </r>
    <r>
      <rPr>
        <sz val="10"/>
        <rFont val="Arial"/>
        <family val="0"/>
        <charset val="1"/>
      </rPr>
      <t xml:space="preserve">= Đây là phòng học.
• </t>
    </r>
    <r>
      <rPr>
        <sz val="10"/>
        <rFont val="Noto Sans CJK SC"/>
        <family val="2"/>
      </rPr>
      <t xml:space="preserve">こちら </t>
    </r>
    <r>
      <rPr>
        <sz val="10"/>
        <rFont val="Arial"/>
        <family val="0"/>
        <charset val="1"/>
      </rPr>
      <t xml:space="preserve">/ </t>
    </r>
    <r>
      <rPr>
        <sz val="10"/>
        <rFont val="Noto Sans CJK SC"/>
        <family val="2"/>
      </rPr>
      <t xml:space="preserve">そちら </t>
    </r>
    <r>
      <rPr>
        <sz val="10"/>
        <rFont val="Arial"/>
        <family val="0"/>
        <charset val="1"/>
      </rPr>
      <t xml:space="preserve">/ </t>
    </r>
    <r>
      <rPr>
        <sz val="10"/>
        <rFont val="Noto Sans CJK SC"/>
        <family val="2"/>
      </rPr>
      <t xml:space="preserve">あちら  </t>
    </r>
    <r>
      <rPr>
        <sz val="10"/>
        <rFont val="Arial"/>
        <family val="0"/>
        <charset val="1"/>
      </rPr>
      <t xml:space="preserve">(Phía này / phía đó / phía kia. Lịch sự hơn, cũng dùng chỉ người.)
   Ví dụ: </t>
    </r>
    <r>
      <rPr>
        <sz val="10"/>
        <rFont val="Noto Sans CJK SC"/>
        <family val="2"/>
      </rPr>
      <t xml:space="preserve">こちらは 田中さんです。  </t>
    </r>
    <r>
      <rPr>
        <sz val="10"/>
        <rFont val="Arial"/>
        <family val="0"/>
        <charset val="1"/>
      </rPr>
      <t xml:space="preserve">= Đây là anh Tanaka.
• N </t>
    </r>
    <r>
      <rPr>
        <sz val="10"/>
        <rFont val="Noto Sans CJK SC"/>
        <family val="2"/>
      </rPr>
      <t xml:space="preserve">は 場所 です  </t>
    </r>
    <r>
      <rPr>
        <sz val="10"/>
        <rFont val="Arial"/>
        <family val="0"/>
        <charset val="1"/>
      </rPr>
      <t xml:space="preserve">(N ở chỗ nào đó.)
   Ví dụ: </t>
    </r>
    <r>
      <rPr>
        <sz val="10"/>
        <rFont val="Noto Sans CJK SC"/>
        <family val="2"/>
      </rPr>
      <t xml:space="preserve">電話は </t>
    </r>
    <r>
      <rPr>
        <sz val="10"/>
        <rFont val="Arial"/>
        <family val="0"/>
        <charset val="1"/>
      </rPr>
      <t xml:space="preserve">2</t>
    </r>
    <r>
      <rPr>
        <sz val="10"/>
        <rFont val="Noto Sans CJK SC"/>
        <family val="2"/>
      </rPr>
      <t xml:space="preserve">階です。  </t>
    </r>
    <r>
      <rPr>
        <sz val="10"/>
        <rFont val="Arial"/>
        <family val="0"/>
        <charset val="1"/>
      </rPr>
      <t xml:space="preserve">= Điện thoại ở tầng 2.
→ Làm </t>
    </r>
    <r>
      <rPr>
        <sz val="10"/>
        <rFont val="Noto Sans CJK SC"/>
        <family val="2"/>
      </rPr>
      <t xml:space="preserve">練習</t>
    </r>
    <r>
      <rPr>
        <sz val="10"/>
        <rFont val="Arial"/>
        <family val="0"/>
        <charset val="1"/>
      </rPr>
      <t xml:space="preserve">A của bài 3 trong sách, mỗi mẫu tự đặt 3 câu.</t>
    </r>
  </si>
  <si>
    <r>
      <rPr>
        <sz val="10"/>
        <rFont val="Arial"/>
        <family val="0"/>
        <charset val="1"/>
      </rPr>
      <t xml:space="preserve">Từ mới Minna bài 3:
• </t>
    </r>
    <r>
      <rPr>
        <sz val="10"/>
        <rFont val="Noto Sans CJK SC"/>
        <family val="2"/>
      </rPr>
      <t xml:space="preserve">きょうしつ（教室） </t>
    </r>
    <r>
      <rPr>
        <sz val="10"/>
        <rFont val="Arial"/>
        <family val="0"/>
        <charset val="1"/>
      </rPr>
      <t xml:space="preserve">= Phòng học
   Mẹo: GIÁO THẤT = phòng để dạy. </t>
    </r>
    <r>
      <rPr>
        <sz val="10"/>
        <rFont val="Noto Sans CJK SC"/>
        <family val="2"/>
      </rPr>
      <t xml:space="preserve">室 </t>
    </r>
    <r>
      <rPr>
        <sz val="10"/>
        <rFont val="Arial"/>
        <family val="0"/>
        <charset val="1"/>
      </rPr>
      <t xml:space="preserve">(thất) = phòng, gặp lại ở </t>
    </r>
    <r>
      <rPr>
        <sz val="10"/>
        <rFont val="Noto Sans CJK SC"/>
        <family val="2"/>
      </rPr>
      <t xml:space="preserve">事務室</t>
    </r>
    <r>
      <rPr>
        <sz val="10"/>
        <rFont val="Arial"/>
        <family val="0"/>
        <charset val="1"/>
      </rPr>
      <t xml:space="preserve">.
• </t>
    </r>
    <r>
      <rPr>
        <sz val="10"/>
        <rFont val="Noto Sans CJK SC"/>
        <family val="2"/>
      </rPr>
      <t xml:space="preserve">しょくどう（食堂） </t>
    </r>
    <r>
      <rPr>
        <sz val="10"/>
        <rFont val="Arial"/>
        <family val="0"/>
        <charset val="1"/>
      </rPr>
      <t xml:space="preserve">= Nhà ăn, căng tin
   Mẹo: THỰC ĐƯỜNG = nơi để ăn. </t>
    </r>
    <r>
      <rPr>
        <sz val="10"/>
        <rFont val="Noto Sans CJK SC"/>
        <family val="2"/>
      </rPr>
      <t xml:space="preserve">食 </t>
    </r>
    <r>
      <rPr>
        <sz val="10"/>
        <rFont val="Arial"/>
        <family val="0"/>
        <charset val="1"/>
      </rPr>
      <t xml:space="preserve">(thực) = ăn.
• </t>
    </r>
    <r>
      <rPr>
        <sz val="10"/>
        <rFont val="Noto Sans CJK SC"/>
        <family val="2"/>
      </rPr>
      <t xml:space="preserve">じむしょ（事務所） </t>
    </r>
    <r>
      <rPr>
        <sz val="10"/>
        <rFont val="Arial"/>
        <family val="0"/>
        <charset val="1"/>
      </rPr>
      <t xml:space="preserve">= Văn phòng
   Mẹo: SỰ VỤ SỞ = nơi xử lý công việc.
• </t>
    </r>
    <r>
      <rPr>
        <sz val="10"/>
        <rFont val="Noto Sans CJK SC"/>
        <family val="2"/>
      </rPr>
      <t xml:space="preserve">かいぎしつ（会議室） </t>
    </r>
    <r>
      <rPr>
        <sz val="10"/>
        <rFont val="Arial"/>
        <family val="0"/>
        <charset val="1"/>
      </rPr>
      <t xml:space="preserve">= Phòng họp
   Mẹo: HỘI NGHỊ THẤT = phòng hội nghị.
• </t>
    </r>
    <r>
      <rPr>
        <sz val="10"/>
        <rFont val="Noto Sans CJK SC"/>
        <family val="2"/>
      </rPr>
      <t xml:space="preserve">うけつけ（受付） </t>
    </r>
    <r>
      <rPr>
        <sz val="10"/>
        <rFont val="Arial"/>
        <family val="0"/>
        <charset val="1"/>
      </rPr>
      <t xml:space="preserve">= Quầy lễ tân
   Mẹo: THỤ PHÓ = nơi TIẾP NHẬN (</t>
    </r>
    <r>
      <rPr>
        <sz val="10"/>
        <rFont val="Noto Sans CJK SC"/>
        <family val="2"/>
      </rPr>
      <t xml:space="preserve">受 </t>
    </r>
    <r>
      <rPr>
        <sz val="10"/>
        <rFont val="Arial"/>
        <family val="0"/>
        <charset val="1"/>
      </rPr>
      <t xml:space="preserve">= nhận) khách.
• </t>
    </r>
    <r>
      <rPr>
        <sz val="10"/>
        <rFont val="Noto Sans CJK SC"/>
        <family val="2"/>
      </rPr>
      <t xml:space="preserve">トイレ </t>
    </r>
    <r>
      <rPr>
        <sz val="10"/>
        <rFont val="Arial"/>
        <family val="0"/>
        <charset val="1"/>
      </rPr>
      <t xml:space="preserve">/ </t>
    </r>
    <r>
      <rPr>
        <sz val="10"/>
        <rFont val="Noto Sans CJK SC"/>
        <family val="2"/>
      </rPr>
      <t xml:space="preserve">おてあらい（お手洗い） </t>
    </r>
    <r>
      <rPr>
        <sz val="10"/>
        <rFont val="Arial"/>
        <family val="0"/>
        <charset val="1"/>
      </rPr>
      <t xml:space="preserve">= Nhà vệ sinh
   Mẹo: </t>
    </r>
    <r>
      <rPr>
        <sz val="10"/>
        <rFont val="Noto Sans CJK SC"/>
        <family val="2"/>
      </rPr>
      <t xml:space="preserve">お手洗い </t>
    </r>
    <r>
      <rPr>
        <sz val="10"/>
        <rFont val="Arial"/>
        <family val="0"/>
        <charset val="1"/>
      </rPr>
      <t xml:space="preserve">= 'chỗ RỬA TAY' (</t>
    </r>
    <r>
      <rPr>
        <sz val="10"/>
        <rFont val="Noto Sans CJK SC"/>
        <family val="2"/>
      </rPr>
      <t xml:space="preserve">手 </t>
    </r>
    <r>
      <rPr>
        <sz val="10"/>
        <rFont val="Arial"/>
        <family val="0"/>
        <charset val="1"/>
      </rPr>
      <t xml:space="preserve">tay + </t>
    </r>
    <r>
      <rPr>
        <sz val="10"/>
        <rFont val="Noto Sans CJK SC"/>
        <family val="2"/>
      </rPr>
      <t xml:space="preserve">洗 </t>
    </r>
    <r>
      <rPr>
        <sz val="10"/>
        <rFont val="Arial"/>
        <family val="0"/>
        <charset val="1"/>
      </rPr>
      <t xml:space="preserve">rửa) — cách nói lịch sự.
• </t>
    </r>
    <r>
      <rPr>
        <sz val="10"/>
        <rFont val="Noto Sans CJK SC"/>
        <family val="2"/>
      </rPr>
      <t xml:space="preserve">かいだん（階段） </t>
    </r>
    <r>
      <rPr>
        <sz val="10"/>
        <rFont val="Arial"/>
        <family val="0"/>
        <charset val="1"/>
      </rPr>
      <t xml:space="preserve">= Cầu thang
   Mẹo: GIAI ĐOẠN = từng bậc từng bậc. </t>
    </r>
    <r>
      <rPr>
        <sz val="10"/>
        <rFont val="Noto Sans CJK SC"/>
        <family val="2"/>
      </rPr>
      <t xml:space="preserve">階 </t>
    </r>
    <r>
      <rPr>
        <sz val="10"/>
        <rFont val="Arial"/>
        <family val="0"/>
        <charset val="1"/>
      </rPr>
      <t xml:space="preserve">(giai) = tầng.
→ Đối chiếu thêm với mục </t>
    </r>
    <r>
      <rPr>
        <sz val="10"/>
        <rFont val="Noto Sans CJK SC"/>
        <family val="2"/>
      </rPr>
      <t xml:space="preserve">語彙 </t>
    </r>
    <r>
      <rPr>
        <sz val="10"/>
        <rFont val="Arial"/>
        <family val="0"/>
        <charset val="1"/>
      </rPr>
      <t xml:space="preserve">của bài 3 trong sách để bổ sung.</t>
    </r>
  </si>
  <si>
    <t xml:space="preserve">Vào NHK News Web Easy đọc 1 bài. Gạch chân từ mới, chép 3 câu vào sổ.</t>
  </si>
  <si>
    <r>
      <rPr>
        <b val="true"/>
        <sz val="12"/>
        <color rgb="FF1F3864"/>
        <rFont val="Arial"/>
        <family val="0"/>
        <charset val="1"/>
      </rPr>
      <t xml:space="preserve">NGÀY 20  ·  Tuần 3  ·  Minna Bài 3 (2/2)  ·  </t>
    </r>
    <r>
      <rPr>
        <b val="true"/>
        <sz val="12"/>
        <color rgb="FF1F3864"/>
        <rFont val="Noto Sans CJK SC"/>
        <family val="2"/>
      </rPr>
      <t xml:space="preserve">ここ・そこ・あそこ — </t>
    </r>
    <r>
      <rPr>
        <b val="true"/>
        <sz val="12"/>
        <color rgb="FF1F3864"/>
        <rFont val="Arial"/>
        <family val="0"/>
        <charset val="1"/>
      </rPr>
      <t xml:space="preserve">Chỉ nơi chốn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</si>
  <si>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水 </t>
    </r>
    <r>
      <rPr>
        <sz val="10"/>
        <rFont val="Arial"/>
        <family val="0"/>
        <charset val="1"/>
      </rPr>
      <t xml:space="preserve">/ </t>
    </r>
    <r>
      <rPr>
        <sz val="10"/>
        <rFont val="Noto Sans CJK SC"/>
        <family val="2"/>
      </rPr>
      <t xml:space="preserve">氵 </t>
    </r>
    <r>
      <rPr>
        <sz val="10"/>
        <rFont val="Arial"/>
        <family val="0"/>
        <charset val="1"/>
      </rPr>
      <t xml:space="preserve">(</t>
    </r>
    <r>
      <rPr>
        <sz val="10"/>
        <rFont val="Noto Sans CJK SC"/>
        <family val="2"/>
      </rPr>
      <t xml:space="preserve">みず </t>
    </r>
    <r>
      <rPr>
        <sz val="10"/>
        <rFont val="Arial"/>
        <family val="0"/>
        <charset val="1"/>
      </rPr>
      <t xml:space="preserve">/ </t>
    </r>
    <r>
      <rPr>
        <sz val="10"/>
        <rFont val="Noto Sans CJK SC"/>
        <family val="2"/>
      </rPr>
      <t xml:space="preserve">さんずい</t>
    </r>
    <r>
      <rPr>
        <sz val="10"/>
        <rFont val="Arial"/>
        <family val="0"/>
        <charset val="1"/>
      </rPr>
      <t xml:space="preserve">) = Nước, chất lỏng
   Mẹo nhớ: </t>
    </r>
    <r>
      <rPr>
        <sz val="10"/>
        <rFont val="Noto Sans CJK SC"/>
        <family val="2"/>
      </rPr>
      <t xml:space="preserve">氵 </t>
    </r>
    <r>
      <rPr>
        <sz val="10"/>
        <rFont val="Arial"/>
        <family val="0"/>
        <charset val="1"/>
      </rPr>
      <t xml:space="preserve">ba giọt nước bên trái
   Kanji chứa bộ này: </t>
    </r>
    <r>
      <rPr>
        <sz val="10"/>
        <rFont val="Noto Sans CJK SC"/>
        <family val="2"/>
      </rPr>
      <t xml:space="preserve">水・海・池・酒</t>
    </r>
  </si>
  <si>
    <r>
      <rPr>
        <sz val="10"/>
        <rFont val="Arial"/>
        <family val="0"/>
        <charset val="1"/>
      </rPr>
      <t xml:space="preserve">Học 2 chữ. Mỗi chữ viết tay 10 lần đúng thứ tự nét.
• </t>
    </r>
    <r>
      <rPr>
        <sz val="10"/>
        <rFont val="Noto Sans CJK SC"/>
        <family val="2"/>
      </rPr>
      <t xml:space="preserve">中 </t>
    </r>
    <r>
      <rPr>
        <sz val="10"/>
        <rFont val="Arial"/>
        <family val="0"/>
        <charset val="1"/>
      </rPr>
      <t xml:space="preserve">[TRUNG] Ở giữa, bên trong — On: </t>
    </r>
    <r>
      <rPr>
        <sz val="10"/>
        <rFont val="Noto Sans CJK SC"/>
        <family val="2"/>
      </rPr>
      <t xml:space="preserve">チュウ </t>
    </r>
    <r>
      <rPr>
        <sz val="10"/>
        <rFont val="Arial"/>
        <family val="0"/>
        <charset val="1"/>
      </rPr>
      <t xml:space="preserve">/ Kun: </t>
    </r>
    <r>
      <rPr>
        <sz val="10"/>
        <rFont val="Noto Sans CJK SC"/>
        <family val="2"/>
      </rPr>
      <t xml:space="preserve">なか </t>
    </r>
    <r>
      <rPr>
        <sz val="10"/>
        <rFont val="Arial"/>
        <family val="0"/>
        <charset val="1"/>
      </rPr>
      <t xml:space="preserve">(4 nét)
   Từ ghép: </t>
    </r>
    <r>
      <rPr>
        <sz val="10"/>
        <rFont val="Noto Sans CJK SC"/>
        <family val="2"/>
      </rPr>
      <t xml:space="preserve">中国 </t>
    </r>
    <r>
      <rPr>
        <sz val="10"/>
        <rFont val="Arial"/>
        <family val="0"/>
        <charset val="1"/>
      </rPr>
      <t xml:space="preserve">(</t>
    </r>
    <r>
      <rPr>
        <sz val="10"/>
        <rFont val="Noto Sans CJK SC"/>
        <family val="2"/>
      </rPr>
      <t xml:space="preserve">ちゅうごく</t>
    </r>
    <r>
      <rPr>
        <sz val="10"/>
        <rFont val="Arial"/>
        <family val="0"/>
        <charset val="1"/>
      </rPr>
      <t xml:space="preserve">) Trung Quốc </t>
    </r>
    <r>
      <rPr>
        <sz val="10"/>
        <rFont val="Noto Sans CJK SC"/>
        <family val="2"/>
      </rPr>
      <t xml:space="preserve">・ 中 </t>
    </r>
    <r>
      <rPr>
        <sz val="10"/>
        <rFont val="Arial"/>
        <family val="0"/>
        <charset val="1"/>
      </rPr>
      <t xml:space="preserve">(</t>
    </r>
    <r>
      <rPr>
        <sz val="10"/>
        <rFont val="Noto Sans CJK SC"/>
        <family val="2"/>
      </rPr>
      <t xml:space="preserve">なか</t>
    </r>
    <r>
      <rPr>
        <sz val="10"/>
        <rFont val="Arial"/>
        <family val="0"/>
        <charset val="1"/>
      </rPr>
      <t xml:space="preserve">) bên trong </t>
    </r>
    <r>
      <rPr>
        <sz val="10"/>
        <rFont val="Noto Sans CJK SC"/>
        <family val="2"/>
      </rPr>
      <t xml:space="preserve">・ 一日中 </t>
    </r>
    <r>
      <rPr>
        <sz val="10"/>
        <rFont val="Arial"/>
        <family val="0"/>
        <charset val="1"/>
      </rPr>
      <t xml:space="preserve">(</t>
    </r>
    <r>
      <rPr>
        <sz val="10"/>
        <rFont val="Noto Sans CJK SC"/>
        <family val="2"/>
      </rPr>
      <t xml:space="preserve">いちにちじゅう</t>
    </r>
    <r>
      <rPr>
        <sz val="10"/>
        <rFont val="Arial"/>
        <family val="0"/>
        <charset val="1"/>
      </rPr>
      <t xml:space="preserve">) suốt cả ngày
   Mẹo: Một mũi tên xuyên đúng TÂM của ô vuông = ở GIỮA.
• </t>
    </r>
    <r>
      <rPr>
        <sz val="10"/>
        <rFont val="Noto Sans CJK SC"/>
        <family val="2"/>
      </rPr>
      <t xml:space="preserve">長 </t>
    </r>
    <r>
      <rPr>
        <sz val="10"/>
        <rFont val="Arial"/>
        <family val="0"/>
        <charset val="1"/>
      </rPr>
      <t xml:space="preserve">[TRƯỜNG / TRƯỞNG] Dài, người đứng đầu — On: </t>
    </r>
    <r>
      <rPr>
        <sz val="10"/>
        <rFont val="Noto Sans CJK SC"/>
        <family val="2"/>
      </rPr>
      <t xml:space="preserve">チョウ </t>
    </r>
    <r>
      <rPr>
        <sz val="10"/>
        <rFont val="Arial"/>
        <family val="0"/>
        <charset val="1"/>
      </rPr>
      <t xml:space="preserve">/ Kun: </t>
    </r>
    <r>
      <rPr>
        <sz val="10"/>
        <rFont val="Noto Sans CJK SC"/>
        <family val="2"/>
      </rPr>
      <t xml:space="preserve">なが</t>
    </r>
    <r>
      <rPr>
        <sz val="10"/>
        <rFont val="Arial"/>
        <family val="0"/>
        <charset val="1"/>
      </rPr>
      <t xml:space="preserve">(</t>
    </r>
    <r>
      <rPr>
        <sz val="10"/>
        <rFont val="Noto Sans CJK SC"/>
        <family val="2"/>
      </rPr>
      <t xml:space="preserve">い</t>
    </r>
    <r>
      <rPr>
        <sz val="10"/>
        <rFont val="Arial"/>
        <family val="0"/>
        <charset val="1"/>
      </rPr>
      <t xml:space="preserve">) (8 nét)
   Từ ghép: </t>
    </r>
    <r>
      <rPr>
        <sz val="10"/>
        <rFont val="Noto Sans CJK SC"/>
        <family val="2"/>
      </rPr>
      <t xml:space="preserve">長い </t>
    </r>
    <r>
      <rPr>
        <sz val="10"/>
        <rFont val="Arial"/>
        <family val="0"/>
        <charset val="1"/>
      </rPr>
      <t xml:space="preserve">(</t>
    </r>
    <r>
      <rPr>
        <sz val="10"/>
        <rFont val="Noto Sans CJK SC"/>
        <family val="2"/>
      </rPr>
      <t xml:space="preserve">ながい</t>
    </r>
    <r>
      <rPr>
        <sz val="10"/>
        <rFont val="Arial"/>
        <family val="0"/>
        <charset val="1"/>
      </rPr>
      <t xml:space="preserve">) dài </t>
    </r>
    <r>
      <rPr>
        <sz val="10"/>
        <rFont val="Noto Sans CJK SC"/>
        <family val="2"/>
      </rPr>
      <t xml:space="preserve">・ 社長 </t>
    </r>
    <r>
      <rPr>
        <sz val="10"/>
        <rFont val="Arial"/>
        <family val="0"/>
        <charset val="1"/>
      </rPr>
      <t xml:space="preserve">(</t>
    </r>
    <r>
      <rPr>
        <sz val="10"/>
        <rFont val="Noto Sans CJK SC"/>
        <family val="2"/>
      </rPr>
      <t xml:space="preserve">しゃちょう</t>
    </r>
    <r>
      <rPr>
        <sz val="10"/>
        <rFont val="Arial"/>
        <family val="0"/>
        <charset val="1"/>
      </rPr>
      <t xml:space="preserve">) giám đốc </t>
    </r>
    <r>
      <rPr>
        <sz val="10"/>
        <rFont val="Noto Sans CJK SC"/>
        <family val="2"/>
      </rPr>
      <t xml:space="preserve">・ 校長 </t>
    </r>
    <r>
      <rPr>
        <sz val="10"/>
        <rFont val="Arial"/>
        <family val="0"/>
        <charset val="1"/>
      </rPr>
      <t xml:space="preserve">(</t>
    </r>
    <r>
      <rPr>
        <sz val="10"/>
        <rFont val="Noto Sans CJK SC"/>
        <family val="2"/>
      </rPr>
      <t xml:space="preserve">こうちょう</t>
    </r>
    <r>
      <rPr>
        <sz val="10"/>
        <rFont val="Arial"/>
        <family val="0"/>
        <charset val="1"/>
      </rPr>
      <t xml:space="preserve">) hiệu trưởng
   Mẹo: Hình một ông cụ tóc DÀI chống gậy. Tóc dài → sống lâu → bậc TRƯỞNG bối.</t>
    </r>
  </si>
  <si>
    <r>
      <rPr>
        <sz val="10"/>
        <rFont val="Arial"/>
        <family val="0"/>
        <charset val="1"/>
      </rPr>
      <t xml:space="preserve">Minna bài 3 (2/2) — </t>
    </r>
    <r>
      <rPr>
        <sz val="10"/>
        <rFont val="Noto Sans CJK SC"/>
        <family val="2"/>
      </rPr>
      <t xml:space="preserve">ここ・そこ・あそこ — </t>
    </r>
    <r>
      <rPr>
        <sz val="10"/>
        <rFont val="Arial"/>
        <family val="0"/>
        <charset val="1"/>
      </rPr>
      <t xml:space="preserve">Chỉ nơi chốn
• N </t>
    </r>
    <r>
      <rPr>
        <sz val="10"/>
        <rFont val="Noto Sans CJK SC"/>
        <family val="2"/>
      </rPr>
      <t xml:space="preserve">は どこですか  </t>
    </r>
    <r>
      <rPr>
        <sz val="10"/>
        <rFont val="Arial"/>
        <family val="0"/>
        <charset val="1"/>
      </rPr>
      <t xml:space="preserve">(N ở đâu?)
   Ví dụ: </t>
    </r>
    <r>
      <rPr>
        <sz val="10"/>
        <rFont val="Noto Sans CJK SC"/>
        <family val="2"/>
      </rPr>
      <t xml:space="preserve">トイレは どこですか。  </t>
    </r>
    <r>
      <rPr>
        <sz val="10"/>
        <rFont val="Arial"/>
        <family val="0"/>
        <charset val="1"/>
      </rPr>
      <t xml:space="preserve">= Nhà vệ sinh ở đâu ạ?
• </t>
    </r>
    <r>
      <rPr>
        <sz val="10"/>
        <rFont val="Noto Sans CJK SC"/>
        <family val="2"/>
      </rPr>
      <t xml:space="preserve">いくらですか  </t>
    </r>
    <r>
      <rPr>
        <sz val="10"/>
        <rFont val="Arial"/>
        <family val="0"/>
        <charset val="1"/>
      </rPr>
      <t xml:space="preserve">(Bao nhiêu tiền?)
   Ví dụ: </t>
    </r>
    <r>
      <rPr>
        <sz val="10"/>
        <rFont val="Noto Sans CJK SC"/>
        <family val="2"/>
      </rPr>
      <t xml:space="preserve">この かばんは いくらですか。  </t>
    </r>
    <r>
      <rPr>
        <sz val="10"/>
        <rFont val="Arial"/>
        <family val="0"/>
        <charset val="1"/>
      </rPr>
      <t xml:space="preserve">= Cái túi này bao nhiêu tiền?
→ Làm </t>
    </r>
    <r>
      <rPr>
        <sz val="10"/>
        <rFont val="Noto Sans CJK SC"/>
        <family val="2"/>
      </rPr>
      <t xml:space="preserve">練習</t>
    </r>
    <r>
      <rPr>
        <sz val="10"/>
        <rFont val="Arial"/>
        <family val="0"/>
        <charset val="1"/>
      </rPr>
      <t xml:space="preserve">A của bài 3 trong sách, mỗi mẫu tự đặt 3 câu.</t>
    </r>
  </si>
  <si>
    <r>
      <rPr>
        <sz val="10"/>
        <rFont val="Arial"/>
        <family val="0"/>
        <charset val="1"/>
      </rPr>
      <t xml:space="preserve">Từ mới Minna bài 3:
• </t>
    </r>
    <r>
      <rPr>
        <sz val="10"/>
        <rFont val="Noto Sans CJK SC"/>
        <family val="2"/>
      </rPr>
      <t xml:space="preserve">エレベーター </t>
    </r>
    <r>
      <rPr>
        <sz val="10"/>
        <rFont val="Arial"/>
        <family val="0"/>
        <charset val="1"/>
      </rPr>
      <t xml:space="preserve">= Thang máy
   Mẹo: 'Elevator'. Chú ý trường âm </t>
    </r>
    <r>
      <rPr>
        <sz val="10"/>
        <rFont val="Noto Sans CJK SC"/>
        <family val="2"/>
      </rPr>
      <t xml:space="preserve">ー </t>
    </r>
    <r>
      <rPr>
        <sz val="10"/>
        <rFont val="Arial"/>
        <family val="0"/>
        <charset val="1"/>
      </rPr>
      <t xml:space="preserve">ở giữa.
• </t>
    </r>
    <r>
      <rPr>
        <sz val="10"/>
        <rFont val="Noto Sans CJK SC"/>
        <family val="2"/>
      </rPr>
      <t xml:space="preserve">くに（国） </t>
    </r>
    <r>
      <rPr>
        <sz val="10"/>
        <rFont val="Arial"/>
        <family val="0"/>
        <charset val="1"/>
      </rPr>
      <t xml:space="preserve">= Đất nước
   Mẹo: QUỐC — </t>
    </r>
    <r>
      <rPr>
        <sz val="10"/>
        <rFont val="Noto Sans CJK SC"/>
        <family val="2"/>
      </rPr>
      <t xml:space="preserve">囗 </t>
    </r>
    <r>
      <rPr>
        <sz val="10"/>
        <rFont val="Arial"/>
        <family val="0"/>
        <charset val="1"/>
      </rPr>
      <t xml:space="preserve">(biên giới) bao </t>
    </r>
    <r>
      <rPr>
        <sz val="10"/>
        <rFont val="Noto Sans CJK SC"/>
        <family val="2"/>
      </rPr>
      <t xml:space="preserve">玉 </t>
    </r>
    <r>
      <rPr>
        <sz val="10"/>
        <rFont val="Arial"/>
        <family val="0"/>
        <charset val="1"/>
      </rPr>
      <t xml:space="preserve">(ngọc) = lãnh thổ giữ báu vật.
• </t>
    </r>
    <r>
      <rPr>
        <sz val="10"/>
        <rFont val="Noto Sans CJK SC"/>
        <family val="2"/>
      </rPr>
      <t xml:space="preserve">かいしゃ（会社） </t>
    </r>
    <r>
      <rPr>
        <sz val="10"/>
        <rFont val="Arial"/>
        <family val="0"/>
        <charset val="1"/>
      </rPr>
      <t xml:space="preserve">= Công ty
   Mẹo: HỘI XÃ. Đảo ngược thành </t>
    </r>
    <r>
      <rPr>
        <sz val="10"/>
        <rFont val="Noto Sans CJK SC"/>
        <family val="2"/>
      </rPr>
      <t xml:space="preserve">社会 </t>
    </r>
    <r>
      <rPr>
        <sz val="10"/>
        <rFont val="Arial"/>
        <family val="0"/>
        <charset val="1"/>
      </rPr>
      <t xml:space="preserve">(xã hội) là một từ khác — đừng nhầm.
• </t>
    </r>
    <r>
      <rPr>
        <sz val="10"/>
        <rFont val="Noto Sans CJK SC"/>
        <family val="2"/>
      </rPr>
      <t xml:space="preserve">うち（家） </t>
    </r>
    <r>
      <rPr>
        <sz val="10"/>
        <rFont val="Arial"/>
        <family val="0"/>
        <charset val="1"/>
      </rPr>
      <t xml:space="preserve">= Nhà (của mình)
   Mẹo: U-CHI: 'ú chi' — về nhà mới thấy ấm. Kanji </t>
    </r>
    <r>
      <rPr>
        <sz val="10"/>
        <rFont val="Noto Sans CJK SC"/>
        <family val="2"/>
      </rPr>
      <t xml:space="preserve">家 </t>
    </r>
    <r>
      <rPr>
        <sz val="10"/>
        <rFont val="Arial"/>
        <family val="0"/>
        <charset val="1"/>
      </rPr>
      <t xml:space="preserve">= </t>
    </r>
    <r>
      <rPr>
        <sz val="10"/>
        <rFont val="Noto Sans CJK SC"/>
        <family val="2"/>
      </rPr>
      <t xml:space="preserve">宀 </t>
    </r>
    <r>
      <rPr>
        <sz val="10"/>
        <rFont val="Arial"/>
        <family val="0"/>
        <charset val="1"/>
      </rPr>
      <t xml:space="preserve">(mái) + </t>
    </r>
    <r>
      <rPr>
        <sz val="10"/>
        <rFont val="Noto Sans CJK SC"/>
        <family val="2"/>
      </rPr>
      <t xml:space="preserve">豕 </t>
    </r>
    <r>
      <rPr>
        <sz val="10"/>
        <rFont val="Arial"/>
        <family val="0"/>
        <charset val="1"/>
      </rPr>
      <t xml:space="preserve">(con lợn).
• </t>
    </r>
    <r>
      <rPr>
        <sz val="10"/>
        <rFont val="Noto Sans CJK SC"/>
        <family val="2"/>
      </rPr>
      <t xml:space="preserve">えん（円） </t>
    </r>
    <r>
      <rPr>
        <sz val="10"/>
        <rFont val="Arial"/>
        <family val="0"/>
        <charset val="1"/>
      </rPr>
      <t xml:space="preserve">= Yên (tiền Nhật)
   Mẹo: VIÊN = tròn, vì đồng xu hình tròn.
• </t>
    </r>
    <r>
      <rPr>
        <sz val="10"/>
        <rFont val="Noto Sans CJK SC"/>
        <family val="2"/>
      </rPr>
      <t xml:space="preserve">いくら </t>
    </r>
    <r>
      <rPr>
        <sz val="10"/>
        <rFont val="Arial"/>
        <family val="0"/>
        <charset val="1"/>
      </rPr>
      <t xml:space="preserve">= Bao nhiêu tiền
   Mẹo: Chỉ dùng hỏi GIÁ. Hỏi số lượng thì dùng </t>
    </r>
    <r>
      <rPr>
        <sz val="10"/>
        <rFont val="Noto Sans CJK SC"/>
        <family val="2"/>
      </rPr>
      <t xml:space="preserve">いくつ</t>
    </r>
    <r>
      <rPr>
        <sz val="10"/>
        <rFont val="Arial"/>
        <family val="0"/>
        <charset val="1"/>
      </rPr>
      <t xml:space="preserve">.
• </t>
    </r>
    <r>
      <rPr>
        <sz val="10"/>
        <rFont val="Noto Sans CJK SC"/>
        <family val="2"/>
      </rPr>
      <t xml:space="preserve">〜がい </t>
    </r>
    <r>
      <rPr>
        <sz val="10"/>
        <rFont val="Arial"/>
        <family val="0"/>
        <charset val="1"/>
      </rPr>
      <t xml:space="preserve">/ </t>
    </r>
    <r>
      <rPr>
        <sz val="10"/>
        <rFont val="Noto Sans CJK SC"/>
        <family val="2"/>
      </rPr>
      <t xml:space="preserve">〜かい（〜階） </t>
    </r>
    <r>
      <rPr>
        <sz val="10"/>
        <rFont val="Arial"/>
        <family val="0"/>
        <charset val="1"/>
      </rPr>
      <t xml:space="preserve">= Tầng ~
   Mẹo: 1</t>
    </r>
    <r>
      <rPr>
        <sz val="10"/>
        <rFont val="Noto Sans CJK SC"/>
        <family val="2"/>
      </rPr>
      <t xml:space="preserve">階 いっかい</t>
    </r>
    <r>
      <rPr>
        <sz val="10"/>
        <rFont val="Arial"/>
        <family val="0"/>
        <charset val="1"/>
      </rPr>
      <t xml:space="preserve">, 3</t>
    </r>
    <r>
      <rPr>
        <sz val="10"/>
        <rFont val="Noto Sans CJK SC"/>
        <family val="2"/>
      </rPr>
      <t xml:space="preserve">階 さんがい — </t>
    </r>
    <r>
      <rPr>
        <sz val="10"/>
        <rFont val="Arial"/>
        <family val="0"/>
        <charset val="1"/>
      </rPr>
      <t xml:space="preserve">chú ý biến âm.
→ Đối chiếu thêm với mục </t>
    </r>
    <r>
      <rPr>
        <sz val="10"/>
        <rFont val="Noto Sans CJK SC"/>
        <family val="2"/>
      </rPr>
      <t xml:space="preserve">語彙 </t>
    </r>
    <r>
      <rPr>
        <sz val="10"/>
        <rFont val="Arial"/>
        <family val="0"/>
        <charset val="1"/>
      </rPr>
      <t xml:space="preserve">của bài 3 trong sách để bổ sung.</t>
    </r>
  </si>
  <si>
    <t xml:space="preserve">Xem 15 phút Erin's Challenge hoặc Nihongo no Mori N5, bật phụ đề tiếng Nhật.</t>
  </si>
  <si>
    <r>
      <rPr>
        <b val="true"/>
        <sz val="12"/>
        <color rgb="FF1F3864"/>
        <rFont val="Arial"/>
        <family val="0"/>
        <charset val="1"/>
      </rPr>
      <t xml:space="preserve">NGÀY 21  ·  Tuần 3  ·  Minna Ôn bài 1–3  ·  Ôn tập tuần 3 — Minna bài 1–3      </t>
    </r>
    <r>
      <rPr>
        <b val="true"/>
        <sz val="12"/>
        <color rgb="FF1F3864"/>
        <rFont val="Noto Sans CJK SC"/>
        <family val="2"/>
      </rPr>
      <t xml:space="preserve">〔</t>
    </r>
    <r>
      <rPr>
        <b val="true"/>
        <sz val="12"/>
        <color rgb="FF1F3864"/>
        <rFont val="Arial"/>
        <family val="0"/>
        <charset val="1"/>
      </rPr>
      <t xml:space="preserve">105 phút · 5 việc</t>
    </r>
    <r>
      <rPr>
        <b val="true"/>
        <sz val="12"/>
        <color rgb="FF1F3864"/>
        <rFont val="Noto Sans CJK SC"/>
        <family val="2"/>
      </rPr>
      <t xml:space="preserve">〕</t>
    </r>
  </si>
  <si>
    <t xml:space="preserve">Viết lại toàn bộ Kanji đã học trong tuần: che nghĩa → đọc chữ, che chữ → viết lại. Lọc sheet '9. Kanji 103' theo cột Ngày học để biết chính xác chữ nào.</t>
  </si>
  <si>
    <t xml:space="preserve">Ôn 6 bộ thủ của tuần: nhìn bộ nói nghĩa, kể 1 Kanji chứa bộ đó.</t>
  </si>
  <si>
    <r>
      <rPr>
        <sz val="10"/>
        <rFont val="Arial"/>
        <family val="0"/>
        <charset val="1"/>
      </rPr>
      <t xml:space="preserve">Làm phần </t>
    </r>
    <r>
      <rPr>
        <sz val="10"/>
        <rFont val="Noto Sans CJK SC"/>
        <family val="2"/>
      </rPr>
      <t xml:space="preserve">練習</t>
    </r>
    <r>
      <rPr>
        <sz val="10"/>
        <rFont val="Arial"/>
        <family val="0"/>
        <charset val="1"/>
      </rPr>
      <t xml:space="preserve">B và </t>
    </r>
    <r>
      <rPr>
        <sz val="10"/>
        <rFont val="Noto Sans CJK SC"/>
        <family val="2"/>
      </rPr>
      <t xml:space="preserve">練習</t>
    </r>
    <r>
      <rPr>
        <sz val="10"/>
        <rFont val="Arial"/>
        <family val="0"/>
        <charset val="1"/>
      </rPr>
      <t xml:space="preserve">C trong Minna bài 1–3. Sau đó tự đặt 5 câu mới.</t>
    </r>
  </si>
  <si>
    <t xml:space="preserve">Kiểm tra lại toàn bộ từ vựng Minna bài 1–3. Từ nào quên đánh dấu 'Đang học'.</t>
  </si>
  <si>
    <r>
      <rPr>
        <b val="true"/>
        <sz val="10"/>
        <rFont val="Noto Sans CJK SC"/>
        <family val="2"/>
      </rPr>
      <t xml:space="preserve">耳読  </t>
    </r>
    <r>
      <rPr>
        <b val="true"/>
        <sz val="10"/>
        <rFont val="Arial"/>
        <family val="0"/>
        <charset val="1"/>
      </rPr>
      <t xml:space="preserve">Nghe + Đọc</t>
    </r>
  </si>
  <si>
    <r>
      <rPr>
        <sz val="10"/>
        <rFont val="Arial"/>
        <family val="0"/>
        <charset val="1"/>
      </rPr>
      <t xml:space="preserve">Làm phần </t>
    </r>
    <r>
      <rPr>
        <sz val="10"/>
        <rFont val="Noto Sans CJK SC"/>
        <family val="2"/>
      </rPr>
      <t xml:space="preserve">問題 </t>
    </r>
    <r>
      <rPr>
        <sz val="10"/>
        <rFont val="Arial"/>
        <family val="0"/>
        <charset val="1"/>
      </rPr>
      <t xml:space="preserve">(nghe + đọc) cuối mỗi bài trong Minna bài 1–3. Ghi lỗi sai vào cột Ghi chú.</t>
    </r>
  </si>
  <si>
    <r>
      <rPr>
        <b val="true"/>
        <sz val="12"/>
        <color rgb="FF1F3864"/>
        <rFont val="Arial"/>
        <family val="0"/>
        <charset val="1"/>
      </rPr>
      <t xml:space="preserve">NGÀY 22  ·  Tuần 4  ·  Minna Bài 4 (1/2)  ·  Giờ giấc &amp; Thì của động từ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</si>
  <si>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火 </t>
    </r>
    <r>
      <rPr>
        <sz val="10"/>
        <rFont val="Arial"/>
        <family val="0"/>
        <charset val="1"/>
      </rPr>
      <t xml:space="preserve">/ </t>
    </r>
    <r>
      <rPr>
        <sz val="10"/>
        <rFont val="Noto Sans CJK SC"/>
        <family val="2"/>
      </rPr>
      <t xml:space="preserve">灬 </t>
    </r>
    <r>
      <rPr>
        <sz val="10"/>
        <rFont val="Arial"/>
        <family val="0"/>
        <charset val="1"/>
      </rPr>
      <t xml:space="preserve">(</t>
    </r>
    <r>
      <rPr>
        <sz val="10"/>
        <rFont val="Noto Sans CJK SC"/>
        <family val="2"/>
      </rPr>
      <t xml:space="preserve">ひ </t>
    </r>
    <r>
      <rPr>
        <sz val="10"/>
        <rFont val="Arial"/>
        <family val="0"/>
        <charset val="1"/>
      </rPr>
      <t xml:space="preserve">/ </t>
    </r>
    <r>
      <rPr>
        <sz val="10"/>
        <rFont val="Noto Sans CJK SC"/>
        <family val="2"/>
      </rPr>
      <t xml:space="preserve">れんが</t>
    </r>
    <r>
      <rPr>
        <sz val="10"/>
        <rFont val="Arial"/>
        <family val="0"/>
        <charset val="1"/>
      </rPr>
      <t xml:space="preserve">) = Lửa, nhiệt
   Mẹo nhớ: </t>
    </r>
    <r>
      <rPr>
        <sz val="10"/>
        <rFont val="Noto Sans CJK SC"/>
        <family val="2"/>
      </rPr>
      <t xml:space="preserve">灬 </t>
    </r>
    <r>
      <rPr>
        <sz val="10"/>
        <rFont val="Arial"/>
        <family val="0"/>
        <charset val="1"/>
      </rPr>
      <t xml:space="preserve">bốn chấm dưới = ngọn lửa cháy
   Kanji chứa bộ này: </t>
    </r>
    <r>
      <rPr>
        <sz val="10"/>
        <rFont val="Noto Sans CJK SC"/>
        <family val="2"/>
      </rPr>
      <t xml:space="preserve">火・点・無・焼</t>
    </r>
  </si>
  <si>
    <r>
      <rPr>
        <sz val="10"/>
        <rFont val="Arial"/>
        <family val="0"/>
        <charset val="1"/>
      </rPr>
      <t xml:space="preserve">Học 2 chữ. Mỗi chữ viết tay 10 lần đúng thứ tự nét.
• </t>
    </r>
    <r>
      <rPr>
        <sz val="10"/>
        <rFont val="Noto Sans CJK SC"/>
        <family val="2"/>
      </rPr>
      <t xml:space="preserve">出 </t>
    </r>
    <r>
      <rPr>
        <sz val="10"/>
        <rFont val="Arial"/>
        <family val="0"/>
        <charset val="1"/>
      </rPr>
      <t xml:space="preserve">[XUẤT] Ra, đi ra — On: </t>
    </r>
    <r>
      <rPr>
        <sz val="10"/>
        <rFont val="Noto Sans CJK SC"/>
        <family val="2"/>
      </rPr>
      <t xml:space="preserve">シュツ </t>
    </r>
    <r>
      <rPr>
        <sz val="10"/>
        <rFont val="Arial"/>
        <family val="0"/>
        <charset val="1"/>
      </rPr>
      <t xml:space="preserve">/ Kun: </t>
    </r>
    <r>
      <rPr>
        <sz val="10"/>
        <rFont val="Noto Sans CJK SC"/>
        <family val="2"/>
      </rPr>
      <t xml:space="preserve">で</t>
    </r>
    <r>
      <rPr>
        <sz val="10"/>
        <rFont val="Arial"/>
        <family val="0"/>
        <charset val="1"/>
      </rPr>
      <t xml:space="preserve">(</t>
    </r>
    <r>
      <rPr>
        <sz val="10"/>
        <rFont val="Noto Sans CJK SC"/>
        <family val="2"/>
      </rPr>
      <t xml:space="preserve">る</t>
    </r>
    <r>
      <rPr>
        <sz val="10"/>
        <rFont val="Arial"/>
        <family val="0"/>
        <charset val="1"/>
      </rPr>
      <t xml:space="preserve">)</t>
    </r>
    <r>
      <rPr>
        <sz val="10"/>
        <rFont val="Noto Sans CJK SC"/>
        <family val="2"/>
      </rPr>
      <t xml:space="preserve">・だ</t>
    </r>
    <r>
      <rPr>
        <sz val="10"/>
        <rFont val="Arial"/>
        <family val="0"/>
        <charset val="1"/>
      </rPr>
      <t xml:space="preserve">(</t>
    </r>
    <r>
      <rPr>
        <sz val="10"/>
        <rFont val="Noto Sans CJK SC"/>
        <family val="2"/>
      </rPr>
      <t xml:space="preserve">す</t>
    </r>
    <r>
      <rPr>
        <sz val="10"/>
        <rFont val="Arial"/>
        <family val="0"/>
        <charset val="1"/>
      </rPr>
      <t xml:space="preserve">) (5 nét)
   Từ ghép: </t>
    </r>
    <r>
      <rPr>
        <sz val="10"/>
        <rFont val="Noto Sans CJK SC"/>
        <family val="2"/>
      </rPr>
      <t xml:space="preserve">出ます </t>
    </r>
    <r>
      <rPr>
        <sz val="10"/>
        <rFont val="Arial"/>
        <family val="0"/>
        <charset val="1"/>
      </rPr>
      <t xml:space="preserve">(</t>
    </r>
    <r>
      <rPr>
        <sz val="10"/>
        <rFont val="Noto Sans CJK SC"/>
        <family val="2"/>
      </rPr>
      <t xml:space="preserve">でます</t>
    </r>
    <r>
      <rPr>
        <sz val="10"/>
        <rFont val="Arial"/>
        <family val="0"/>
        <charset val="1"/>
      </rPr>
      <t xml:space="preserve">) ra </t>
    </r>
    <r>
      <rPr>
        <sz val="10"/>
        <rFont val="Noto Sans CJK SC"/>
        <family val="2"/>
      </rPr>
      <t xml:space="preserve">・ 出口 </t>
    </r>
    <r>
      <rPr>
        <sz val="10"/>
        <rFont val="Arial"/>
        <family val="0"/>
        <charset val="1"/>
      </rPr>
      <t xml:space="preserve">(</t>
    </r>
    <r>
      <rPr>
        <sz val="10"/>
        <rFont val="Noto Sans CJK SC"/>
        <family val="2"/>
      </rPr>
      <t xml:space="preserve">でぐち</t>
    </r>
    <r>
      <rPr>
        <sz val="10"/>
        <rFont val="Arial"/>
        <family val="0"/>
        <charset val="1"/>
      </rPr>
      <t xml:space="preserve">) lối ra </t>
    </r>
    <r>
      <rPr>
        <sz val="10"/>
        <rFont val="Noto Sans CJK SC"/>
        <family val="2"/>
      </rPr>
      <t xml:space="preserve">・ 出発 </t>
    </r>
    <r>
      <rPr>
        <sz val="10"/>
        <rFont val="Arial"/>
        <family val="0"/>
        <charset val="1"/>
      </rPr>
      <t xml:space="preserve">(</t>
    </r>
    <r>
      <rPr>
        <sz val="10"/>
        <rFont val="Noto Sans CJK SC"/>
        <family val="2"/>
      </rPr>
      <t xml:space="preserve">しゅっぱつ</t>
    </r>
    <r>
      <rPr>
        <sz val="10"/>
        <rFont val="Arial"/>
        <family val="0"/>
        <charset val="1"/>
      </rPr>
      <t xml:space="preserve">) xuất phát
   Mẹo: Hai chữ </t>
    </r>
    <r>
      <rPr>
        <sz val="10"/>
        <rFont val="Noto Sans CJK SC"/>
        <family val="2"/>
      </rPr>
      <t xml:space="preserve">山 </t>
    </r>
    <r>
      <rPr>
        <sz val="10"/>
        <rFont val="Arial"/>
        <family val="0"/>
        <charset val="1"/>
      </rPr>
      <t xml:space="preserve">chồng lên nhau = mầm cây chui RA khỏi núi đất. Đối lập với </t>
    </r>
    <r>
      <rPr>
        <sz val="10"/>
        <rFont val="Noto Sans CJK SC"/>
        <family val="2"/>
      </rPr>
      <t xml:space="preserve">入 </t>
    </r>
    <r>
      <rPr>
        <sz val="10"/>
        <rFont val="Arial"/>
        <family val="0"/>
        <charset val="1"/>
      </rPr>
      <t xml:space="preserve">(vào).
• </t>
    </r>
    <r>
      <rPr>
        <sz val="10"/>
        <rFont val="Noto Sans CJK SC"/>
        <family val="2"/>
      </rPr>
      <t xml:space="preserve">三 </t>
    </r>
    <r>
      <rPr>
        <sz val="10"/>
        <rFont val="Arial"/>
        <family val="0"/>
        <charset val="1"/>
      </rPr>
      <t xml:space="preserve">[TAM] Ba — On: </t>
    </r>
    <r>
      <rPr>
        <sz val="10"/>
        <rFont val="Noto Sans CJK SC"/>
        <family val="2"/>
      </rPr>
      <t xml:space="preserve">サン </t>
    </r>
    <r>
      <rPr>
        <sz val="10"/>
        <rFont val="Arial"/>
        <family val="0"/>
        <charset val="1"/>
      </rPr>
      <t xml:space="preserve">/ Kun: </t>
    </r>
    <r>
      <rPr>
        <sz val="10"/>
        <rFont val="Noto Sans CJK SC"/>
        <family val="2"/>
      </rPr>
      <t xml:space="preserve">みっ</t>
    </r>
    <r>
      <rPr>
        <sz val="10"/>
        <rFont val="Arial"/>
        <family val="0"/>
        <charset val="1"/>
      </rPr>
      <t xml:space="preserve">(</t>
    </r>
    <r>
      <rPr>
        <sz val="10"/>
        <rFont val="Noto Sans CJK SC"/>
        <family val="2"/>
      </rPr>
      <t xml:space="preserve">つ</t>
    </r>
    <r>
      <rPr>
        <sz val="10"/>
        <rFont val="Arial"/>
        <family val="0"/>
        <charset val="1"/>
      </rPr>
      <t xml:space="preserve">) (3 nét)
   Từ ghép: </t>
    </r>
    <r>
      <rPr>
        <sz val="10"/>
        <rFont val="Noto Sans CJK SC"/>
        <family val="2"/>
      </rPr>
      <t xml:space="preserve">三つ </t>
    </r>
    <r>
      <rPr>
        <sz val="10"/>
        <rFont val="Arial"/>
        <family val="0"/>
        <charset val="1"/>
      </rPr>
      <t xml:space="preserve">(</t>
    </r>
    <r>
      <rPr>
        <sz val="10"/>
        <rFont val="Noto Sans CJK SC"/>
        <family val="2"/>
      </rPr>
      <t xml:space="preserve">みっつ</t>
    </r>
    <r>
      <rPr>
        <sz val="10"/>
        <rFont val="Arial"/>
        <family val="0"/>
        <charset val="1"/>
      </rPr>
      <t xml:space="preserve">) ba cái </t>
    </r>
    <r>
      <rPr>
        <sz val="10"/>
        <rFont val="Noto Sans CJK SC"/>
        <family val="2"/>
      </rPr>
      <t xml:space="preserve">・ 三月 </t>
    </r>
    <r>
      <rPr>
        <sz val="10"/>
        <rFont val="Arial"/>
        <family val="0"/>
        <charset val="1"/>
      </rPr>
      <t xml:space="preserve">(</t>
    </r>
    <r>
      <rPr>
        <sz val="10"/>
        <rFont val="Noto Sans CJK SC"/>
        <family val="2"/>
      </rPr>
      <t xml:space="preserve">さんがつ</t>
    </r>
    <r>
      <rPr>
        <sz val="10"/>
        <rFont val="Arial"/>
        <family val="0"/>
        <charset val="1"/>
      </rPr>
      <t xml:space="preserve">) tháng Ba </t>
    </r>
    <r>
      <rPr>
        <sz val="10"/>
        <rFont val="Noto Sans CJK SC"/>
        <family val="2"/>
      </rPr>
      <t xml:space="preserve">・ 三時 </t>
    </r>
    <r>
      <rPr>
        <sz val="10"/>
        <rFont val="Arial"/>
        <family val="0"/>
        <charset val="1"/>
      </rPr>
      <t xml:space="preserve">(</t>
    </r>
    <r>
      <rPr>
        <sz val="10"/>
        <rFont val="Noto Sans CJK SC"/>
        <family val="2"/>
      </rPr>
      <t xml:space="preserve">さんじ</t>
    </r>
    <r>
      <rPr>
        <sz val="10"/>
        <rFont val="Arial"/>
        <family val="0"/>
        <charset val="1"/>
      </rPr>
      <t xml:space="preserve">) ba giờ
   Mẹo: Ba nét ngang = số 3. Nét giữa ngắn nhất.</t>
    </r>
  </si>
  <si>
    <r>
      <rPr>
        <sz val="10"/>
        <rFont val="Arial"/>
        <family val="0"/>
        <charset val="1"/>
      </rPr>
      <t xml:space="preserve">Minna bài 4 (1/2) — Giờ giấc &amp; Thì của động từ
• </t>
    </r>
    <r>
      <rPr>
        <sz val="10"/>
        <rFont val="Noto Sans CJK SC"/>
        <family val="2"/>
      </rPr>
      <t xml:space="preserve">今 〜時 〜分です  </t>
    </r>
    <r>
      <rPr>
        <sz val="10"/>
        <rFont val="Arial"/>
        <family val="0"/>
        <charset val="1"/>
      </rPr>
      <t xml:space="preserve">(Bây giờ là ~ giờ ~ phút.)
   Ví dụ: </t>
    </r>
    <r>
      <rPr>
        <sz val="10"/>
        <rFont val="Noto Sans CJK SC"/>
        <family val="2"/>
      </rPr>
      <t xml:space="preserve">今 </t>
    </r>
    <r>
      <rPr>
        <sz val="10"/>
        <rFont val="Arial"/>
        <family val="0"/>
        <charset val="1"/>
      </rPr>
      <t xml:space="preserve">4</t>
    </r>
    <r>
      <rPr>
        <sz val="10"/>
        <rFont val="Noto Sans CJK SC"/>
        <family val="2"/>
      </rPr>
      <t xml:space="preserve">時</t>
    </r>
    <r>
      <rPr>
        <sz val="10"/>
        <rFont val="Arial"/>
        <family val="0"/>
        <charset val="1"/>
      </rPr>
      <t xml:space="preserve">5</t>
    </r>
    <r>
      <rPr>
        <sz val="10"/>
        <rFont val="Noto Sans CJK SC"/>
        <family val="2"/>
      </rPr>
      <t xml:space="preserve">分です。  </t>
    </r>
    <r>
      <rPr>
        <sz val="10"/>
        <rFont val="Arial"/>
        <family val="0"/>
        <charset val="1"/>
      </rPr>
      <t xml:space="preserve">= Bây giờ là 4 giờ 5 phút.
• V </t>
    </r>
    <r>
      <rPr>
        <sz val="10"/>
        <rFont val="Noto Sans CJK SC"/>
        <family val="2"/>
      </rPr>
      <t xml:space="preserve">ます </t>
    </r>
    <r>
      <rPr>
        <sz val="10"/>
        <rFont val="Arial"/>
        <family val="0"/>
        <charset val="1"/>
      </rPr>
      <t xml:space="preserve">/ V </t>
    </r>
    <r>
      <rPr>
        <sz val="10"/>
        <rFont val="Noto Sans CJK SC"/>
        <family val="2"/>
      </rPr>
      <t xml:space="preserve">ません  </t>
    </r>
    <r>
      <rPr>
        <sz val="10"/>
        <rFont val="Arial"/>
        <family val="0"/>
        <charset val="1"/>
      </rPr>
      <t xml:space="preserve">(Thể lịch sự hiện tại–tương lai, khẳng định và phủ định.)
   Ví dụ: </t>
    </r>
    <r>
      <rPr>
        <sz val="10"/>
        <rFont val="Noto Sans CJK SC"/>
        <family val="2"/>
      </rPr>
      <t xml:space="preserve">わたしは 毎日 </t>
    </r>
    <r>
      <rPr>
        <sz val="10"/>
        <rFont val="Arial"/>
        <family val="0"/>
        <charset val="1"/>
      </rPr>
      <t xml:space="preserve">6</t>
    </r>
    <r>
      <rPr>
        <sz val="10"/>
        <rFont val="Noto Sans CJK SC"/>
        <family val="2"/>
      </rPr>
      <t xml:space="preserve">時に 起きます。  </t>
    </r>
    <r>
      <rPr>
        <sz val="10"/>
        <rFont val="Arial"/>
        <family val="0"/>
        <charset val="1"/>
      </rPr>
      <t xml:space="preserve">= Tôi thức dậy lúc 6 giờ mỗi ngày.
• V </t>
    </r>
    <r>
      <rPr>
        <sz val="10"/>
        <rFont val="Noto Sans CJK SC"/>
        <family val="2"/>
      </rPr>
      <t xml:space="preserve">ました </t>
    </r>
    <r>
      <rPr>
        <sz val="10"/>
        <rFont val="Arial"/>
        <family val="0"/>
        <charset val="1"/>
      </rPr>
      <t xml:space="preserve">/ V </t>
    </r>
    <r>
      <rPr>
        <sz val="10"/>
        <rFont val="Noto Sans CJK SC"/>
        <family val="2"/>
      </rPr>
      <t xml:space="preserve">ませんでした  </t>
    </r>
    <r>
      <rPr>
        <sz val="10"/>
        <rFont val="Arial"/>
        <family val="0"/>
        <charset val="1"/>
      </rPr>
      <t xml:space="preserve">(Thể lịch sự quá khứ, khẳng định và phủ định.)
   Ví dụ: </t>
    </r>
    <r>
      <rPr>
        <sz val="10"/>
        <rFont val="Noto Sans CJK SC"/>
        <family val="2"/>
      </rPr>
      <t xml:space="preserve">きのう 勉強しませんでした。  </t>
    </r>
    <r>
      <rPr>
        <sz val="10"/>
        <rFont val="Arial"/>
        <family val="0"/>
        <charset val="1"/>
      </rPr>
      <t xml:space="preserve">= Hôm qua tôi đã không học bài.
→ Làm </t>
    </r>
    <r>
      <rPr>
        <sz val="10"/>
        <rFont val="Noto Sans CJK SC"/>
        <family val="2"/>
      </rPr>
      <t xml:space="preserve">練習</t>
    </r>
    <r>
      <rPr>
        <sz val="10"/>
        <rFont val="Arial"/>
        <family val="0"/>
        <charset val="1"/>
      </rPr>
      <t xml:space="preserve">A của bài 4 trong sách, mỗi mẫu tự đặt 3 câu.</t>
    </r>
  </si>
  <si>
    <r>
      <rPr>
        <sz val="10"/>
        <rFont val="Arial"/>
        <family val="0"/>
        <charset val="1"/>
      </rPr>
      <t xml:space="preserve">Từ mới Minna bài 4:
• </t>
    </r>
    <r>
      <rPr>
        <sz val="10"/>
        <rFont val="Noto Sans CJK SC"/>
        <family val="2"/>
      </rPr>
      <t xml:space="preserve">おきます（起きます） </t>
    </r>
    <r>
      <rPr>
        <sz val="10"/>
        <rFont val="Arial"/>
        <family val="0"/>
        <charset val="1"/>
      </rPr>
      <t xml:space="preserve">= Thức dậy
   Mẹo: </t>
    </r>
    <r>
      <rPr>
        <sz val="10"/>
        <rFont val="Noto Sans CJK SC"/>
        <family val="2"/>
      </rPr>
      <t xml:space="preserve">起 </t>
    </r>
    <r>
      <rPr>
        <sz val="10"/>
        <rFont val="Arial"/>
        <family val="0"/>
        <charset val="1"/>
      </rPr>
      <t xml:space="preserve">= </t>
    </r>
    <r>
      <rPr>
        <sz val="10"/>
        <rFont val="Noto Sans CJK SC"/>
        <family val="2"/>
      </rPr>
      <t xml:space="preserve">走 </t>
    </r>
    <r>
      <rPr>
        <sz val="10"/>
        <rFont val="Arial"/>
        <family val="0"/>
        <charset val="1"/>
      </rPr>
      <t xml:space="preserve">(chạy) + </t>
    </r>
    <r>
      <rPr>
        <sz val="10"/>
        <rFont val="Noto Sans CJK SC"/>
        <family val="2"/>
      </rPr>
      <t xml:space="preserve">己 → </t>
    </r>
    <r>
      <rPr>
        <sz val="10"/>
        <rFont val="Arial"/>
        <family val="0"/>
        <charset val="1"/>
      </rPr>
      <t xml:space="preserve">bật dậy chạy đi. O-KI: 'ô kìa, dậy đi!'
• </t>
    </r>
    <r>
      <rPr>
        <sz val="10"/>
        <rFont val="Noto Sans CJK SC"/>
        <family val="2"/>
      </rPr>
      <t xml:space="preserve">ねます（寝ます） </t>
    </r>
    <r>
      <rPr>
        <sz val="10"/>
        <rFont val="Arial"/>
        <family val="0"/>
        <charset val="1"/>
      </rPr>
      <t xml:space="preserve">= Đi ngủ
   Mẹo: </t>
    </r>
    <r>
      <rPr>
        <sz val="10"/>
        <rFont val="Noto Sans CJK SC"/>
        <family val="2"/>
      </rPr>
      <t xml:space="preserve">寝 </t>
    </r>
    <r>
      <rPr>
        <sz val="10"/>
        <rFont val="Arial"/>
        <family val="0"/>
        <charset val="1"/>
      </rPr>
      <t xml:space="preserve">có bộ </t>
    </r>
    <r>
      <rPr>
        <sz val="10"/>
        <rFont val="Noto Sans CJK SC"/>
        <family val="2"/>
      </rPr>
      <t xml:space="preserve">宀 </t>
    </r>
    <r>
      <rPr>
        <sz val="10"/>
        <rFont val="Arial"/>
        <family val="0"/>
        <charset val="1"/>
      </rPr>
      <t xml:space="preserve">(mái nhà) → chui vào nhà nằm NGỦ.
• </t>
    </r>
    <r>
      <rPr>
        <sz val="10"/>
        <rFont val="Noto Sans CJK SC"/>
        <family val="2"/>
      </rPr>
      <t xml:space="preserve">はたらきます（働きます） </t>
    </r>
    <r>
      <rPr>
        <sz val="10"/>
        <rFont val="Arial"/>
        <family val="0"/>
        <charset val="1"/>
      </rPr>
      <t xml:space="preserve">= Làm việc
   Mẹo: </t>
    </r>
    <r>
      <rPr>
        <sz val="10"/>
        <rFont val="Noto Sans CJK SC"/>
        <family val="2"/>
      </rPr>
      <t xml:space="preserve">働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動 </t>
    </r>
    <r>
      <rPr>
        <sz val="10"/>
        <rFont val="Arial"/>
        <family val="0"/>
        <charset val="1"/>
      </rPr>
      <t xml:space="preserve">(động) → người chuyển động = LÀM VIỆC.
• </t>
    </r>
    <r>
      <rPr>
        <sz val="10"/>
        <rFont val="Noto Sans CJK SC"/>
        <family val="2"/>
      </rPr>
      <t xml:space="preserve">やすみます（休みます） </t>
    </r>
    <r>
      <rPr>
        <sz val="10"/>
        <rFont val="Arial"/>
        <family val="0"/>
        <charset val="1"/>
      </rPr>
      <t xml:space="preserve">= Nghỉ ngơi
   Mẹo: </t>
    </r>
    <r>
      <rPr>
        <sz val="10"/>
        <rFont val="Noto Sans CJK SC"/>
        <family val="2"/>
      </rPr>
      <t xml:space="preserve">休 </t>
    </r>
    <r>
      <rPr>
        <sz val="10"/>
        <rFont val="Arial"/>
        <family val="0"/>
        <charset val="1"/>
      </rPr>
      <t xml:space="preserve">= </t>
    </r>
    <r>
      <rPr>
        <sz val="10"/>
        <rFont val="Noto Sans CJK SC"/>
        <family val="2"/>
      </rPr>
      <t xml:space="preserve">亻 </t>
    </r>
    <r>
      <rPr>
        <sz val="10"/>
        <rFont val="Arial"/>
        <family val="0"/>
        <charset val="1"/>
      </rPr>
      <t xml:space="preserve">(người) tựa </t>
    </r>
    <r>
      <rPr>
        <sz val="10"/>
        <rFont val="Noto Sans CJK SC"/>
        <family val="2"/>
      </rPr>
      <t xml:space="preserve">木 </t>
    </r>
    <r>
      <rPr>
        <sz val="10"/>
        <rFont val="Arial"/>
        <family val="0"/>
        <charset val="1"/>
      </rPr>
      <t xml:space="preserve">(cây) → dựa gốc cây NGHỈ.
• </t>
    </r>
    <r>
      <rPr>
        <sz val="10"/>
        <rFont val="Noto Sans CJK SC"/>
        <family val="2"/>
      </rPr>
      <t xml:space="preserve">べんきょうします（勉強します） </t>
    </r>
    <r>
      <rPr>
        <sz val="10"/>
        <rFont val="Arial"/>
        <family val="0"/>
        <charset val="1"/>
      </rPr>
      <t xml:space="preserve">= Học bài
   Mẹo: MIỄN CƯỠNG — học là phải ép mình một chút, nhớ luôn.
• </t>
    </r>
    <r>
      <rPr>
        <sz val="10"/>
        <rFont val="Noto Sans CJK SC"/>
        <family val="2"/>
      </rPr>
      <t xml:space="preserve">おわります（終わります） </t>
    </r>
    <r>
      <rPr>
        <sz val="10"/>
        <rFont val="Arial"/>
        <family val="0"/>
        <charset val="1"/>
      </rPr>
      <t xml:space="preserve">= Kết thúc
   Mẹo: </t>
    </r>
    <r>
      <rPr>
        <sz val="10"/>
        <rFont val="Noto Sans CJK SC"/>
        <family val="2"/>
      </rPr>
      <t xml:space="preserve">終 </t>
    </r>
    <r>
      <rPr>
        <sz val="10"/>
        <rFont val="Arial"/>
        <family val="0"/>
        <charset val="1"/>
      </rPr>
      <t xml:space="preserve">có bộ </t>
    </r>
    <r>
      <rPr>
        <sz val="10"/>
        <rFont val="Noto Sans CJK SC"/>
        <family val="2"/>
      </rPr>
      <t xml:space="preserve">糸 </t>
    </r>
    <r>
      <rPr>
        <sz val="10"/>
        <rFont val="Arial"/>
        <family val="0"/>
        <charset val="1"/>
      </rPr>
      <t xml:space="preserve">(sợi chỉ) → sợi chỉ đến đầu mút = HẾT.
• </t>
    </r>
    <r>
      <rPr>
        <sz val="10"/>
        <rFont val="Noto Sans CJK SC"/>
        <family val="2"/>
      </rPr>
      <t xml:space="preserve">あさ（朝） </t>
    </r>
    <r>
      <rPr>
        <sz val="10"/>
        <rFont val="Arial"/>
        <family val="0"/>
        <charset val="1"/>
      </rPr>
      <t xml:space="preserve">= Buổi sáng
   Mẹo: </t>
    </r>
    <r>
      <rPr>
        <sz val="10"/>
        <rFont val="Noto Sans CJK SC"/>
        <family val="2"/>
      </rPr>
      <t xml:space="preserve">朝 </t>
    </r>
    <r>
      <rPr>
        <sz val="10"/>
        <rFont val="Arial"/>
        <family val="0"/>
        <charset val="1"/>
      </rPr>
      <t xml:space="preserve">có </t>
    </r>
    <r>
      <rPr>
        <sz val="10"/>
        <rFont val="Noto Sans CJK SC"/>
        <family val="2"/>
      </rPr>
      <t xml:space="preserve">日 </t>
    </r>
    <r>
      <rPr>
        <sz val="10"/>
        <rFont val="Arial"/>
        <family val="0"/>
        <charset val="1"/>
      </rPr>
      <t xml:space="preserve">(mặt trời) và </t>
    </r>
    <r>
      <rPr>
        <sz val="10"/>
        <rFont val="Noto Sans CJK SC"/>
        <family val="2"/>
      </rPr>
      <t xml:space="preserve">月 </t>
    </r>
    <r>
      <rPr>
        <sz val="10"/>
        <rFont val="Arial"/>
        <family val="0"/>
        <charset val="1"/>
      </rPr>
      <t xml:space="preserve">(trăng) → lúc trăng lặn mặt trời mọc.
→ Đối chiếu thêm với mục </t>
    </r>
    <r>
      <rPr>
        <sz val="10"/>
        <rFont val="Noto Sans CJK SC"/>
        <family val="2"/>
      </rPr>
      <t xml:space="preserve">語彙 </t>
    </r>
    <r>
      <rPr>
        <sz val="10"/>
        <rFont val="Arial"/>
        <family val="0"/>
        <charset val="1"/>
      </rPr>
      <t xml:space="preserve">của bài 4 trong sách để bổ sung.</t>
    </r>
  </si>
  <si>
    <r>
      <rPr>
        <b val="true"/>
        <sz val="12"/>
        <color rgb="FF1F3864"/>
        <rFont val="Arial"/>
        <family val="0"/>
        <charset val="1"/>
      </rPr>
      <t xml:space="preserve">NGÀY 23  ·  Tuần 4  ·  Minna Bài 4 (2/2)  ·  Giờ giấc &amp; Thì của động từ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</si>
  <si>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土 </t>
    </r>
    <r>
      <rPr>
        <sz val="10"/>
        <rFont val="Arial"/>
        <family val="0"/>
        <charset val="1"/>
      </rPr>
      <t xml:space="preserve">(</t>
    </r>
    <r>
      <rPr>
        <sz val="10"/>
        <rFont val="Noto Sans CJK SC"/>
        <family val="2"/>
      </rPr>
      <t xml:space="preserve">つち </t>
    </r>
    <r>
      <rPr>
        <sz val="10"/>
        <rFont val="Arial"/>
        <family val="0"/>
        <charset val="1"/>
      </rPr>
      <t xml:space="preserve">/ </t>
    </r>
    <r>
      <rPr>
        <sz val="10"/>
        <rFont val="Noto Sans CJK SC"/>
        <family val="2"/>
      </rPr>
      <t xml:space="preserve">つちへん</t>
    </r>
    <r>
      <rPr>
        <sz val="10"/>
        <rFont val="Arial"/>
        <family val="0"/>
        <charset val="1"/>
      </rPr>
      <t xml:space="preserve">) = Đất, nơi chốn
   Mẹo nhớ: Chữ thập trên nền đất
   Kanji chứa bộ này: </t>
    </r>
    <r>
      <rPr>
        <sz val="10"/>
        <rFont val="Noto Sans CJK SC"/>
        <family val="2"/>
      </rPr>
      <t xml:space="preserve">土・地・場・在</t>
    </r>
  </si>
  <si>
    <r>
      <rPr>
        <sz val="10"/>
        <rFont val="Arial"/>
        <family val="0"/>
        <charset val="1"/>
      </rPr>
      <t xml:space="preserve">Học 2 chữ. Mỗi chữ viết tay 10 lần đúng thứ tự nét.
• </t>
    </r>
    <r>
      <rPr>
        <sz val="10"/>
        <rFont val="Noto Sans CJK SC"/>
        <family val="2"/>
      </rPr>
      <t xml:space="preserve">時 </t>
    </r>
    <r>
      <rPr>
        <sz val="10"/>
        <rFont val="Arial"/>
        <family val="0"/>
        <charset val="1"/>
      </rPr>
      <t xml:space="preserve">[THỜI] Giờ, thời gian — On: </t>
    </r>
    <r>
      <rPr>
        <sz val="10"/>
        <rFont val="Noto Sans CJK SC"/>
        <family val="2"/>
      </rPr>
      <t xml:space="preserve">ジ </t>
    </r>
    <r>
      <rPr>
        <sz val="10"/>
        <rFont val="Arial"/>
        <family val="0"/>
        <charset val="1"/>
      </rPr>
      <t xml:space="preserve">/ Kun: </t>
    </r>
    <r>
      <rPr>
        <sz val="10"/>
        <rFont val="Noto Sans CJK SC"/>
        <family val="2"/>
      </rPr>
      <t xml:space="preserve">とき </t>
    </r>
    <r>
      <rPr>
        <sz val="10"/>
        <rFont val="Arial"/>
        <family val="0"/>
        <charset val="1"/>
      </rPr>
      <t xml:space="preserve">(10 nét)
   Từ ghép: </t>
    </r>
    <r>
      <rPr>
        <sz val="10"/>
        <rFont val="Noto Sans CJK SC"/>
        <family val="2"/>
      </rPr>
      <t xml:space="preserve">時間 </t>
    </r>
    <r>
      <rPr>
        <sz val="10"/>
        <rFont val="Arial"/>
        <family val="0"/>
        <charset val="1"/>
      </rPr>
      <t xml:space="preserve">(</t>
    </r>
    <r>
      <rPr>
        <sz val="10"/>
        <rFont val="Noto Sans CJK SC"/>
        <family val="2"/>
      </rPr>
      <t xml:space="preserve">じかん</t>
    </r>
    <r>
      <rPr>
        <sz val="10"/>
        <rFont val="Arial"/>
        <family val="0"/>
        <charset val="1"/>
      </rPr>
      <t xml:space="preserve">) thời gian </t>
    </r>
    <r>
      <rPr>
        <sz val="10"/>
        <rFont val="Noto Sans CJK SC"/>
        <family val="2"/>
      </rPr>
      <t xml:space="preserve">・ 何時 </t>
    </r>
    <r>
      <rPr>
        <sz val="10"/>
        <rFont val="Arial"/>
        <family val="0"/>
        <charset val="1"/>
      </rPr>
      <t xml:space="preserve">(</t>
    </r>
    <r>
      <rPr>
        <sz val="10"/>
        <rFont val="Noto Sans CJK SC"/>
        <family val="2"/>
      </rPr>
      <t xml:space="preserve">なんじ</t>
    </r>
    <r>
      <rPr>
        <sz val="10"/>
        <rFont val="Arial"/>
        <family val="0"/>
        <charset val="1"/>
      </rPr>
      <t xml:space="preserve">) mấy giờ </t>
    </r>
    <r>
      <rPr>
        <sz val="10"/>
        <rFont val="Noto Sans CJK SC"/>
        <family val="2"/>
      </rPr>
      <t xml:space="preserve">・ 時々 </t>
    </r>
    <r>
      <rPr>
        <sz val="10"/>
        <rFont val="Arial"/>
        <family val="0"/>
        <charset val="1"/>
      </rPr>
      <t xml:space="preserve">(</t>
    </r>
    <r>
      <rPr>
        <sz val="10"/>
        <rFont val="Noto Sans CJK SC"/>
        <family val="2"/>
      </rPr>
      <t xml:space="preserve">ときどき</t>
    </r>
    <r>
      <rPr>
        <sz val="10"/>
        <rFont val="Arial"/>
        <family val="0"/>
        <charset val="1"/>
      </rPr>
      <t xml:space="preserve">) thỉnh thoảng
   Mẹo: </t>
    </r>
    <r>
      <rPr>
        <sz val="10"/>
        <rFont val="Noto Sans CJK SC"/>
        <family val="2"/>
      </rPr>
      <t xml:space="preserve">日 </t>
    </r>
    <r>
      <rPr>
        <sz val="10"/>
        <rFont val="Arial"/>
        <family val="0"/>
        <charset val="1"/>
      </rPr>
      <t xml:space="preserve">(mặt trời) + </t>
    </r>
    <r>
      <rPr>
        <sz val="10"/>
        <rFont val="Noto Sans CJK SC"/>
        <family val="2"/>
      </rPr>
      <t xml:space="preserve">寺 </t>
    </r>
    <r>
      <rPr>
        <sz val="10"/>
        <rFont val="Arial"/>
        <family val="0"/>
        <charset val="1"/>
      </rPr>
      <t xml:space="preserve">(ngôi chùa). Ngày xưa xem bóng mặt trời trên sân chùa để biết GIỜ.
• </t>
    </r>
    <r>
      <rPr>
        <sz val="10"/>
        <rFont val="Noto Sans CJK SC"/>
        <family val="2"/>
      </rPr>
      <t xml:space="preserve">行 </t>
    </r>
    <r>
      <rPr>
        <sz val="10"/>
        <rFont val="Arial"/>
        <family val="0"/>
        <charset val="1"/>
      </rPr>
      <t xml:space="preserve">[HÀNH] Đi — On: </t>
    </r>
    <r>
      <rPr>
        <sz val="10"/>
        <rFont val="Noto Sans CJK SC"/>
        <family val="2"/>
      </rPr>
      <t xml:space="preserve">コウ・ギョウ </t>
    </r>
    <r>
      <rPr>
        <sz val="10"/>
        <rFont val="Arial"/>
        <family val="0"/>
        <charset val="1"/>
      </rPr>
      <t xml:space="preserve">/ Kun: </t>
    </r>
    <r>
      <rPr>
        <sz val="10"/>
        <rFont val="Noto Sans CJK SC"/>
        <family val="2"/>
      </rPr>
      <t xml:space="preserve">い</t>
    </r>
    <r>
      <rPr>
        <sz val="10"/>
        <rFont val="Arial"/>
        <family val="0"/>
        <charset val="1"/>
      </rPr>
      <t xml:space="preserve">(</t>
    </r>
    <r>
      <rPr>
        <sz val="10"/>
        <rFont val="Noto Sans CJK SC"/>
        <family val="2"/>
      </rPr>
      <t xml:space="preserve">く</t>
    </r>
    <r>
      <rPr>
        <sz val="10"/>
        <rFont val="Arial"/>
        <family val="0"/>
        <charset val="1"/>
      </rPr>
      <t xml:space="preserve">)</t>
    </r>
    <r>
      <rPr>
        <sz val="10"/>
        <rFont val="Noto Sans CJK SC"/>
        <family val="2"/>
      </rPr>
      <t xml:space="preserve">・おこな</t>
    </r>
    <r>
      <rPr>
        <sz val="10"/>
        <rFont val="Arial"/>
        <family val="0"/>
        <charset val="1"/>
      </rPr>
      <t xml:space="preserve">(</t>
    </r>
    <r>
      <rPr>
        <sz val="10"/>
        <rFont val="Noto Sans CJK SC"/>
        <family val="2"/>
      </rPr>
      <t xml:space="preserve">う</t>
    </r>
    <r>
      <rPr>
        <sz val="10"/>
        <rFont val="Arial"/>
        <family val="0"/>
        <charset val="1"/>
      </rPr>
      <t xml:space="preserve">) (6 nét)
   Từ ghép: </t>
    </r>
    <r>
      <rPr>
        <sz val="10"/>
        <rFont val="Noto Sans CJK SC"/>
        <family val="2"/>
      </rPr>
      <t xml:space="preserve">行きます </t>
    </r>
    <r>
      <rPr>
        <sz val="10"/>
        <rFont val="Arial"/>
        <family val="0"/>
        <charset val="1"/>
      </rPr>
      <t xml:space="preserve">(</t>
    </r>
    <r>
      <rPr>
        <sz val="10"/>
        <rFont val="Noto Sans CJK SC"/>
        <family val="2"/>
      </rPr>
      <t xml:space="preserve">いきます</t>
    </r>
    <r>
      <rPr>
        <sz val="10"/>
        <rFont val="Arial"/>
        <family val="0"/>
        <charset val="1"/>
      </rPr>
      <t xml:space="preserve">) đi </t>
    </r>
    <r>
      <rPr>
        <sz val="10"/>
        <rFont val="Noto Sans CJK SC"/>
        <family val="2"/>
      </rPr>
      <t xml:space="preserve">・ 銀行 </t>
    </r>
    <r>
      <rPr>
        <sz val="10"/>
        <rFont val="Arial"/>
        <family val="0"/>
        <charset val="1"/>
      </rPr>
      <t xml:space="preserve">(</t>
    </r>
    <r>
      <rPr>
        <sz val="10"/>
        <rFont val="Noto Sans CJK SC"/>
        <family val="2"/>
      </rPr>
      <t xml:space="preserve">ぎんこう</t>
    </r>
    <r>
      <rPr>
        <sz val="10"/>
        <rFont val="Arial"/>
        <family val="0"/>
        <charset val="1"/>
      </rPr>
      <t xml:space="preserve">) ngân hàng </t>
    </r>
    <r>
      <rPr>
        <sz val="10"/>
        <rFont val="Noto Sans CJK SC"/>
        <family val="2"/>
      </rPr>
      <t xml:space="preserve">・ 旅行 </t>
    </r>
    <r>
      <rPr>
        <sz val="10"/>
        <rFont val="Arial"/>
        <family val="0"/>
        <charset val="1"/>
      </rPr>
      <t xml:space="preserve">(</t>
    </r>
    <r>
      <rPr>
        <sz val="10"/>
        <rFont val="Noto Sans CJK SC"/>
        <family val="2"/>
      </rPr>
      <t xml:space="preserve">りょこう</t>
    </r>
    <r>
      <rPr>
        <sz val="10"/>
        <rFont val="Arial"/>
        <family val="0"/>
        <charset val="1"/>
      </rPr>
      <t xml:space="preserve">) du lịch
   Mẹo: Hình ngã tư đường. Đứng ở ngã tư thì phải chọn hướng ĐI.</t>
    </r>
  </si>
  <si>
    <r>
      <rPr>
        <sz val="10"/>
        <rFont val="Arial"/>
        <family val="0"/>
        <charset val="1"/>
      </rPr>
      <t xml:space="preserve">Minna bài 4 (2/2) — Giờ giấc &amp; Thì của động từ
• </t>
    </r>
    <r>
      <rPr>
        <sz val="10"/>
        <rFont val="Noto Sans CJK SC"/>
        <family val="2"/>
      </rPr>
      <t xml:space="preserve">時間 に </t>
    </r>
    <r>
      <rPr>
        <sz val="10"/>
        <rFont val="Arial"/>
        <family val="0"/>
        <charset val="1"/>
      </rPr>
      <t xml:space="preserve">V  (Làm gì vào lúc mấy giờ. </t>
    </r>
    <r>
      <rPr>
        <sz val="10"/>
        <rFont val="Noto Sans CJK SC"/>
        <family val="2"/>
      </rPr>
      <t xml:space="preserve">に </t>
    </r>
    <r>
      <rPr>
        <sz val="10"/>
        <rFont val="Arial"/>
        <family val="0"/>
        <charset val="1"/>
      </rPr>
      <t xml:space="preserve">chỉ đi với mốc thời gian có con số.)
   Ví dụ: 7</t>
    </r>
    <r>
      <rPr>
        <sz val="10"/>
        <rFont val="Noto Sans CJK SC"/>
        <family val="2"/>
      </rPr>
      <t xml:space="preserve">時に 起きます。  </t>
    </r>
    <r>
      <rPr>
        <sz val="10"/>
        <rFont val="Arial"/>
        <family val="0"/>
        <charset val="1"/>
      </rPr>
      <t xml:space="preserve">= Tôi dậy lúc 7 giờ.
• N1 </t>
    </r>
    <r>
      <rPr>
        <sz val="10"/>
        <rFont val="Noto Sans CJK SC"/>
        <family val="2"/>
      </rPr>
      <t xml:space="preserve">から </t>
    </r>
    <r>
      <rPr>
        <sz val="10"/>
        <rFont val="Arial"/>
        <family val="0"/>
        <charset val="1"/>
      </rPr>
      <t xml:space="preserve">N2 </t>
    </r>
    <r>
      <rPr>
        <sz val="10"/>
        <rFont val="Noto Sans CJK SC"/>
        <family val="2"/>
      </rPr>
      <t xml:space="preserve">まで  </t>
    </r>
    <r>
      <rPr>
        <sz val="10"/>
        <rFont val="Arial"/>
        <family val="0"/>
        <charset val="1"/>
      </rPr>
      <t xml:space="preserve">(Từ N1 đến N2 (thời gian hoặc nơi chốn).)
   Ví dụ: 9</t>
    </r>
    <r>
      <rPr>
        <sz val="10"/>
        <rFont val="Noto Sans CJK SC"/>
        <family val="2"/>
      </rPr>
      <t xml:space="preserve">時から </t>
    </r>
    <r>
      <rPr>
        <sz val="10"/>
        <rFont val="Arial"/>
        <family val="0"/>
        <charset val="1"/>
      </rPr>
      <t xml:space="preserve">5</t>
    </r>
    <r>
      <rPr>
        <sz val="10"/>
        <rFont val="Noto Sans CJK SC"/>
        <family val="2"/>
      </rPr>
      <t xml:space="preserve">時まで 働きます。  </t>
    </r>
    <r>
      <rPr>
        <sz val="10"/>
        <rFont val="Arial"/>
        <family val="0"/>
        <charset val="1"/>
      </rPr>
      <t xml:space="preserve">= Tôi làm việc từ 9 giờ đến 5 giờ.
• N1 </t>
    </r>
    <r>
      <rPr>
        <sz val="10"/>
        <rFont val="Noto Sans CJK SC"/>
        <family val="2"/>
      </rPr>
      <t xml:space="preserve">と </t>
    </r>
    <r>
      <rPr>
        <sz val="10"/>
        <rFont val="Arial"/>
        <family val="0"/>
        <charset val="1"/>
      </rPr>
      <t xml:space="preserve">N2  (N1 và N2. Chỉ nối danh từ, không nối câu.)
   Ví dụ: </t>
    </r>
    <r>
      <rPr>
        <sz val="10"/>
        <rFont val="Noto Sans CJK SC"/>
        <family val="2"/>
      </rPr>
      <t xml:space="preserve">月曜日と 火曜日  </t>
    </r>
    <r>
      <rPr>
        <sz val="10"/>
        <rFont val="Arial"/>
        <family val="0"/>
        <charset val="1"/>
      </rPr>
      <t xml:space="preserve">= Thứ Hai và thứ Ba.
→ Làm </t>
    </r>
    <r>
      <rPr>
        <sz val="10"/>
        <rFont val="Noto Sans CJK SC"/>
        <family val="2"/>
      </rPr>
      <t xml:space="preserve">練習</t>
    </r>
    <r>
      <rPr>
        <sz val="10"/>
        <rFont val="Arial"/>
        <family val="0"/>
        <charset val="1"/>
      </rPr>
      <t xml:space="preserve">A của bài 4 trong sách, mỗi mẫu tự đặt 3 câu.</t>
    </r>
  </si>
  <si>
    <r>
      <rPr>
        <sz val="10"/>
        <rFont val="Arial"/>
        <family val="0"/>
        <charset val="1"/>
      </rPr>
      <t xml:space="preserve">Từ mới Minna bài 4:
• </t>
    </r>
    <r>
      <rPr>
        <sz val="10"/>
        <rFont val="Noto Sans CJK SC"/>
        <family val="2"/>
      </rPr>
      <t xml:space="preserve">ひる（昼） </t>
    </r>
    <r>
      <rPr>
        <sz val="10"/>
        <rFont val="Arial"/>
        <family val="0"/>
        <charset val="1"/>
      </rPr>
      <t xml:space="preserve">= Buổi trưa
   Mẹo: </t>
    </r>
    <r>
      <rPr>
        <sz val="10"/>
        <rFont val="Noto Sans CJK SC"/>
        <family val="2"/>
      </rPr>
      <t xml:space="preserve">昼 </t>
    </r>
    <r>
      <rPr>
        <sz val="10"/>
        <rFont val="Arial"/>
        <family val="0"/>
        <charset val="1"/>
      </rPr>
      <t xml:space="preserve">có </t>
    </r>
    <r>
      <rPr>
        <sz val="10"/>
        <rFont val="Noto Sans CJK SC"/>
        <family val="2"/>
      </rPr>
      <t xml:space="preserve">日 </t>
    </r>
    <r>
      <rPr>
        <sz val="10"/>
        <rFont val="Arial"/>
        <family val="0"/>
        <charset val="1"/>
      </rPr>
      <t xml:space="preserve">(mặt trời) nằm giữa → mặt trời lên đỉnh.
• </t>
    </r>
    <r>
      <rPr>
        <sz val="10"/>
        <rFont val="Noto Sans CJK SC"/>
        <family val="2"/>
      </rPr>
      <t xml:space="preserve">ばん </t>
    </r>
    <r>
      <rPr>
        <sz val="10"/>
        <rFont val="Arial"/>
        <family val="0"/>
        <charset val="1"/>
      </rPr>
      <t xml:space="preserve">/ </t>
    </r>
    <r>
      <rPr>
        <sz val="10"/>
        <rFont val="Noto Sans CJK SC"/>
        <family val="2"/>
      </rPr>
      <t xml:space="preserve">よる（晩 </t>
    </r>
    <r>
      <rPr>
        <sz val="10"/>
        <rFont val="Arial"/>
        <family val="0"/>
        <charset val="1"/>
      </rPr>
      <t xml:space="preserve">/ </t>
    </r>
    <r>
      <rPr>
        <sz val="10"/>
        <rFont val="Noto Sans CJK SC"/>
        <family val="2"/>
      </rPr>
      <t xml:space="preserve">夜） </t>
    </r>
    <r>
      <rPr>
        <sz val="10"/>
        <rFont val="Arial"/>
        <family val="0"/>
        <charset val="1"/>
      </rPr>
      <t xml:space="preserve">= Buổi tối / ban đêm
   Mẹo: </t>
    </r>
    <r>
      <rPr>
        <sz val="10"/>
        <rFont val="Noto Sans CJK SC"/>
        <family val="2"/>
      </rPr>
      <t xml:space="preserve">晩ごはん </t>
    </r>
    <r>
      <rPr>
        <sz val="10"/>
        <rFont val="Arial"/>
        <family val="0"/>
        <charset val="1"/>
      </rPr>
      <t xml:space="preserve">= bữa tối. </t>
    </r>
    <r>
      <rPr>
        <sz val="10"/>
        <rFont val="Noto Sans CJK SC"/>
        <family val="2"/>
      </rPr>
      <t xml:space="preserve">夜 </t>
    </r>
    <r>
      <rPr>
        <sz val="10"/>
        <rFont val="Arial"/>
        <family val="0"/>
        <charset val="1"/>
      </rPr>
      <t xml:space="preserve">nhấn mạnh khoảng thời gian ban đêm.
• </t>
    </r>
    <r>
      <rPr>
        <sz val="10"/>
        <rFont val="Noto Sans CJK SC"/>
        <family val="2"/>
      </rPr>
      <t xml:space="preserve">まいにち（毎日） </t>
    </r>
    <r>
      <rPr>
        <sz val="10"/>
        <rFont val="Arial"/>
        <family val="0"/>
        <charset val="1"/>
      </rPr>
      <t xml:space="preserve">= Hằng ngày
   Mẹo: MỖI NHẬT = mỗi ngày. Cùng nhóm: </t>
    </r>
    <r>
      <rPr>
        <sz val="10"/>
        <rFont val="Noto Sans CJK SC"/>
        <family val="2"/>
      </rPr>
      <t xml:space="preserve">毎朝</t>
    </r>
    <r>
      <rPr>
        <sz val="10"/>
        <rFont val="Arial"/>
        <family val="0"/>
        <charset val="1"/>
      </rPr>
      <t xml:space="preserve">, </t>
    </r>
    <r>
      <rPr>
        <sz val="10"/>
        <rFont val="Noto Sans CJK SC"/>
        <family val="2"/>
      </rPr>
      <t xml:space="preserve">毎晩</t>
    </r>
    <r>
      <rPr>
        <sz val="10"/>
        <rFont val="Arial"/>
        <family val="0"/>
        <charset val="1"/>
      </rPr>
      <t xml:space="preserve">, </t>
    </r>
    <r>
      <rPr>
        <sz val="10"/>
        <rFont val="Noto Sans CJK SC"/>
        <family val="2"/>
      </rPr>
      <t xml:space="preserve">毎年</t>
    </r>
    <r>
      <rPr>
        <sz val="10"/>
        <rFont val="Arial"/>
        <family val="0"/>
        <charset val="1"/>
      </rPr>
      <t xml:space="preserve">.
• </t>
    </r>
    <r>
      <rPr>
        <sz val="10"/>
        <rFont val="Noto Sans CJK SC"/>
        <family val="2"/>
      </rPr>
      <t xml:space="preserve">〜じ（〜時） </t>
    </r>
    <r>
      <rPr>
        <sz val="10"/>
        <rFont val="Arial"/>
        <family val="0"/>
        <charset val="1"/>
      </rPr>
      <t xml:space="preserve">= ~ giờ
   Mẹo: 4</t>
    </r>
    <r>
      <rPr>
        <sz val="10"/>
        <rFont val="Noto Sans CJK SC"/>
        <family val="2"/>
      </rPr>
      <t xml:space="preserve">時 よじ</t>
    </r>
    <r>
      <rPr>
        <sz val="10"/>
        <rFont val="Arial"/>
        <family val="0"/>
        <charset val="1"/>
      </rPr>
      <t xml:space="preserve">, 7</t>
    </r>
    <r>
      <rPr>
        <sz val="10"/>
        <rFont val="Noto Sans CJK SC"/>
        <family val="2"/>
      </rPr>
      <t xml:space="preserve">時 しちじ</t>
    </r>
    <r>
      <rPr>
        <sz val="10"/>
        <rFont val="Arial"/>
        <family val="0"/>
        <charset val="1"/>
      </rPr>
      <t xml:space="preserve">, 9</t>
    </r>
    <r>
      <rPr>
        <sz val="10"/>
        <rFont val="Noto Sans CJK SC"/>
        <family val="2"/>
      </rPr>
      <t xml:space="preserve">時 くじ — </t>
    </r>
    <r>
      <rPr>
        <sz val="10"/>
        <rFont val="Arial"/>
        <family val="0"/>
        <charset val="1"/>
      </rPr>
      <t xml:space="preserve">ba giờ đọc bất quy tắc.
• </t>
    </r>
    <r>
      <rPr>
        <sz val="10"/>
        <rFont val="Noto Sans CJK SC"/>
        <family val="2"/>
      </rPr>
      <t xml:space="preserve">〜ふん </t>
    </r>
    <r>
      <rPr>
        <sz val="10"/>
        <rFont val="Arial"/>
        <family val="0"/>
        <charset val="1"/>
      </rPr>
      <t xml:space="preserve">/ </t>
    </r>
    <r>
      <rPr>
        <sz val="10"/>
        <rFont val="Noto Sans CJK SC"/>
        <family val="2"/>
      </rPr>
      <t xml:space="preserve">〜ぷん（〜分） </t>
    </r>
    <r>
      <rPr>
        <sz val="10"/>
        <rFont val="Arial"/>
        <family val="0"/>
        <charset val="1"/>
      </rPr>
      <t xml:space="preserve">= ~ phút
   Mẹo: 1</t>
    </r>
    <r>
      <rPr>
        <sz val="10"/>
        <rFont val="Noto Sans CJK SC"/>
        <family val="2"/>
      </rPr>
      <t xml:space="preserve">分 いっぷん</t>
    </r>
    <r>
      <rPr>
        <sz val="10"/>
        <rFont val="Arial"/>
        <family val="0"/>
        <charset val="1"/>
      </rPr>
      <t xml:space="preserve">, 3</t>
    </r>
    <r>
      <rPr>
        <sz val="10"/>
        <rFont val="Noto Sans CJK SC"/>
        <family val="2"/>
      </rPr>
      <t xml:space="preserve">分 さんぷん</t>
    </r>
    <r>
      <rPr>
        <sz val="10"/>
        <rFont val="Arial"/>
        <family val="0"/>
        <charset val="1"/>
      </rPr>
      <t xml:space="preserve">, 4</t>
    </r>
    <r>
      <rPr>
        <sz val="10"/>
        <rFont val="Noto Sans CJK SC"/>
        <family val="2"/>
      </rPr>
      <t xml:space="preserve">分 よんぷん — </t>
    </r>
    <r>
      <rPr>
        <sz val="10"/>
        <rFont val="Arial"/>
        <family val="0"/>
        <charset val="1"/>
      </rPr>
      <t xml:space="preserve">luyện đọc to nhiều lần.
• </t>
    </r>
    <r>
      <rPr>
        <sz val="10"/>
        <rFont val="Noto Sans CJK SC"/>
        <family val="2"/>
      </rPr>
      <t xml:space="preserve">ぎんこう（銀行） </t>
    </r>
    <r>
      <rPr>
        <sz val="10"/>
        <rFont val="Arial"/>
        <family val="0"/>
        <charset val="1"/>
      </rPr>
      <t xml:space="preserve">= Ngân hàng
   Mẹo: NGÂN HÀNH = </t>
    </r>
    <r>
      <rPr>
        <sz val="10"/>
        <rFont val="Noto Sans CJK SC"/>
        <family val="2"/>
      </rPr>
      <t xml:space="preserve">銀 </t>
    </r>
    <r>
      <rPr>
        <sz val="10"/>
        <rFont val="Arial"/>
        <family val="0"/>
        <charset val="1"/>
      </rPr>
      <t xml:space="preserve">(bạc) + </t>
    </r>
    <r>
      <rPr>
        <sz val="10"/>
        <rFont val="Noto Sans CJK SC"/>
        <family val="2"/>
      </rPr>
      <t xml:space="preserve">行 </t>
    </r>
    <r>
      <rPr>
        <sz val="10"/>
        <rFont val="Arial"/>
        <family val="0"/>
        <charset val="1"/>
      </rPr>
      <t xml:space="preserve">(đi lại) → nơi bạc luân chuyển.
• </t>
    </r>
    <r>
      <rPr>
        <sz val="10"/>
        <rFont val="Noto Sans CJK SC"/>
        <family val="2"/>
      </rPr>
      <t xml:space="preserve">ゆうびんきょく（郵便局） </t>
    </r>
    <r>
      <rPr>
        <sz val="10"/>
        <rFont val="Arial"/>
        <family val="0"/>
        <charset val="1"/>
      </rPr>
      <t xml:space="preserve">= Bưu điện
   Mẹo: BƯU TIỆN CỤC — âm Hán Việt gần hệt tiếng Việt 'bưu cục'.
→ Đối chiếu thêm với mục </t>
    </r>
    <r>
      <rPr>
        <sz val="10"/>
        <rFont val="Noto Sans CJK SC"/>
        <family val="2"/>
      </rPr>
      <t xml:space="preserve">語彙 </t>
    </r>
    <r>
      <rPr>
        <sz val="10"/>
        <rFont val="Arial"/>
        <family val="0"/>
        <charset val="1"/>
      </rPr>
      <t xml:space="preserve">của bài 4 trong sách để bổ sung.</t>
    </r>
  </si>
  <si>
    <r>
      <rPr>
        <b val="true"/>
        <sz val="12"/>
        <color rgb="FF1F3864"/>
        <rFont val="Arial"/>
        <family val="0"/>
        <charset val="1"/>
      </rPr>
      <t xml:space="preserve">NGÀY 24  ·  Tuần 4  ·  Minna Bài 5 (1/2)  ·  Đi lại — Phương tiện &amp; Điểm đến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</si>
  <si>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金 </t>
    </r>
    <r>
      <rPr>
        <sz val="10"/>
        <rFont val="Arial"/>
        <family val="0"/>
        <charset val="1"/>
      </rPr>
      <t xml:space="preserve">(</t>
    </r>
    <r>
      <rPr>
        <sz val="10"/>
        <rFont val="Noto Sans CJK SC"/>
        <family val="2"/>
      </rPr>
      <t xml:space="preserve">かね </t>
    </r>
    <r>
      <rPr>
        <sz val="10"/>
        <rFont val="Arial"/>
        <family val="0"/>
        <charset val="1"/>
      </rPr>
      <t xml:space="preserve">/ </t>
    </r>
    <r>
      <rPr>
        <sz val="10"/>
        <rFont val="Noto Sans CJK SC"/>
        <family val="2"/>
      </rPr>
      <t xml:space="preserve">かねへん</t>
    </r>
    <r>
      <rPr>
        <sz val="10"/>
        <rFont val="Arial"/>
        <family val="0"/>
        <charset val="1"/>
      </rPr>
      <t xml:space="preserve">) = Kim loại, tiền
   Mẹo nhớ: Mái nhà che kho báu chôn dưới đất
   Kanji chứa bộ này: </t>
    </r>
    <r>
      <rPr>
        <sz val="10"/>
        <rFont val="Noto Sans CJK SC"/>
        <family val="2"/>
      </rPr>
      <t xml:space="preserve">金・銀・鉄・鏡</t>
    </r>
  </si>
  <si>
    <r>
      <rPr>
        <sz val="10"/>
        <rFont val="Arial"/>
        <family val="0"/>
        <charset val="1"/>
      </rPr>
      <t xml:space="preserve">Học 2 chữ. Mỗi chữ viết tay 10 lần đúng thứ tự nét.
• </t>
    </r>
    <r>
      <rPr>
        <sz val="10"/>
        <rFont val="Noto Sans CJK SC"/>
        <family val="2"/>
      </rPr>
      <t xml:space="preserve">社 </t>
    </r>
    <r>
      <rPr>
        <sz val="10"/>
        <rFont val="Arial"/>
        <family val="0"/>
        <charset val="1"/>
      </rPr>
      <t xml:space="preserve">[XÃ] Công ty, đền thờ — On: </t>
    </r>
    <r>
      <rPr>
        <sz val="10"/>
        <rFont val="Noto Sans CJK SC"/>
        <family val="2"/>
      </rPr>
      <t xml:space="preserve">シャ </t>
    </r>
    <r>
      <rPr>
        <sz val="10"/>
        <rFont val="Arial"/>
        <family val="0"/>
        <charset val="1"/>
      </rPr>
      <t xml:space="preserve">/ Kun: </t>
    </r>
    <r>
      <rPr>
        <sz val="10"/>
        <rFont val="Noto Sans CJK SC"/>
        <family val="2"/>
      </rPr>
      <t xml:space="preserve">やしろ </t>
    </r>
    <r>
      <rPr>
        <sz val="10"/>
        <rFont val="Arial"/>
        <family val="0"/>
        <charset val="1"/>
      </rPr>
      <t xml:space="preserve">(7 nét)
   Từ ghép: </t>
    </r>
    <r>
      <rPr>
        <sz val="10"/>
        <rFont val="Noto Sans CJK SC"/>
        <family val="2"/>
      </rPr>
      <t xml:space="preserve">会社 </t>
    </r>
    <r>
      <rPr>
        <sz val="10"/>
        <rFont val="Arial"/>
        <family val="0"/>
        <charset val="1"/>
      </rPr>
      <t xml:space="preserve">(</t>
    </r>
    <r>
      <rPr>
        <sz val="10"/>
        <rFont val="Noto Sans CJK SC"/>
        <family val="2"/>
      </rPr>
      <t xml:space="preserve">かいしゃ</t>
    </r>
    <r>
      <rPr>
        <sz val="10"/>
        <rFont val="Arial"/>
        <family val="0"/>
        <charset val="1"/>
      </rPr>
      <t xml:space="preserve">) công ty </t>
    </r>
    <r>
      <rPr>
        <sz val="10"/>
        <rFont val="Noto Sans CJK SC"/>
        <family val="2"/>
      </rPr>
      <t xml:space="preserve">・ 社員 </t>
    </r>
    <r>
      <rPr>
        <sz val="10"/>
        <rFont val="Arial"/>
        <family val="0"/>
        <charset val="1"/>
      </rPr>
      <t xml:space="preserve">(</t>
    </r>
    <r>
      <rPr>
        <sz val="10"/>
        <rFont val="Noto Sans CJK SC"/>
        <family val="2"/>
      </rPr>
      <t xml:space="preserve">しゃいん</t>
    </r>
    <r>
      <rPr>
        <sz val="10"/>
        <rFont val="Arial"/>
        <family val="0"/>
        <charset val="1"/>
      </rPr>
      <t xml:space="preserve">) nhân viên </t>
    </r>
    <r>
      <rPr>
        <sz val="10"/>
        <rFont val="Noto Sans CJK SC"/>
        <family val="2"/>
      </rPr>
      <t xml:space="preserve">・ 神社 </t>
    </r>
    <r>
      <rPr>
        <sz val="10"/>
        <rFont val="Arial"/>
        <family val="0"/>
        <charset val="1"/>
      </rPr>
      <t xml:space="preserve">(</t>
    </r>
    <r>
      <rPr>
        <sz val="10"/>
        <rFont val="Noto Sans CJK SC"/>
        <family val="2"/>
      </rPr>
      <t xml:space="preserve">じんじゃ</t>
    </r>
    <r>
      <rPr>
        <sz val="10"/>
        <rFont val="Arial"/>
        <family val="0"/>
        <charset val="1"/>
      </rPr>
      <t xml:space="preserve">) đền thần
   Mẹo: Bộ </t>
    </r>
    <r>
      <rPr>
        <sz val="10"/>
        <rFont val="Noto Sans CJK SC"/>
        <family val="2"/>
      </rPr>
      <t xml:space="preserve">礻 </t>
    </r>
    <r>
      <rPr>
        <sz val="10"/>
        <rFont val="Arial"/>
        <family val="0"/>
        <charset val="1"/>
      </rPr>
      <t xml:space="preserve">(thần linh) + </t>
    </r>
    <r>
      <rPr>
        <sz val="10"/>
        <rFont val="Noto Sans CJK SC"/>
        <family val="2"/>
      </rPr>
      <t xml:space="preserve">土 </t>
    </r>
    <r>
      <rPr>
        <sz val="10"/>
        <rFont val="Arial"/>
        <family val="0"/>
        <charset val="1"/>
      </rPr>
      <t xml:space="preserve">(đất). Nơi thờ thần đất = cộng đồng tụ họp → XÃ hội, công ty.
• </t>
    </r>
    <r>
      <rPr>
        <sz val="10"/>
        <rFont val="Noto Sans CJK SC"/>
        <family val="2"/>
      </rPr>
      <t xml:space="preserve">見 </t>
    </r>
    <r>
      <rPr>
        <sz val="10"/>
        <rFont val="Arial"/>
        <family val="0"/>
        <charset val="1"/>
      </rPr>
      <t xml:space="preserve">[KIẾN] Nhìn, xem — On: </t>
    </r>
    <r>
      <rPr>
        <sz val="10"/>
        <rFont val="Noto Sans CJK SC"/>
        <family val="2"/>
      </rPr>
      <t xml:space="preserve">ケン </t>
    </r>
    <r>
      <rPr>
        <sz val="10"/>
        <rFont val="Arial"/>
        <family val="0"/>
        <charset val="1"/>
      </rPr>
      <t xml:space="preserve">/ Kun: </t>
    </r>
    <r>
      <rPr>
        <sz val="10"/>
        <rFont val="Noto Sans CJK SC"/>
        <family val="2"/>
      </rPr>
      <t xml:space="preserve">み</t>
    </r>
    <r>
      <rPr>
        <sz val="10"/>
        <rFont val="Arial"/>
        <family val="0"/>
        <charset val="1"/>
      </rPr>
      <t xml:space="preserve">(</t>
    </r>
    <r>
      <rPr>
        <sz val="10"/>
        <rFont val="Noto Sans CJK SC"/>
        <family val="2"/>
      </rPr>
      <t xml:space="preserve">る</t>
    </r>
    <r>
      <rPr>
        <sz val="10"/>
        <rFont val="Arial"/>
        <family val="0"/>
        <charset val="1"/>
      </rPr>
      <t xml:space="preserve">) (7 nét)
   Từ ghép: </t>
    </r>
    <r>
      <rPr>
        <sz val="10"/>
        <rFont val="Noto Sans CJK SC"/>
        <family val="2"/>
      </rPr>
      <t xml:space="preserve">見ます </t>
    </r>
    <r>
      <rPr>
        <sz val="10"/>
        <rFont val="Arial"/>
        <family val="0"/>
        <charset val="1"/>
      </rPr>
      <t xml:space="preserve">(</t>
    </r>
    <r>
      <rPr>
        <sz val="10"/>
        <rFont val="Noto Sans CJK SC"/>
        <family val="2"/>
      </rPr>
      <t xml:space="preserve">みます</t>
    </r>
    <r>
      <rPr>
        <sz val="10"/>
        <rFont val="Arial"/>
        <family val="0"/>
        <charset val="1"/>
      </rPr>
      <t xml:space="preserve">) xem </t>
    </r>
    <r>
      <rPr>
        <sz val="10"/>
        <rFont val="Noto Sans CJK SC"/>
        <family val="2"/>
      </rPr>
      <t xml:space="preserve">・ 見物 </t>
    </r>
    <r>
      <rPr>
        <sz val="10"/>
        <rFont val="Arial"/>
        <family val="0"/>
        <charset val="1"/>
      </rPr>
      <t xml:space="preserve">(</t>
    </r>
    <r>
      <rPr>
        <sz val="10"/>
        <rFont val="Noto Sans CJK SC"/>
        <family val="2"/>
      </rPr>
      <t xml:space="preserve">けんぶつ</t>
    </r>
    <r>
      <rPr>
        <sz val="10"/>
        <rFont val="Arial"/>
        <family val="0"/>
        <charset val="1"/>
      </rPr>
      <t xml:space="preserve">) tham quan </t>
    </r>
    <r>
      <rPr>
        <sz val="10"/>
        <rFont val="Noto Sans CJK SC"/>
        <family val="2"/>
      </rPr>
      <t xml:space="preserve">・ 意見 </t>
    </r>
    <r>
      <rPr>
        <sz val="10"/>
        <rFont val="Arial"/>
        <family val="0"/>
        <charset val="1"/>
      </rPr>
      <t xml:space="preserve">(</t>
    </r>
    <r>
      <rPr>
        <sz val="10"/>
        <rFont val="Noto Sans CJK SC"/>
        <family val="2"/>
      </rPr>
      <t xml:space="preserve">いけん</t>
    </r>
    <r>
      <rPr>
        <sz val="10"/>
        <rFont val="Arial"/>
        <family val="0"/>
        <charset val="1"/>
      </rPr>
      <t xml:space="preserve">) ý kiến
   Mẹo: </t>
    </r>
    <r>
      <rPr>
        <sz val="10"/>
        <rFont val="Noto Sans CJK SC"/>
        <family val="2"/>
      </rPr>
      <t xml:space="preserve">目 </t>
    </r>
    <r>
      <rPr>
        <sz val="10"/>
        <rFont val="Arial"/>
        <family val="0"/>
        <charset val="1"/>
      </rPr>
      <t xml:space="preserve">(con mắt) đặt trên </t>
    </r>
    <r>
      <rPr>
        <sz val="10"/>
        <rFont val="Noto Sans CJK SC"/>
        <family val="2"/>
      </rPr>
      <t xml:space="preserve">儿 </t>
    </r>
    <r>
      <rPr>
        <sz val="10"/>
        <rFont val="Arial"/>
        <family val="0"/>
        <charset val="1"/>
      </rPr>
      <t xml:space="preserve">(đôi chân) = con mắt biết đi khắp nơi để NHÌN.</t>
    </r>
  </si>
  <si>
    <r>
      <rPr>
        <sz val="10"/>
        <rFont val="Arial"/>
        <family val="0"/>
        <charset val="1"/>
      </rPr>
      <t xml:space="preserve">Minna bài 5 (1/2) — Đi lại — Phương tiện &amp; Điểm đến
• </t>
    </r>
    <r>
      <rPr>
        <sz val="10"/>
        <rFont val="Noto Sans CJK SC"/>
        <family val="2"/>
      </rPr>
      <t xml:space="preserve">場所 へ 行きます </t>
    </r>
    <r>
      <rPr>
        <sz val="10"/>
        <rFont val="Arial"/>
        <family val="0"/>
        <charset val="1"/>
      </rPr>
      <t xml:space="preserve">/ </t>
    </r>
    <r>
      <rPr>
        <sz val="10"/>
        <rFont val="Noto Sans CJK SC"/>
        <family val="2"/>
      </rPr>
      <t xml:space="preserve">来ます </t>
    </r>
    <r>
      <rPr>
        <sz val="10"/>
        <rFont val="Arial"/>
        <family val="0"/>
        <charset val="1"/>
      </rPr>
      <t xml:space="preserve">/ </t>
    </r>
    <r>
      <rPr>
        <sz val="10"/>
        <rFont val="Noto Sans CJK SC"/>
        <family val="2"/>
      </rPr>
      <t xml:space="preserve">帰ります  </t>
    </r>
    <r>
      <rPr>
        <sz val="10"/>
        <rFont val="Arial"/>
        <family val="0"/>
        <charset val="1"/>
      </rPr>
      <t xml:space="preserve">(Đi / đến / về nơi nào đó. </t>
    </r>
    <r>
      <rPr>
        <sz val="10"/>
        <rFont val="Noto Sans CJK SC"/>
        <family val="2"/>
      </rPr>
      <t xml:space="preserve">へ </t>
    </r>
    <r>
      <rPr>
        <sz val="10"/>
        <rFont val="Arial"/>
        <family val="0"/>
        <charset val="1"/>
      </rPr>
      <t xml:space="preserve">đọc là 'e'.)
   Ví dụ: </t>
    </r>
    <r>
      <rPr>
        <sz val="10"/>
        <rFont val="Noto Sans CJK SC"/>
        <family val="2"/>
      </rPr>
      <t xml:space="preserve">あした 東京へ 行きます。  </t>
    </r>
    <r>
      <rPr>
        <sz val="10"/>
        <rFont val="Arial"/>
        <family val="0"/>
        <charset val="1"/>
      </rPr>
      <t xml:space="preserve">= Ngày mai tôi đi Tokyo.
• </t>
    </r>
    <r>
      <rPr>
        <sz val="10"/>
        <rFont val="Noto Sans CJK SC"/>
        <family val="2"/>
      </rPr>
      <t xml:space="preserve">どこ</t>
    </r>
    <r>
      <rPr>
        <sz val="10"/>
        <rFont val="Arial"/>
        <family val="0"/>
        <charset val="1"/>
      </rPr>
      <t xml:space="preserve">[</t>
    </r>
    <r>
      <rPr>
        <sz val="10"/>
        <rFont val="Noto Sans CJK SC"/>
        <family val="2"/>
      </rPr>
      <t xml:space="preserve">へ</t>
    </r>
    <r>
      <rPr>
        <sz val="10"/>
        <rFont val="Arial"/>
        <family val="0"/>
        <charset val="1"/>
      </rPr>
      <t xml:space="preserve">]</t>
    </r>
    <r>
      <rPr>
        <sz val="10"/>
        <rFont val="Noto Sans CJK SC"/>
        <family val="2"/>
      </rPr>
      <t xml:space="preserve">も 行きません  </t>
    </r>
    <r>
      <rPr>
        <sz val="10"/>
        <rFont val="Arial"/>
        <family val="0"/>
        <charset val="1"/>
      </rPr>
      <t xml:space="preserve">(Không đi đâu cả. </t>
    </r>
    <r>
      <rPr>
        <sz val="10"/>
        <rFont val="Noto Sans CJK SC"/>
        <family val="2"/>
      </rPr>
      <t xml:space="preserve">も </t>
    </r>
    <r>
      <rPr>
        <sz val="10"/>
        <rFont val="Arial"/>
        <family val="0"/>
        <charset val="1"/>
      </rPr>
      <t xml:space="preserve">thay chỗ trợ từ để phủ định toàn bộ.)
   Ví dụ: </t>
    </r>
    <r>
      <rPr>
        <sz val="10"/>
        <rFont val="Noto Sans CJK SC"/>
        <family val="2"/>
      </rPr>
      <t xml:space="preserve">どこも 行きませんでした。  </t>
    </r>
    <r>
      <rPr>
        <sz val="10"/>
        <rFont val="Arial"/>
        <family val="0"/>
        <charset val="1"/>
      </rPr>
      <t xml:space="preserve">= Tôi đã chẳng đi đâu cả.
• </t>
    </r>
    <r>
      <rPr>
        <sz val="10"/>
        <rFont val="Noto Sans CJK SC"/>
        <family val="2"/>
      </rPr>
      <t xml:space="preserve">乗り物 で 行きます  </t>
    </r>
    <r>
      <rPr>
        <sz val="10"/>
        <rFont val="Arial"/>
        <family val="0"/>
        <charset val="1"/>
      </rPr>
      <t xml:space="preserve">(Đi bằng phương tiện gì. Riêng 'đi bộ' là </t>
    </r>
    <r>
      <rPr>
        <sz val="10"/>
        <rFont val="Noto Sans CJK SC"/>
        <family val="2"/>
      </rPr>
      <t xml:space="preserve">歩いて</t>
    </r>
    <r>
      <rPr>
        <sz val="10"/>
        <rFont val="Arial"/>
        <family val="0"/>
        <charset val="1"/>
      </rPr>
      <t xml:space="preserve">, không dùng </t>
    </r>
    <r>
      <rPr>
        <sz val="10"/>
        <rFont val="Noto Sans CJK SC"/>
        <family val="2"/>
      </rPr>
      <t xml:space="preserve">で</t>
    </r>
    <r>
      <rPr>
        <sz val="10"/>
        <rFont val="Arial"/>
        <family val="0"/>
        <charset val="1"/>
      </rPr>
      <t xml:space="preserve">.)
   Ví dụ: </t>
    </r>
    <r>
      <rPr>
        <sz val="10"/>
        <rFont val="Noto Sans CJK SC"/>
        <family val="2"/>
      </rPr>
      <t xml:space="preserve">電車で 会社へ 行きます。  </t>
    </r>
    <r>
      <rPr>
        <sz val="10"/>
        <rFont val="Arial"/>
        <family val="0"/>
        <charset val="1"/>
      </rPr>
      <t xml:space="preserve">= Tôi đi làm bằng tàu điện.
→ Làm </t>
    </r>
    <r>
      <rPr>
        <sz val="10"/>
        <rFont val="Noto Sans CJK SC"/>
        <family val="2"/>
      </rPr>
      <t xml:space="preserve">練習</t>
    </r>
    <r>
      <rPr>
        <sz val="10"/>
        <rFont val="Arial"/>
        <family val="0"/>
        <charset val="1"/>
      </rPr>
      <t xml:space="preserve">A của bài 5 trong sách, mỗi mẫu tự đặt 3 câu.</t>
    </r>
  </si>
  <si>
    <r>
      <rPr>
        <sz val="10"/>
        <rFont val="Arial"/>
        <family val="0"/>
        <charset val="1"/>
      </rPr>
      <t xml:space="preserve">Từ mới Minna bài 5:
• </t>
    </r>
    <r>
      <rPr>
        <sz val="10"/>
        <rFont val="Noto Sans CJK SC"/>
        <family val="2"/>
      </rPr>
      <t xml:space="preserve">いきます（行きます） </t>
    </r>
    <r>
      <rPr>
        <sz val="10"/>
        <rFont val="Arial"/>
        <family val="0"/>
        <charset val="1"/>
      </rPr>
      <t xml:space="preserve">= Đi
   Mẹo: </t>
    </r>
    <r>
      <rPr>
        <sz val="10"/>
        <rFont val="Noto Sans CJK SC"/>
        <family val="2"/>
      </rPr>
      <t xml:space="preserve">行 </t>
    </r>
    <r>
      <rPr>
        <sz val="10"/>
        <rFont val="Arial"/>
        <family val="0"/>
        <charset val="1"/>
      </rPr>
      <t xml:space="preserve">là hình ngã tư đường → đứng ngã tư phải chọn hướng ĐI.
• </t>
    </r>
    <r>
      <rPr>
        <sz val="10"/>
        <rFont val="Noto Sans CJK SC"/>
        <family val="2"/>
      </rPr>
      <t xml:space="preserve">きます（来ます） </t>
    </r>
    <r>
      <rPr>
        <sz val="10"/>
        <rFont val="Arial"/>
        <family val="0"/>
        <charset val="1"/>
      </rPr>
      <t xml:space="preserve">= Đến
   Mẹo: </t>
    </r>
    <r>
      <rPr>
        <sz val="10"/>
        <rFont val="Noto Sans CJK SC"/>
        <family val="2"/>
      </rPr>
      <t xml:space="preserve">来 </t>
    </r>
    <r>
      <rPr>
        <sz val="10"/>
        <rFont val="Arial"/>
        <family val="0"/>
        <charset val="1"/>
      </rPr>
      <t xml:space="preserve">hình cây lúa chín → mùa gặt ĐẾN. Chia bất quy tắc: </t>
    </r>
    <r>
      <rPr>
        <sz val="10"/>
        <rFont val="Noto Sans CJK SC"/>
        <family val="2"/>
      </rPr>
      <t xml:space="preserve">来ない → こない</t>
    </r>
    <r>
      <rPr>
        <sz val="10"/>
        <rFont val="Arial"/>
        <family val="0"/>
        <charset val="1"/>
      </rPr>
      <t xml:space="preserve">.
• </t>
    </r>
    <r>
      <rPr>
        <sz val="10"/>
        <rFont val="Noto Sans CJK SC"/>
        <family val="2"/>
      </rPr>
      <t xml:space="preserve">かえります（帰ります） </t>
    </r>
    <r>
      <rPr>
        <sz val="10"/>
        <rFont val="Arial"/>
        <family val="0"/>
        <charset val="1"/>
      </rPr>
      <t xml:space="preserve">= Về
   Mẹo: </t>
    </r>
    <r>
      <rPr>
        <sz val="10"/>
        <rFont val="Noto Sans CJK SC"/>
        <family val="2"/>
      </rPr>
      <t xml:space="preserve">帰 </t>
    </r>
    <r>
      <rPr>
        <sz val="10"/>
        <rFont val="Arial"/>
        <family val="0"/>
        <charset val="1"/>
      </rPr>
      <t xml:space="preserve">có bộ </t>
    </r>
    <r>
      <rPr>
        <sz val="10"/>
        <rFont val="Noto Sans CJK SC"/>
        <family val="2"/>
      </rPr>
      <t xml:space="preserve">巾 </t>
    </r>
    <r>
      <rPr>
        <sz val="10"/>
        <rFont val="Arial"/>
        <family val="0"/>
        <charset val="1"/>
      </rPr>
      <t xml:space="preserve">(khăn) → xách khăn gói VỀ nhà.
• </t>
    </r>
    <r>
      <rPr>
        <sz val="10"/>
        <rFont val="Noto Sans CJK SC"/>
        <family val="2"/>
      </rPr>
      <t xml:space="preserve">でんしゃ（電車） </t>
    </r>
    <r>
      <rPr>
        <sz val="10"/>
        <rFont val="Arial"/>
        <family val="0"/>
        <charset val="1"/>
      </rPr>
      <t xml:space="preserve">= Tàu điện
   Mẹo: ĐIỆN XA = xe chạy bằng điện.
• </t>
    </r>
    <r>
      <rPr>
        <sz val="10"/>
        <rFont val="Noto Sans CJK SC"/>
        <family val="2"/>
      </rPr>
      <t xml:space="preserve">ちかてつ（地下鉄） </t>
    </r>
    <r>
      <rPr>
        <sz val="10"/>
        <rFont val="Arial"/>
        <family val="0"/>
        <charset val="1"/>
      </rPr>
      <t xml:space="preserve">= Tàu điện ngầm
   Mẹo: ĐỊA HẠ THIẾT = đường sắt dưới lòng đất.
• </t>
    </r>
    <r>
      <rPr>
        <sz val="10"/>
        <rFont val="Noto Sans CJK SC"/>
        <family val="2"/>
      </rPr>
      <t xml:space="preserve">しんかんせん（新幹線） </t>
    </r>
    <r>
      <rPr>
        <sz val="10"/>
        <rFont val="Arial"/>
        <family val="0"/>
        <charset val="1"/>
      </rPr>
      <t xml:space="preserve">= Tàu Shinkansen
   Mẹo: TÂN CÁN TUYẾN = tuyến đường trục mới.
• </t>
    </r>
    <r>
      <rPr>
        <sz val="10"/>
        <rFont val="Noto Sans CJK SC"/>
        <family val="2"/>
      </rPr>
      <t xml:space="preserve">ひこうき（飛行機） </t>
    </r>
    <r>
      <rPr>
        <sz val="10"/>
        <rFont val="Arial"/>
        <family val="0"/>
        <charset val="1"/>
      </rPr>
      <t xml:space="preserve">= Máy bay
   Mẹo: PHI HÀNH CƠ = máy bay bay đi. </t>
    </r>
    <r>
      <rPr>
        <sz val="10"/>
        <rFont val="Noto Sans CJK SC"/>
        <family val="2"/>
      </rPr>
      <t xml:space="preserve">機 </t>
    </r>
    <r>
      <rPr>
        <sz val="10"/>
        <rFont val="Arial"/>
        <family val="0"/>
        <charset val="1"/>
      </rPr>
      <t xml:space="preserve">(cơ) = máy móc.
→ Đối chiếu thêm với mục </t>
    </r>
    <r>
      <rPr>
        <sz val="10"/>
        <rFont val="Noto Sans CJK SC"/>
        <family val="2"/>
      </rPr>
      <t xml:space="preserve">語彙 </t>
    </r>
    <r>
      <rPr>
        <sz val="10"/>
        <rFont val="Arial"/>
        <family val="0"/>
        <charset val="1"/>
      </rPr>
      <t xml:space="preserve">của bài 5 trong sách để bổ sung.</t>
    </r>
  </si>
  <si>
    <r>
      <rPr>
        <b val="true"/>
        <sz val="12"/>
        <color rgb="FF1F3864"/>
        <rFont val="Arial"/>
        <family val="0"/>
        <charset val="1"/>
      </rPr>
      <t xml:space="preserve">NGÀY 25  ·  Tuần 4  ·  Minna Bài 5 (2/2)  ·  Đi lại — Phương tiện &amp; Điểm đến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</si>
  <si>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女 </t>
    </r>
    <r>
      <rPr>
        <sz val="10"/>
        <rFont val="Arial"/>
        <family val="0"/>
        <charset val="1"/>
      </rPr>
      <t xml:space="preserve">(</t>
    </r>
    <r>
      <rPr>
        <sz val="10"/>
        <rFont val="Noto Sans CJK SC"/>
        <family val="2"/>
      </rPr>
      <t xml:space="preserve">おんな </t>
    </r>
    <r>
      <rPr>
        <sz val="10"/>
        <rFont val="Arial"/>
        <family val="0"/>
        <charset val="1"/>
      </rPr>
      <t xml:space="preserve">/ </t>
    </r>
    <r>
      <rPr>
        <sz val="10"/>
        <rFont val="Noto Sans CJK SC"/>
        <family val="2"/>
      </rPr>
      <t xml:space="preserve">おんなへん</t>
    </r>
    <r>
      <rPr>
        <sz val="10"/>
        <rFont val="Arial"/>
        <family val="0"/>
        <charset val="1"/>
      </rPr>
      <t xml:space="preserve">) = Phụ nữ, nữ giới
   Mẹo nhớ: Dáng người phụ nữ đang quỳ
   Kanji chứa bộ này: </t>
    </r>
    <r>
      <rPr>
        <sz val="10"/>
        <rFont val="Noto Sans CJK SC"/>
        <family val="2"/>
      </rPr>
      <t xml:space="preserve">女・安・好・姉</t>
    </r>
  </si>
  <si>
    <r>
      <rPr>
        <sz val="10"/>
        <rFont val="Arial"/>
        <family val="0"/>
        <charset val="1"/>
      </rPr>
      <t xml:space="preserve">Học 2 chữ. Mỗi chữ viết tay 10 lần đúng thứ tự nét.
• </t>
    </r>
    <r>
      <rPr>
        <sz val="10"/>
        <rFont val="Noto Sans CJK SC"/>
        <family val="2"/>
      </rPr>
      <t xml:space="preserve">月 </t>
    </r>
    <r>
      <rPr>
        <sz val="10"/>
        <rFont val="Arial"/>
        <family val="0"/>
        <charset val="1"/>
      </rPr>
      <t xml:space="preserve">[NGUYỆT] Tháng, mặt trăng — On: </t>
    </r>
    <r>
      <rPr>
        <sz val="10"/>
        <rFont val="Noto Sans CJK SC"/>
        <family val="2"/>
      </rPr>
      <t xml:space="preserve">ゲツ・ガツ </t>
    </r>
    <r>
      <rPr>
        <sz val="10"/>
        <rFont val="Arial"/>
        <family val="0"/>
        <charset val="1"/>
      </rPr>
      <t xml:space="preserve">/ Kun: </t>
    </r>
    <r>
      <rPr>
        <sz val="10"/>
        <rFont val="Noto Sans CJK SC"/>
        <family val="2"/>
      </rPr>
      <t xml:space="preserve">つき </t>
    </r>
    <r>
      <rPr>
        <sz val="10"/>
        <rFont val="Arial"/>
        <family val="0"/>
        <charset val="1"/>
      </rPr>
      <t xml:space="preserve">(4 nét)
   Từ ghép: </t>
    </r>
    <r>
      <rPr>
        <sz val="10"/>
        <rFont val="Noto Sans CJK SC"/>
        <family val="2"/>
      </rPr>
      <t xml:space="preserve">月曜日 </t>
    </r>
    <r>
      <rPr>
        <sz val="10"/>
        <rFont val="Arial"/>
        <family val="0"/>
        <charset val="1"/>
      </rPr>
      <t xml:space="preserve">(</t>
    </r>
    <r>
      <rPr>
        <sz val="10"/>
        <rFont val="Noto Sans CJK SC"/>
        <family val="2"/>
      </rPr>
      <t xml:space="preserve">げつようび</t>
    </r>
    <r>
      <rPr>
        <sz val="10"/>
        <rFont val="Arial"/>
        <family val="0"/>
        <charset val="1"/>
      </rPr>
      <t xml:space="preserve">) thứ Hai </t>
    </r>
    <r>
      <rPr>
        <sz val="10"/>
        <rFont val="Noto Sans CJK SC"/>
        <family val="2"/>
      </rPr>
      <t xml:space="preserve">・ 一月 </t>
    </r>
    <r>
      <rPr>
        <sz val="10"/>
        <rFont val="Arial"/>
        <family val="0"/>
        <charset val="1"/>
      </rPr>
      <t xml:space="preserve">(</t>
    </r>
    <r>
      <rPr>
        <sz val="10"/>
        <rFont val="Noto Sans CJK SC"/>
        <family val="2"/>
      </rPr>
      <t xml:space="preserve">いちがつ</t>
    </r>
    <r>
      <rPr>
        <sz val="10"/>
        <rFont val="Arial"/>
        <family val="0"/>
        <charset val="1"/>
      </rPr>
      <t xml:space="preserve">) tháng Một </t>
    </r>
    <r>
      <rPr>
        <sz val="10"/>
        <rFont val="Noto Sans CJK SC"/>
        <family val="2"/>
      </rPr>
      <t xml:space="preserve">・ 今月 </t>
    </r>
    <r>
      <rPr>
        <sz val="10"/>
        <rFont val="Arial"/>
        <family val="0"/>
        <charset val="1"/>
      </rPr>
      <t xml:space="preserve">(</t>
    </r>
    <r>
      <rPr>
        <sz val="10"/>
        <rFont val="Noto Sans CJK SC"/>
        <family val="2"/>
      </rPr>
      <t xml:space="preserve">こんげつ</t>
    </r>
    <r>
      <rPr>
        <sz val="10"/>
        <rFont val="Arial"/>
        <family val="0"/>
        <charset val="1"/>
      </rPr>
      <t xml:space="preserve">) tháng này
   Mẹo: Hình mặt TRĂNG khuyết. Trăng tròn một chu kỳ = một THÁNG.
• </t>
    </r>
    <r>
      <rPr>
        <sz val="10"/>
        <rFont val="Noto Sans CJK SC"/>
        <family val="2"/>
      </rPr>
      <t xml:space="preserve">分 </t>
    </r>
    <r>
      <rPr>
        <sz val="10"/>
        <rFont val="Arial"/>
        <family val="0"/>
        <charset val="1"/>
      </rPr>
      <t xml:space="preserve">[PHÂN] Phút, phần, hiểu — On: </t>
    </r>
    <r>
      <rPr>
        <sz val="10"/>
        <rFont val="Noto Sans CJK SC"/>
        <family val="2"/>
      </rPr>
      <t xml:space="preserve">ブン・フン・プン </t>
    </r>
    <r>
      <rPr>
        <sz val="10"/>
        <rFont val="Arial"/>
        <family val="0"/>
        <charset val="1"/>
      </rPr>
      <t xml:space="preserve">/ Kun: </t>
    </r>
    <r>
      <rPr>
        <sz val="10"/>
        <rFont val="Noto Sans CJK SC"/>
        <family val="2"/>
      </rPr>
      <t xml:space="preserve">わ</t>
    </r>
    <r>
      <rPr>
        <sz val="10"/>
        <rFont val="Arial"/>
        <family val="0"/>
        <charset val="1"/>
      </rPr>
      <t xml:space="preserve">(</t>
    </r>
    <r>
      <rPr>
        <sz val="10"/>
        <rFont val="Noto Sans CJK SC"/>
        <family val="2"/>
      </rPr>
      <t xml:space="preserve">かる</t>
    </r>
    <r>
      <rPr>
        <sz val="10"/>
        <rFont val="Arial"/>
        <family val="0"/>
        <charset val="1"/>
      </rPr>
      <t xml:space="preserve">)</t>
    </r>
    <r>
      <rPr>
        <sz val="10"/>
        <rFont val="Noto Sans CJK SC"/>
        <family val="2"/>
      </rPr>
      <t xml:space="preserve">・わ</t>
    </r>
    <r>
      <rPr>
        <sz val="10"/>
        <rFont val="Arial"/>
        <family val="0"/>
        <charset val="1"/>
      </rPr>
      <t xml:space="preserve">(</t>
    </r>
    <r>
      <rPr>
        <sz val="10"/>
        <rFont val="Noto Sans CJK SC"/>
        <family val="2"/>
      </rPr>
      <t xml:space="preserve">ける</t>
    </r>
    <r>
      <rPr>
        <sz val="10"/>
        <rFont val="Arial"/>
        <family val="0"/>
        <charset val="1"/>
      </rPr>
      <t xml:space="preserve">) (4 nét)
   Từ ghép: </t>
    </r>
    <r>
      <rPr>
        <sz val="10"/>
        <rFont val="Noto Sans CJK SC"/>
        <family val="2"/>
      </rPr>
      <t xml:space="preserve">五分 </t>
    </r>
    <r>
      <rPr>
        <sz val="10"/>
        <rFont val="Arial"/>
        <family val="0"/>
        <charset val="1"/>
      </rPr>
      <t xml:space="preserve">(</t>
    </r>
    <r>
      <rPr>
        <sz val="10"/>
        <rFont val="Noto Sans CJK SC"/>
        <family val="2"/>
      </rPr>
      <t xml:space="preserve">ごふん</t>
    </r>
    <r>
      <rPr>
        <sz val="10"/>
        <rFont val="Arial"/>
        <family val="0"/>
        <charset val="1"/>
      </rPr>
      <t xml:space="preserve">) 5 phút </t>
    </r>
    <r>
      <rPr>
        <sz val="10"/>
        <rFont val="Noto Sans CJK SC"/>
        <family val="2"/>
      </rPr>
      <t xml:space="preserve">・ 分かります </t>
    </r>
    <r>
      <rPr>
        <sz val="10"/>
        <rFont val="Arial"/>
        <family val="0"/>
        <charset val="1"/>
      </rPr>
      <t xml:space="preserve">(</t>
    </r>
    <r>
      <rPr>
        <sz val="10"/>
        <rFont val="Noto Sans CJK SC"/>
        <family val="2"/>
      </rPr>
      <t xml:space="preserve">わかります</t>
    </r>
    <r>
      <rPr>
        <sz val="10"/>
        <rFont val="Arial"/>
        <family val="0"/>
        <charset val="1"/>
      </rPr>
      <t xml:space="preserve">) hiểu </t>
    </r>
    <r>
      <rPr>
        <sz val="10"/>
        <rFont val="Noto Sans CJK SC"/>
        <family val="2"/>
      </rPr>
      <t xml:space="preserve">・ 半分 </t>
    </r>
    <r>
      <rPr>
        <sz val="10"/>
        <rFont val="Arial"/>
        <family val="0"/>
        <charset val="1"/>
      </rPr>
      <t xml:space="preserve">(</t>
    </r>
    <r>
      <rPr>
        <sz val="10"/>
        <rFont val="Noto Sans CJK SC"/>
        <family val="2"/>
      </rPr>
      <t xml:space="preserve">はんぶん</t>
    </r>
    <r>
      <rPr>
        <sz val="10"/>
        <rFont val="Arial"/>
        <family val="0"/>
        <charset val="1"/>
      </rPr>
      <t xml:space="preserve">) một nửa
   Mẹo: </t>
    </r>
    <r>
      <rPr>
        <sz val="10"/>
        <rFont val="Noto Sans CJK SC"/>
        <family val="2"/>
      </rPr>
      <t xml:space="preserve">八 </t>
    </r>
    <r>
      <rPr>
        <sz val="10"/>
        <rFont val="Arial"/>
        <family val="0"/>
        <charset val="1"/>
      </rPr>
      <t xml:space="preserve">(chia ra) + </t>
    </r>
    <r>
      <rPr>
        <sz val="10"/>
        <rFont val="Noto Sans CJK SC"/>
        <family val="2"/>
      </rPr>
      <t xml:space="preserve">刀 </t>
    </r>
    <r>
      <rPr>
        <sz val="10"/>
        <rFont val="Arial"/>
        <family val="0"/>
        <charset val="1"/>
      </rPr>
      <t xml:space="preserve">(con dao) = lấy dao CHIA nhỏ. Chia giờ ra → PHÚT; chia vấn đề ra → HIỂU.</t>
    </r>
  </si>
  <si>
    <r>
      <rPr>
        <sz val="10"/>
        <rFont val="Arial"/>
        <family val="0"/>
        <charset val="1"/>
      </rPr>
      <t xml:space="preserve">Minna bài 5 (2/2) — Đi lại — Phương tiện &amp; Điểm đến
• </t>
    </r>
    <r>
      <rPr>
        <sz val="10"/>
        <rFont val="Noto Sans CJK SC"/>
        <family val="2"/>
      </rPr>
      <t xml:space="preserve">人 と </t>
    </r>
    <r>
      <rPr>
        <sz val="10"/>
        <rFont val="Arial"/>
        <family val="0"/>
        <charset val="1"/>
      </rPr>
      <t xml:space="preserve">V  (Làm gì cùng với ai. Một mình thì nói </t>
    </r>
    <r>
      <rPr>
        <sz val="10"/>
        <rFont val="Noto Sans CJK SC"/>
        <family val="2"/>
      </rPr>
      <t xml:space="preserve">一人で</t>
    </r>
    <r>
      <rPr>
        <sz val="10"/>
        <rFont val="Arial"/>
        <family val="0"/>
        <charset val="1"/>
      </rPr>
      <t xml:space="preserve">.)
   Ví dụ: </t>
    </r>
    <r>
      <rPr>
        <sz val="10"/>
        <rFont val="Noto Sans CJK SC"/>
        <family val="2"/>
      </rPr>
      <t xml:space="preserve">友だちと 日本へ 来ました。  </t>
    </r>
    <r>
      <rPr>
        <sz val="10"/>
        <rFont val="Arial"/>
        <family val="0"/>
        <charset val="1"/>
      </rPr>
      <t xml:space="preserve">= Tôi đã đến Nhật cùng với bạn.
• </t>
    </r>
    <r>
      <rPr>
        <sz val="10"/>
        <rFont val="Noto Sans CJK SC"/>
        <family val="2"/>
      </rPr>
      <t xml:space="preserve">いつ </t>
    </r>
    <r>
      <rPr>
        <sz val="10"/>
        <rFont val="Arial"/>
        <family val="0"/>
        <charset val="1"/>
      </rPr>
      <t xml:space="preserve">V </t>
    </r>
    <r>
      <rPr>
        <sz val="10"/>
        <rFont val="Noto Sans CJK SC"/>
        <family val="2"/>
      </rPr>
      <t xml:space="preserve">ますか  </t>
    </r>
    <r>
      <rPr>
        <sz val="10"/>
        <rFont val="Arial"/>
        <family val="0"/>
        <charset val="1"/>
      </rPr>
      <t xml:space="preserve">(Khi nào thì làm gì? </t>
    </r>
    <r>
      <rPr>
        <sz val="10"/>
        <rFont val="Noto Sans CJK SC"/>
        <family val="2"/>
      </rPr>
      <t xml:space="preserve">いつ </t>
    </r>
    <r>
      <rPr>
        <sz val="10"/>
        <rFont val="Arial"/>
        <family val="0"/>
        <charset val="1"/>
      </rPr>
      <t xml:space="preserve">không đi kèm trợ từ </t>
    </r>
    <r>
      <rPr>
        <sz val="10"/>
        <rFont val="Noto Sans CJK SC"/>
        <family val="2"/>
      </rPr>
      <t xml:space="preserve">に</t>
    </r>
    <r>
      <rPr>
        <sz val="10"/>
        <rFont val="Arial"/>
        <family val="0"/>
        <charset val="1"/>
      </rPr>
      <t xml:space="preserve">.)
   Ví dụ: </t>
    </r>
    <r>
      <rPr>
        <sz val="10"/>
        <rFont val="Noto Sans CJK SC"/>
        <family val="2"/>
      </rPr>
      <t xml:space="preserve">いつ 日本へ 来ましたか。  </t>
    </r>
    <r>
      <rPr>
        <sz val="10"/>
        <rFont val="Arial"/>
        <family val="0"/>
        <charset val="1"/>
      </rPr>
      <t xml:space="preserve">= Bạn đến Nhật khi nào?
→ Làm </t>
    </r>
    <r>
      <rPr>
        <sz val="10"/>
        <rFont val="Noto Sans CJK SC"/>
        <family val="2"/>
      </rPr>
      <t xml:space="preserve">練習</t>
    </r>
    <r>
      <rPr>
        <sz val="10"/>
        <rFont val="Arial"/>
        <family val="0"/>
        <charset val="1"/>
      </rPr>
      <t xml:space="preserve">A của bài 5 trong sách, mỗi mẫu tự đặt 3 câu.</t>
    </r>
  </si>
  <si>
    <r>
      <rPr>
        <sz val="10"/>
        <rFont val="Arial"/>
        <family val="0"/>
        <charset val="1"/>
      </rPr>
      <t xml:space="preserve">Từ mới Minna bài 5:
• </t>
    </r>
    <r>
      <rPr>
        <sz val="10"/>
        <rFont val="Noto Sans CJK SC"/>
        <family val="2"/>
      </rPr>
      <t xml:space="preserve">じてんしゃ（自転車） </t>
    </r>
    <r>
      <rPr>
        <sz val="10"/>
        <rFont val="Arial"/>
        <family val="0"/>
        <charset val="1"/>
      </rPr>
      <t xml:space="preserve">= Xe đạp
   Mẹo: TỰ CHUYỂN XA = xe tự quay bánh. Nhớ kèm </t>
    </r>
    <r>
      <rPr>
        <sz val="10"/>
        <rFont val="Noto Sans CJK SC"/>
        <family val="2"/>
      </rPr>
      <t xml:space="preserve">自動車 </t>
    </r>
    <r>
      <rPr>
        <sz val="10"/>
        <rFont val="Arial"/>
        <family val="0"/>
        <charset val="1"/>
      </rPr>
      <t xml:space="preserve">(ô tô).
• </t>
    </r>
    <r>
      <rPr>
        <sz val="10"/>
        <rFont val="Noto Sans CJK SC"/>
        <family val="2"/>
      </rPr>
      <t xml:space="preserve">あるいて（歩いて） </t>
    </r>
    <r>
      <rPr>
        <sz val="10"/>
        <rFont val="Arial"/>
        <family val="0"/>
        <charset val="1"/>
      </rPr>
      <t xml:space="preserve">= Đi bộ
   Mẹo: </t>
    </r>
    <r>
      <rPr>
        <sz val="10"/>
        <rFont val="Noto Sans CJK SC"/>
        <family val="2"/>
      </rPr>
      <t xml:space="preserve">歩 </t>
    </r>
    <r>
      <rPr>
        <sz val="10"/>
        <rFont val="Arial"/>
        <family val="0"/>
        <charset val="1"/>
      </rPr>
      <t xml:space="preserve">có bộ </t>
    </r>
    <r>
      <rPr>
        <sz val="10"/>
        <rFont val="Noto Sans CJK SC"/>
        <family val="2"/>
      </rPr>
      <t xml:space="preserve">止 </t>
    </r>
    <r>
      <rPr>
        <sz val="10"/>
        <rFont val="Arial"/>
        <family val="0"/>
        <charset val="1"/>
      </rPr>
      <t xml:space="preserve">(bàn chân) → dùng chân mà đi. KHÔNG dùng </t>
    </r>
    <r>
      <rPr>
        <sz val="10"/>
        <rFont val="Noto Sans CJK SC"/>
        <family val="2"/>
      </rPr>
      <t xml:space="preserve">で </t>
    </r>
    <r>
      <rPr>
        <sz val="10"/>
        <rFont val="Arial"/>
        <family val="0"/>
        <charset val="1"/>
      </rPr>
      <t xml:space="preserve">với </t>
    </r>
    <r>
      <rPr>
        <sz val="10"/>
        <rFont val="Noto Sans CJK SC"/>
        <family val="2"/>
      </rPr>
      <t xml:space="preserve">歩いて</t>
    </r>
    <r>
      <rPr>
        <sz val="10"/>
        <rFont val="Arial"/>
        <family val="0"/>
        <charset val="1"/>
      </rPr>
      <t xml:space="preserve">.
• </t>
    </r>
    <r>
      <rPr>
        <sz val="10"/>
        <rFont val="Noto Sans CJK SC"/>
        <family val="2"/>
      </rPr>
      <t xml:space="preserve">ひと（人） </t>
    </r>
    <r>
      <rPr>
        <sz val="10"/>
        <rFont val="Arial"/>
        <family val="0"/>
        <charset val="1"/>
      </rPr>
      <t xml:space="preserve">= Người
   Mẹo: Hai nét như hai chân đang bước.
• </t>
    </r>
    <r>
      <rPr>
        <sz val="10"/>
        <rFont val="Noto Sans CJK SC"/>
        <family val="2"/>
      </rPr>
      <t xml:space="preserve">ともだち（友だち） </t>
    </r>
    <r>
      <rPr>
        <sz val="10"/>
        <rFont val="Arial"/>
        <family val="0"/>
        <charset val="1"/>
      </rPr>
      <t xml:space="preserve">= Bạn bè
   Mẹo: </t>
    </r>
    <r>
      <rPr>
        <sz val="10"/>
        <rFont val="Noto Sans CJK SC"/>
        <family val="2"/>
      </rPr>
      <t xml:space="preserve">友 </t>
    </r>
    <r>
      <rPr>
        <sz val="10"/>
        <rFont val="Arial"/>
        <family val="0"/>
        <charset val="1"/>
      </rPr>
      <t xml:space="preserve">= hai bàn tay nắm nhau → tình BẠN.
• </t>
    </r>
    <r>
      <rPr>
        <sz val="10"/>
        <rFont val="Noto Sans CJK SC"/>
        <family val="2"/>
      </rPr>
      <t xml:space="preserve">せんげつ（先月） </t>
    </r>
    <r>
      <rPr>
        <sz val="10"/>
        <rFont val="Arial"/>
        <family val="0"/>
        <charset val="1"/>
      </rPr>
      <t xml:space="preserve">= Tháng trước
   Mẹo: </t>
    </r>
    <r>
      <rPr>
        <sz val="10"/>
        <rFont val="Noto Sans CJK SC"/>
        <family val="2"/>
      </rPr>
      <t xml:space="preserve">先 </t>
    </r>
    <r>
      <rPr>
        <sz val="10"/>
        <rFont val="Arial"/>
        <family val="0"/>
        <charset val="1"/>
      </rPr>
      <t xml:space="preserve">(TIÊN = trước) + </t>
    </r>
    <r>
      <rPr>
        <sz val="10"/>
        <rFont val="Noto Sans CJK SC"/>
        <family val="2"/>
      </rPr>
      <t xml:space="preserve">月 </t>
    </r>
    <r>
      <rPr>
        <sz val="10"/>
        <rFont val="Arial"/>
        <family val="0"/>
        <charset val="1"/>
      </rPr>
      <t xml:space="preserve">(tháng). Cùng nhóm: </t>
    </r>
    <r>
      <rPr>
        <sz val="10"/>
        <rFont val="Noto Sans CJK SC"/>
        <family val="2"/>
      </rPr>
      <t xml:space="preserve">先週</t>
    </r>
    <r>
      <rPr>
        <sz val="10"/>
        <rFont val="Arial"/>
        <family val="0"/>
        <charset val="1"/>
      </rPr>
      <t xml:space="preserve">, </t>
    </r>
    <r>
      <rPr>
        <sz val="10"/>
        <rFont val="Noto Sans CJK SC"/>
        <family val="2"/>
      </rPr>
      <t xml:space="preserve">先年</t>
    </r>
    <r>
      <rPr>
        <sz val="10"/>
        <rFont val="Arial"/>
        <family val="0"/>
        <charset val="1"/>
      </rPr>
      <t xml:space="preserve">.
• </t>
    </r>
    <r>
      <rPr>
        <sz val="10"/>
        <rFont val="Noto Sans CJK SC"/>
        <family val="2"/>
      </rPr>
      <t xml:space="preserve">らいしゅう（来週） </t>
    </r>
    <r>
      <rPr>
        <sz val="10"/>
        <rFont val="Arial"/>
        <family val="0"/>
        <charset val="1"/>
      </rPr>
      <t xml:space="preserve">= Tuần sau
   Mẹo: </t>
    </r>
    <r>
      <rPr>
        <sz val="10"/>
        <rFont val="Noto Sans CJK SC"/>
        <family val="2"/>
      </rPr>
      <t xml:space="preserve">来 </t>
    </r>
    <r>
      <rPr>
        <sz val="10"/>
        <rFont val="Arial"/>
        <family val="0"/>
        <charset val="1"/>
      </rPr>
      <t xml:space="preserve">(LAI = đến, sắp tới) + </t>
    </r>
    <r>
      <rPr>
        <sz val="10"/>
        <rFont val="Noto Sans CJK SC"/>
        <family val="2"/>
      </rPr>
      <t xml:space="preserve">週 </t>
    </r>
    <r>
      <rPr>
        <sz val="10"/>
        <rFont val="Arial"/>
        <family val="0"/>
        <charset val="1"/>
      </rPr>
      <t xml:space="preserve">(tuần). Cùng nhóm: </t>
    </r>
    <r>
      <rPr>
        <sz val="10"/>
        <rFont val="Noto Sans CJK SC"/>
        <family val="2"/>
      </rPr>
      <t xml:space="preserve">来月</t>
    </r>
    <r>
      <rPr>
        <sz val="10"/>
        <rFont val="Arial"/>
        <family val="0"/>
        <charset val="1"/>
      </rPr>
      <t xml:space="preserve">, </t>
    </r>
    <r>
      <rPr>
        <sz val="10"/>
        <rFont val="Noto Sans CJK SC"/>
        <family val="2"/>
      </rPr>
      <t xml:space="preserve">来年</t>
    </r>
    <r>
      <rPr>
        <sz val="10"/>
        <rFont val="Arial"/>
        <family val="0"/>
        <charset val="1"/>
      </rPr>
      <t xml:space="preserve">.
• </t>
    </r>
    <r>
      <rPr>
        <sz val="10"/>
        <rFont val="Noto Sans CJK SC"/>
        <family val="2"/>
      </rPr>
      <t xml:space="preserve">たんじょうび（誕生日） </t>
    </r>
    <r>
      <rPr>
        <sz val="10"/>
        <rFont val="Arial"/>
        <family val="0"/>
        <charset val="1"/>
      </rPr>
      <t xml:space="preserve">= Sinh nhật
   Mẹo: ĐẢN SINH NHẬT = ngày được sinh ra.
→ Đối chiếu thêm với mục </t>
    </r>
    <r>
      <rPr>
        <sz val="10"/>
        <rFont val="Noto Sans CJK SC"/>
        <family val="2"/>
      </rPr>
      <t xml:space="preserve">語彙 </t>
    </r>
    <r>
      <rPr>
        <sz val="10"/>
        <rFont val="Arial"/>
        <family val="0"/>
        <charset val="1"/>
      </rPr>
      <t xml:space="preserve">của bài 5 trong sách để bổ sung.</t>
    </r>
  </si>
  <si>
    <r>
      <rPr>
        <b val="true"/>
        <sz val="12"/>
        <color rgb="FF1F3864"/>
        <rFont val="Arial"/>
        <family val="0"/>
        <charset val="1"/>
      </rPr>
      <t xml:space="preserve">NGÀY 26  ·  Tuần 4  ·  Minna Bài 6 (1/2)  ·  Tân ngữ </t>
    </r>
    <r>
      <rPr>
        <b val="true"/>
        <sz val="12"/>
        <color rgb="FF1F3864"/>
        <rFont val="Noto Sans CJK SC"/>
        <family val="2"/>
      </rPr>
      <t xml:space="preserve">を </t>
    </r>
    <r>
      <rPr>
        <b val="true"/>
        <sz val="12"/>
        <color rgb="FF1F3864"/>
        <rFont val="Arial"/>
        <family val="0"/>
        <charset val="1"/>
      </rPr>
      <t xml:space="preserve">&amp; Rủ rê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</si>
  <si>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子 </t>
    </r>
    <r>
      <rPr>
        <sz val="10"/>
        <rFont val="Arial"/>
        <family val="0"/>
        <charset val="1"/>
      </rPr>
      <t xml:space="preserve">(</t>
    </r>
    <r>
      <rPr>
        <sz val="10"/>
        <rFont val="Noto Sans CJK SC"/>
        <family val="2"/>
      </rPr>
      <t xml:space="preserve">こ </t>
    </r>
    <r>
      <rPr>
        <sz val="10"/>
        <rFont val="Arial"/>
        <family val="0"/>
        <charset val="1"/>
      </rPr>
      <t xml:space="preserve">/ </t>
    </r>
    <r>
      <rPr>
        <sz val="10"/>
        <rFont val="Noto Sans CJK SC"/>
        <family val="2"/>
      </rPr>
      <t xml:space="preserve">こへん</t>
    </r>
    <r>
      <rPr>
        <sz val="10"/>
        <rFont val="Arial"/>
        <family val="0"/>
        <charset val="1"/>
      </rPr>
      <t xml:space="preserve">) = Con, trẻ nhỏ
   Mẹo nhớ: Em bé quấn tã dang tay
   Kanji chứa bộ này: </t>
    </r>
    <r>
      <rPr>
        <sz val="10"/>
        <rFont val="Noto Sans CJK SC"/>
        <family val="2"/>
      </rPr>
      <t xml:space="preserve">子・学・字・孫</t>
    </r>
  </si>
  <si>
    <r>
      <rPr>
        <sz val="10"/>
        <rFont val="Arial"/>
        <family val="0"/>
        <charset val="1"/>
      </rPr>
      <t xml:space="preserve">Học 2 chữ. Mỗi chữ viết tay 10 lần đúng thứ tự nét.
• </t>
    </r>
    <r>
      <rPr>
        <sz val="10"/>
        <rFont val="Noto Sans CJK SC"/>
        <family val="2"/>
      </rPr>
      <t xml:space="preserve">後 </t>
    </r>
    <r>
      <rPr>
        <sz val="10"/>
        <rFont val="Arial"/>
        <family val="0"/>
        <charset val="1"/>
      </rPr>
      <t xml:space="preserve">[HẬU] Sau, phía sau — On: </t>
    </r>
    <r>
      <rPr>
        <sz val="10"/>
        <rFont val="Noto Sans CJK SC"/>
        <family val="2"/>
      </rPr>
      <t xml:space="preserve">ゴ・コウ </t>
    </r>
    <r>
      <rPr>
        <sz val="10"/>
        <rFont val="Arial"/>
        <family val="0"/>
        <charset val="1"/>
      </rPr>
      <t xml:space="preserve">/ Kun: </t>
    </r>
    <r>
      <rPr>
        <sz val="10"/>
        <rFont val="Noto Sans CJK SC"/>
        <family val="2"/>
      </rPr>
      <t xml:space="preserve">あと・うし</t>
    </r>
    <r>
      <rPr>
        <sz val="10"/>
        <rFont val="Arial"/>
        <family val="0"/>
        <charset val="1"/>
      </rPr>
      <t xml:space="preserve">(</t>
    </r>
    <r>
      <rPr>
        <sz val="10"/>
        <rFont val="Noto Sans CJK SC"/>
        <family val="2"/>
      </rPr>
      <t xml:space="preserve">ろ</t>
    </r>
    <r>
      <rPr>
        <sz val="10"/>
        <rFont val="Arial"/>
        <family val="0"/>
        <charset val="1"/>
      </rPr>
      <t xml:space="preserve">) (9 nét)
   Từ ghép: </t>
    </r>
    <r>
      <rPr>
        <sz val="10"/>
        <rFont val="Noto Sans CJK SC"/>
        <family val="2"/>
      </rPr>
      <t xml:space="preserve">午後 </t>
    </r>
    <r>
      <rPr>
        <sz val="10"/>
        <rFont val="Arial"/>
        <family val="0"/>
        <charset val="1"/>
      </rPr>
      <t xml:space="preserve">(</t>
    </r>
    <r>
      <rPr>
        <sz val="10"/>
        <rFont val="Noto Sans CJK SC"/>
        <family val="2"/>
      </rPr>
      <t xml:space="preserve">ごご</t>
    </r>
    <r>
      <rPr>
        <sz val="10"/>
        <rFont val="Arial"/>
        <family val="0"/>
        <charset val="1"/>
      </rPr>
      <t xml:space="preserve">) buổi chiều </t>
    </r>
    <r>
      <rPr>
        <sz val="10"/>
        <rFont val="Noto Sans CJK SC"/>
        <family val="2"/>
      </rPr>
      <t xml:space="preserve">・ 後ろ </t>
    </r>
    <r>
      <rPr>
        <sz val="10"/>
        <rFont val="Arial"/>
        <family val="0"/>
        <charset val="1"/>
      </rPr>
      <t xml:space="preserve">(</t>
    </r>
    <r>
      <rPr>
        <sz val="10"/>
        <rFont val="Noto Sans CJK SC"/>
        <family val="2"/>
      </rPr>
      <t xml:space="preserve">うしろ</t>
    </r>
    <r>
      <rPr>
        <sz val="10"/>
        <rFont val="Arial"/>
        <family val="0"/>
        <charset val="1"/>
      </rPr>
      <t xml:space="preserve">) phía sau </t>
    </r>
    <r>
      <rPr>
        <sz val="10"/>
        <rFont val="Noto Sans CJK SC"/>
        <family val="2"/>
      </rPr>
      <t xml:space="preserve">・ 最後 </t>
    </r>
    <r>
      <rPr>
        <sz val="10"/>
        <rFont val="Arial"/>
        <family val="0"/>
        <charset val="1"/>
      </rPr>
      <t xml:space="preserve">(</t>
    </r>
    <r>
      <rPr>
        <sz val="10"/>
        <rFont val="Noto Sans CJK SC"/>
        <family val="2"/>
      </rPr>
      <t xml:space="preserve">さいご</t>
    </r>
    <r>
      <rPr>
        <sz val="10"/>
        <rFont val="Arial"/>
        <family val="0"/>
        <charset val="1"/>
      </rPr>
      <t xml:space="preserve">) cuối cùng
   Mẹo: Bộ </t>
    </r>
    <r>
      <rPr>
        <sz val="10"/>
        <rFont val="Noto Sans CJK SC"/>
        <family val="2"/>
      </rPr>
      <t xml:space="preserve">彳 </t>
    </r>
    <r>
      <rPr>
        <sz val="10"/>
        <rFont val="Arial"/>
        <family val="0"/>
        <charset val="1"/>
      </rPr>
      <t xml:space="preserve">(bước đi) + phần dưới là sợi dây buộc chân = bước chậm nên bị tụt lại phía SAU.
• </t>
    </r>
    <r>
      <rPr>
        <sz val="10"/>
        <rFont val="Noto Sans CJK SC"/>
        <family val="2"/>
      </rPr>
      <t xml:space="preserve">前 </t>
    </r>
    <r>
      <rPr>
        <sz val="10"/>
        <rFont val="Arial"/>
        <family val="0"/>
        <charset val="1"/>
      </rPr>
      <t xml:space="preserve">[TIỀN] Trước, phía trước — On: </t>
    </r>
    <r>
      <rPr>
        <sz val="10"/>
        <rFont val="Noto Sans CJK SC"/>
        <family val="2"/>
      </rPr>
      <t xml:space="preserve">ゼン </t>
    </r>
    <r>
      <rPr>
        <sz val="10"/>
        <rFont val="Arial"/>
        <family val="0"/>
        <charset val="1"/>
      </rPr>
      <t xml:space="preserve">/ Kun: </t>
    </r>
    <r>
      <rPr>
        <sz val="10"/>
        <rFont val="Noto Sans CJK SC"/>
        <family val="2"/>
      </rPr>
      <t xml:space="preserve">まえ </t>
    </r>
    <r>
      <rPr>
        <sz val="10"/>
        <rFont val="Arial"/>
        <family val="0"/>
        <charset val="1"/>
      </rPr>
      <t xml:space="preserve">(9 nét)
   Từ ghép: </t>
    </r>
    <r>
      <rPr>
        <sz val="10"/>
        <rFont val="Noto Sans CJK SC"/>
        <family val="2"/>
      </rPr>
      <t xml:space="preserve">午前 </t>
    </r>
    <r>
      <rPr>
        <sz val="10"/>
        <rFont val="Arial"/>
        <family val="0"/>
        <charset val="1"/>
      </rPr>
      <t xml:space="preserve">(</t>
    </r>
    <r>
      <rPr>
        <sz val="10"/>
        <rFont val="Noto Sans CJK SC"/>
        <family val="2"/>
      </rPr>
      <t xml:space="preserve">ごぜん</t>
    </r>
    <r>
      <rPr>
        <sz val="10"/>
        <rFont val="Arial"/>
        <family val="0"/>
        <charset val="1"/>
      </rPr>
      <t xml:space="preserve">) buổi sáng </t>
    </r>
    <r>
      <rPr>
        <sz val="10"/>
        <rFont val="Noto Sans CJK SC"/>
        <family val="2"/>
      </rPr>
      <t xml:space="preserve">・ 前 </t>
    </r>
    <r>
      <rPr>
        <sz val="10"/>
        <rFont val="Arial"/>
        <family val="0"/>
        <charset val="1"/>
      </rPr>
      <t xml:space="preserve">(</t>
    </r>
    <r>
      <rPr>
        <sz val="10"/>
        <rFont val="Noto Sans CJK SC"/>
        <family val="2"/>
      </rPr>
      <t xml:space="preserve">まえ</t>
    </r>
    <r>
      <rPr>
        <sz val="10"/>
        <rFont val="Arial"/>
        <family val="0"/>
        <charset val="1"/>
      </rPr>
      <t xml:space="preserve">) phía trước </t>
    </r>
    <r>
      <rPr>
        <sz val="10"/>
        <rFont val="Noto Sans CJK SC"/>
        <family val="2"/>
      </rPr>
      <t xml:space="preserve">・ 名前 </t>
    </r>
    <r>
      <rPr>
        <sz val="10"/>
        <rFont val="Arial"/>
        <family val="0"/>
        <charset val="1"/>
      </rPr>
      <t xml:space="preserve">(</t>
    </r>
    <r>
      <rPr>
        <sz val="10"/>
        <rFont val="Noto Sans CJK SC"/>
        <family val="2"/>
      </rPr>
      <t xml:space="preserve">なまえ</t>
    </r>
    <r>
      <rPr>
        <sz val="10"/>
        <rFont val="Arial"/>
        <family val="0"/>
        <charset val="1"/>
      </rPr>
      <t xml:space="preserve">) tên
   Mẹo: Có bộ </t>
    </r>
    <r>
      <rPr>
        <sz val="10"/>
        <rFont val="Noto Sans CJK SC"/>
        <family val="2"/>
      </rPr>
      <t xml:space="preserve">月 </t>
    </r>
    <r>
      <rPr>
        <sz val="10"/>
        <rFont val="Arial"/>
        <family val="0"/>
        <charset val="1"/>
      </rPr>
      <t xml:space="preserve">(thân thể) và </t>
    </r>
    <r>
      <rPr>
        <sz val="10"/>
        <rFont val="Noto Sans CJK SC"/>
        <family val="2"/>
      </rPr>
      <t xml:space="preserve">刀 </t>
    </r>
    <r>
      <rPr>
        <sz val="10"/>
        <rFont val="Arial"/>
        <family val="0"/>
        <charset val="1"/>
      </rPr>
      <t xml:space="preserve">(dao) — cắt móng chân cho gọn để bước TỚI TRƯỚC.</t>
    </r>
  </si>
  <si>
    <r>
      <rPr>
        <sz val="10"/>
        <rFont val="Arial"/>
        <family val="0"/>
        <charset val="1"/>
      </rPr>
      <t xml:space="preserve">Minna bài 6 (1/2) — Tân ngữ </t>
    </r>
    <r>
      <rPr>
        <sz val="10"/>
        <rFont val="Noto Sans CJK SC"/>
        <family val="2"/>
      </rPr>
      <t xml:space="preserve">を </t>
    </r>
    <r>
      <rPr>
        <sz val="10"/>
        <rFont val="Arial"/>
        <family val="0"/>
        <charset val="1"/>
      </rPr>
      <t xml:space="preserve">&amp; Rủ rê
• N </t>
    </r>
    <r>
      <rPr>
        <sz val="10"/>
        <rFont val="Noto Sans CJK SC"/>
        <family val="2"/>
      </rPr>
      <t xml:space="preserve">を </t>
    </r>
    <r>
      <rPr>
        <sz val="10"/>
        <rFont val="Arial"/>
        <family val="0"/>
        <charset val="1"/>
      </rPr>
      <t xml:space="preserve">V  (</t>
    </r>
    <r>
      <rPr>
        <sz val="10"/>
        <rFont val="Noto Sans CJK SC"/>
        <family val="2"/>
      </rPr>
      <t xml:space="preserve">を </t>
    </r>
    <r>
      <rPr>
        <sz val="10"/>
        <rFont val="Arial"/>
        <family val="0"/>
        <charset val="1"/>
      </rPr>
      <t xml:space="preserve">là trợ từ đánh dấu tân ngữ — vật chịu tác động của động từ.)
   Ví dụ: </t>
    </r>
    <r>
      <rPr>
        <sz val="10"/>
        <rFont val="Noto Sans CJK SC"/>
        <family val="2"/>
      </rPr>
      <t xml:space="preserve">ごはんを 食べます。  </t>
    </r>
    <r>
      <rPr>
        <sz val="10"/>
        <rFont val="Arial"/>
        <family val="0"/>
        <charset val="1"/>
      </rPr>
      <t xml:space="preserve">= Tôi ăn cơm.
• N </t>
    </r>
    <r>
      <rPr>
        <sz val="10"/>
        <rFont val="Noto Sans CJK SC"/>
        <family val="2"/>
      </rPr>
      <t xml:space="preserve">を します  </t>
    </r>
    <r>
      <rPr>
        <sz val="10"/>
        <rFont val="Arial"/>
        <family val="0"/>
        <charset val="1"/>
      </rPr>
      <t xml:space="preserve">(Làm gì đó / chơi môn gì đó.)
   Ví dụ: </t>
    </r>
    <r>
      <rPr>
        <sz val="10"/>
        <rFont val="Noto Sans CJK SC"/>
        <family val="2"/>
      </rPr>
      <t xml:space="preserve">サッカーを します。  </t>
    </r>
    <r>
      <rPr>
        <sz val="10"/>
        <rFont val="Arial"/>
        <family val="0"/>
        <charset val="1"/>
      </rPr>
      <t xml:space="preserve">= Tôi chơi bóng đá.
• </t>
    </r>
    <r>
      <rPr>
        <sz val="10"/>
        <rFont val="Noto Sans CJK SC"/>
        <family val="2"/>
      </rPr>
      <t xml:space="preserve">場所 で </t>
    </r>
    <r>
      <rPr>
        <sz val="10"/>
        <rFont val="Arial"/>
        <family val="0"/>
        <charset val="1"/>
      </rPr>
      <t xml:space="preserve">V  (Làm gì TẠI nơi nào. </t>
    </r>
    <r>
      <rPr>
        <sz val="10"/>
        <rFont val="Noto Sans CJK SC"/>
        <family val="2"/>
      </rPr>
      <t xml:space="preserve">で </t>
    </r>
    <r>
      <rPr>
        <sz val="10"/>
        <rFont val="Arial"/>
        <family val="0"/>
        <charset val="1"/>
      </rPr>
      <t xml:space="preserve">chỉ nơi diễn ra hành động.)
   Ví dụ: </t>
    </r>
    <r>
      <rPr>
        <sz val="10"/>
        <rFont val="Noto Sans CJK SC"/>
        <family val="2"/>
      </rPr>
      <t xml:space="preserve">図書館で 本を 読みます。  </t>
    </r>
    <r>
      <rPr>
        <sz val="10"/>
        <rFont val="Arial"/>
        <family val="0"/>
        <charset val="1"/>
      </rPr>
      <t xml:space="preserve">= Tôi đọc sách ở thư viện.
→ Làm </t>
    </r>
    <r>
      <rPr>
        <sz val="10"/>
        <rFont val="Noto Sans CJK SC"/>
        <family val="2"/>
      </rPr>
      <t xml:space="preserve">練習</t>
    </r>
    <r>
      <rPr>
        <sz val="10"/>
        <rFont val="Arial"/>
        <family val="0"/>
        <charset val="1"/>
      </rPr>
      <t xml:space="preserve">A của bài 6 trong sách, mỗi mẫu tự đặt 3 câu.</t>
    </r>
  </si>
  <si>
    <r>
      <rPr>
        <sz val="10"/>
        <rFont val="Arial"/>
        <family val="0"/>
        <charset val="1"/>
      </rPr>
      <t xml:space="preserve">Từ mới Minna bài 6:
• </t>
    </r>
    <r>
      <rPr>
        <sz val="10"/>
        <rFont val="Noto Sans CJK SC"/>
        <family val="2"/>
      </rPr>
      <t xml:space="preserve">たべます（食べます） </t>
    </r>
    <r>
      <rPr>
        <sz val="10"/>
        <rFont val="Arial"/>
        <family val="0"/>
        <charset val="1"/>
      </rPr>
      <t xml:space="preserve">= Ăn
   Mẹo: </t>
    </r>
    <r>
      <rPr>
        <sz val="10"/>
        <rFont val="Noto Sans CJK SC"/>
        <family val="2"/>
      </rPr>
      <t xml:space="preserve">食 </t>
    </r>
    <r>
      <rPr>
        <sz val="10"/>
        <rFont val="Arial"/>
        <family val="0"/>
        <charset val="1"/>
      </rPr>
      <t xml:space="preserve">= mái che trên mâm cơm đầy.
• </t>
    </r>
    <r>
      <rPr>
        <sz val="10"/>
        <rFont val="Noto Sans CJK SC"/>
        <family val="2"/>
      </rPr>
      <t xml:space="preserve">のみます（飲みます） </t>
    </r>
    <r>
      <rPr>
        <sz val="10"/>
        <rFont val="Arial"/>
        <family val="0"/>
        <charset val="1"/>
      </rPr>
      <t xml:space="preserve">= Uống
   Mẹo: </t>
    </r>
    <r>
      <rPr>
        <sz val="10"/>
        <rFont val="Noto Sans CJK SC"/>
        <family val="2"/>
      </rPr>
      <t xml:space="preserve">飲 </t>
    </r>
    <r>
      <rPr>
        <sz val="10"/>
        <rFont val="Arial"/>
        <family val="0"/>
        <charset val="1"/>
      </rPr>
      <t xml:space="preserve">= </t>
    </r>
    <r>
      <rPr>
        <sz val="10"/>
        <rFont val="Noto Sans CJK SC"/>
        <family val="2"/>
      </rPr>
      <t xml:space="preserve">食 </t>
    </r>
    <r>
      <rPr>
        <sz val="10"/>
        <rFont val="Arial"/>
        <family val="0"/>
        <charset val="1"/>
      </rPr>
      <t xml:space="preserve">(ăn) + </t>
    </r>
    <r>
      <rPr>
        <sz val="10"/>
        <rFont val="Noto Sans CJK SC"/>
        <family val="2"/>
      </rPr>
      <t xml:space="preserve">欠 </t>
    </r>
    <r>
      <rPr>
        <sz val="10"/>
        <rFont val="Arial"/>
        <family val="0"/>
        <charset val="1"/>
      </rPr>
      <t xml:space="preserve">(há miệng) → ngửa cổ UỐNG.
• </t>
    </r>
    <r>
      <rPr>
        <sz val="10"/>
        <rFont val="Noto Sans CJK SC"/>
        <family val="2"/>
      </rPr>
      <t xml:space="preserve">すいます（吸います） </t>
    </r>
    <r>
      <rPr>
        <sz val="10"/>
        <rFont val="Arial"/>
        <family val="0"/>
        <charset val="1"/>
      </rPr>
      <t xml:space="preserve">= Hút (thuốc)
   Mẹo: </t>
    </r>
    <r>
      <rPr>
        <sz val="10"/>
        <rFont val="Noto Sans CJK SC"/>
        <family val="2"/>
      </rPr>
      <t xml:space="preserve">吸 </t>
    </r>
    <r>
      <rPr>
        <sz val="10"/>
        <rFont val="Arial"/>
        <family val="0"/>
        <charset val="1"/>
      </rPr>
      <t xml:space="preserve">có bộ </t>
    </r>
    <r>
      <rPr>
        <sz val="10"/>
        <rFont val="Noto Sans CJK SC"/>
        <family val="2"/>
      </rPr>
      <t xml:space="preserve">口 </t>
    </r>
    <r>
      <rPr>
        <sz val="10"/>
        <rFont val="Arial"/>
        <family val="0"/>
        <charset val="1"/>
      </rPr>
      <t xml:space="preserve">(miệng) → dùng miệng HÚT vào.
• </t>
    </r>
    <r>
      <rPr>
        <sz val="10"/>
        <rFont val="Noto Sans CJK SC"/>
        <family val="2"/>
      </rPr>
      <t xml:space="preserve">みます（見ます） </t>
    </r>
    <r>
      <rPr>
        <sz val="10"/>
        <rFont val="Arial"/>
        <family val="0"/>
        <charset val="1"/>
      </rPr>
      <t xml:space="preserve">= Xem, nhìn
   Mẹo: </t>
    </r>
    <r>
      <rPr>
        <sz val="10"/>
        <rFont val="Noto Sans CJK SC"/>
        <family val="2"/>
      </rPr>
      <t xml:space="preserve">見 </t>
    </r>
    <r>
      <rPr>
        <sz val="10"/>
        <rFont val="Arial"/>
        <family val="0"/>
        <charset val="1"/>
      </rPr>
      <t xml:space="preserve">= </t>
    </r>
    <r>
      <rPr>
        <sz val="10"/>
        <rFont val="Noto Sans CJK SC"/>
        <family val="2"/>
      </rPr>
      <t xml:space="preserve">目 </t>
    </r>
    <r>
      <rPr>
        <sz val="10"/>
        <rFont val="Arial"/>
        <family val="0"/>
        <charset val="1"/>
      </rPr>
      <t xml:space="preserve">(mắt) trên </t>
    </r>
    <r>
      <rPr>
        <sz val="10"/>
        <rFont val="Noto Sans CJK SC"/>
        <family val="2"/>
      </rPr>
      <t xml:space="preserve">儿 </t>
    </r>
    <r>
      <rPr>
        <sz val="10"/>
        <rFont val="Arial"/>
        <family val="0"/>
        <charset val="1"/>
      </rPr>
      <t xml:space="preserve">(chân) → mắt biết đi khắp nơi.
• </t>
    </r>
    <r>
      <rPr>
        <sz val="10"/>
        <rFont val="Noto Sans CJK SC"/>
        <family val="2"/>
      </rPr>
      <t xml:space="preserve">ききます（聞きます） </t>
    </r>
    <r>
      <rPr>
        <sz val="10"/>
        <rFont val="Arial"/>
        <family val="0"/>
        <charset val="1"/>
      </rPr>
      <t xml:space="preserve">= Nghe, hỏi
   Mẹo: </t>
    </r>
    <r>
      <rPr>
        <sz val="10"/>
        <rFont val="Noto Sans CJK SC"/>
        <family val="2"/>
      </rPr>
      <t xml:space="preserve">聞 </t>
    </r>
    <r>
      <rPr>
        <sz val="10"/>
        <rFont val="Arial"/>
        <family val="0"/>
        <charset val="1"/>
      </rPr>
      <t xml:space="preserve">= </t>
    </r>
    <r>
      <rPr>
        <sz val="10"/>
        <rFont val="Noto Sans CJK SC"/>
        <family val="2"/>
      </rPr>
      <t xml:space="preserve">耳 </t>
    </r>
    <r>
      <rPr>
        <sz val="10"/>
        <rFont val="Arial"/>
        <family val="0"/>
        <charset val="1"/>
      </rPr>
      <t xml:space="preserve">(tai) áp vào </t>
    </r>
    <r>
      <rPr>
        <sz val="10"/>
        <rFont val="Noto Sans CJK SC"/>
        <family val="2"/>
      </rPr>
      <t xml:space="preserve">門 </t>
    </r>
    <r>
      <rPr>
        <sz val="10"/>
        <rFont val="Arial"/>
        <family val="0"/>
        <charset val="1"/>
      </rPr>
      <t xml:space="preserve">(cửa) → nghe lén.
• </t>
    </r>
    <r>
      <rPr>
        <sz val="10"/>
        <rFont val="Noto Sans CJK SC"/>
        <family val="2"/>
      </rPr>
      <t xml:space="preserve">よみます（読みます） </t>
    </r>
    <r>
      <rPr>
        <sz val="10"/>
        <rFont val="Arial"/>
        <family val="0"/>
        <charset val="1"/>
      </rPr>
      <t xml:space="preserve">= Đọc
   Mẹo: </t>
    </r>
    <r>
      <rPr>
        <sz val="10"/>
        <rFont val="Noto Sans CJK SC"/>
        <family val="2"/>
      </rPr>
      <t xml:space="preserve">読 </t>
    </r>
    <r>
      <rPr>
        <sz val="10"/>
        <rFont val="Arial"/>
        <family val="0"/>
        <charset val="1"/>
      </rPr>
      <t xml:space="preserve">= </t>
    </r>
    <r>
      <rPr>
        <sz val="10"/>
        <rFont val="Noto Sans CJK SC"/>
        <family val="2"/>
      </rPr>
      <t xml:space="preserve">言 </t>
    </r>
    <r>
      <rPr>
        <sz val="10"/>
        <rFont val="Arial"/>
        <family val="0"/>
        <charset val="1"/>
      </rPr>
      <t xml:space="preserve">(nói) + </t>
    </r>
    <r>
      <rPr>
        <sz val="10"/>
        <rFont val="Noto Sans CJK SC"/>
        <family val="2"/>
      </rPr>
      <t xml:space="preserve">売 </t>
    </r>
    <r>
      <rPr>
        <sz val="10"/>
        <rFont val="Arial"/>
        <family val="0"/>
        <charset val="1"/>
      </rPr>
      <t xml:space="preserve">(bán) → đọc to lời rao hàng.
• </t>
    </r>
    <r>
      <rPr>
        <sz val="10"/>
        <rFont val="Noto Sans CJK SC"/>
        <family val="2"/>
      </rPr>
      <t xml:space="preserve">かきます（書きます） </t>
    </r>
    <r>
      <rPr>
        <sz val="10"/>
        <rFont val="Arial"/>
        <family val="0"/>
        <charset val="1"/>
      </rPr>
      <t xml:space="preserve">= Viết, vẽ
   Mẹo: </t>
    </r>
    <r>
      <rPr>
        <sz val="10"/>
        <rFont val="Noto Sans CJK SC"/>
        <family val="2"/>
      </rPr>
      <t xml:space="preserve">書 </t>
    </r>
    <r>
      <rPr>
        <sz val="10"/>
        <rFont val="Arial"/>
        <family val="0"/>
        <charset val="1"/>
      </rPr>
      <t xml:space="preserve">= tay cầm bút viết lên tờ giấy </t>
    </r>
    <r>
      <rPr>
        <sz val="10"/>
        <rFont val="Noto Sans CJK SC"/>
        <family val="2"/>
      </rPr>
      <t xml:space="preserve">日</t>
    </r>
    <r>
      <rPr>
        <sz val="10"/>
        <rFont val="Arial"/>
        <family val="0"/>
        <charset val="1"/>
      </rPr>
      <t xml:space="preserve">.
→ Đối chiếu thêm với mục </t>
    </r>
    <r>
      <rPr>
        <sz val="10"/>
        <rFont val="Noto Sans CJK SC"/>
        <family val="2"/>
      </rPr>
      <t xml:space="preserve">語彙 </t>
    </r>
    <r>
      <rPr>
        <sz val="10"/>
        <rFont val="Arial"/>
        <family val="0"/>
        <charset val="1"/>
      </rPr>
      <t xml:space="preserve">của bài 6 trong sách để bổ sung.</t>
    </r>
  </si>
  <si>
    <r>
      <rPr>
        <b val="true"/>
        <sz val="12"/>
        <color rgb="FF1F3864"/>
        <rFont val="Arial"/>
        <family val="0"/>
        <charset val="1"/>
      </rPr>
      <t xml:space="preserve">NGÀY 27  ·  Tuần 4  ·  Minna Bài 6 (2/2)  ·  Tân ngữ </t>
    </r>
    <r>
      <rPr>
        <b val="true"/>
        <sz val="12"/>
        <color rgb="FF1F3864"/>
        <rFont val="Noto Sans CJK SC"/>
        <family val="2"/>
      </rPr>
      <t xml:space="preserve">を </t>
    </r>
    <r>
      <rPr>
        <b val="true"/>
        <sz val="12"/>
        <color rgb="FF1F3864"/>
        <rFont val="Arial"/>
        <family val="0"/>
        <charset val="1"/>
      </rPr>
      <t xml:space="preserve">&amp; Rủ rê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</si>
  <si>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心 </t>
    </r>
    <r>
      <rPr>
        <sz val="10"/>
        <rFont val="Arial"/>
        <family val="0"/>
        <charset val="1"/>
      </rPr>
      <t xml:space="preserve">/ </t>
    </r>
    <r>
      <rPr>
        <sz val="10"/>
        <rFont val="Noto Sans CJK SC"/>
        <family val="2"/>
      </rPr>
      <t xml:space="preserve">忄 </t>
    </r>
    <r>
      <rPr>
        <sz val="10"/>
        <rFont val="Arial"/>
        <family val="0"/>
        <charset val="1"/>
      </rPr>
      <t xml:space="preserve">(</t>
    </r>
    <r>
      <rPr>
        <sz val="10"/>
        <rFont val="Noto Sans CJK SC"/>
        <family val="2"/>
      </rPr>
      <t xml:space="preserve">こころ </t>
    </r>
    <r>
      <rPr>
        <sz val="10"/>
        <rFont val="Arial"/>
        <family val="0"/>
        <charset val="1"/>
      </rPr>
      <t xml:space="preserve">/ </t>
    </r>
    <r>
      <rPr>
        <sz val="10"/>
        <rFont val="Noto Sans CJK SC"/>
        <family val="2"/>
      </rPr>
      <t xml:space="preserve">りっしんべん</t>
    </r>
    <r>
      <rPr>
        <sz val="10"/>
        <rFont val="Arial"/>
        <family val="0"/>
        <charset val="1"/>
      </rPr>
      <t xml:space="preserve">) = Trái tim, cảm xúc
   Mẹo nhớ: </t>
    </r>
    <r>
      <rPr>
        <sz val="10"/>
        <rFont val="Noto Sans CJK SC"/>
        <family val="2"/>
      </rPr>
      <t xml:space="preserve">忄 </t>
    </r>
    <r>
      <rPr>
        <sz val="10"/>
        <rFont val="Arial"/>
        <family val="0"/>
        <charset val="1"/>
      </rPr>
      <t xml:space="preserve">là trái tim dựng đứng bên trái
   Kanji chứa bộ này: </t>
    </r>
    <r>
      <rPr>
        <sz val="10"/>
        <rFont val="Noto Sans CJK SC"/>
        <family val="2"/>
      </rPr>
      <t xml:space="preserve">心・思・急・忙</t>
    </r>
  </si>
  <si>
    <r>
      <rPr>
        <sz val="10"/>
        <rFont val="Arial"/>
        <family val="0"/>
        <charset val="1"/>
      </rPr>
      <t xml:space="preserve">Học 2 chữ. Mỗi chữ viết tay 10 lần đúng thứ tự nét.
• </t>
    </r>
    <r>
      <rPr>
        <sz val="10"/>
        <rFont val="Noto Sans CJK SC"/>
        <family val="2"/>
      </rPr>
      <t xml:space="preserve">生 </t>
    </r>
    <r>
      <rPr>
        <sz val="10"/>
        <rFont val="Arial"/>
        <family val="0"/>
        <charset val="1"/>
      </rPr>
      <t xml:space="preserve">[SINH] Sinh, sống, tươi — On: </t>
    </r>
    <r>
      <rPr>
        <sz val="10"/>
        <rFont val="Noto Sans CJK SC"/>
        <family val="2"/>
      </rPr>
      <t xml:space="preserve">セイ・ショウ </t>
    </r>
    <r>
      <rPr>
        <sz val="10"/>
        <rFont val="Arial"/>
        <family val="0"/>
        <charset val="1"/>
      </rPr>
      <t xml:space="preserve">/ Kun: </t>
    </r>
    <r>
      <rPr>
        <sz val="10"/>
        <rFont val="Noto Sans CJK SC"/>
        <family val="2"/>
      </rPr>
      <t xml:space="preserve">い</t>
    </r>
    <r>
      <rPr>
        <sz val="10"/>
        <rFont val="Arial"/>
        <family val="0"/>
        <charset val="1"/>
      </rPr>
      <t xml:space="preserve">(</t>
    </r>
    <r>
      <rPr>
        <sz val="10"/>
        <rFont val="Noto Sans CJK SC"/>
        <family val="2"/>
      </rPr>
      <t xml:space="preserve">きる</t>
    </r>
    <r>
      <rPr>
        <sz val="10"/>
        <rFont val="Arial"/>
        <family val="0"/>
        <charset val="1"/>
      </rPr>
      <t xml:space="preserve">)</t>
    </r>
    <r>
      <rPr>
        <sz val="10"/>
        <rFont val="Noto Sans CJK SC"/>
        <family val="2"/>
      </rPr>
      <t xml:space="preserve">・う</t>
    </r>
    <r>
      <rPr>
        <sz val="10"/>
        <rFont val="Arial"/>
        <family val="0"/>
        <charset val="1"/>
      </rPr>
      <t xml:space="preserve">(</t>
    </r>
    <r>
      <rPr>
        <sz val="10"/>
        <rFont val="Noto Sans CJK SC"/>
        <family val="2"/>
      </rPr>
      <t xml:space="preserve">まれる</t>
    </r>
    <r>
      <rPr>
        <sz val="10"/>
        <rFont val="Arial"/>
        <family val="0"/>
        <charset val="1"/>
      </rPr>
      <t xml:space="preserve">)</t>
    </r>
    <r>
      <rPr>
        <sz val="10"/>
        <rFont val="Noto Sans CJK SC"/>
        <family val="2"/>
      </rPr>
      <t xml:space="preserve">・なま </t>
    </r>
    <r>
      <rPr>
        <sz val="10"/>
        <rFont val="Arial"/>
        <family val="0"/>
        <charset val="1"/>
      </rPr>
      <t xml:space="preserve">(5 nét)
   Từ ghép: </t>
    </r>
    <r>
      <rPr>
        <sz val="10"/>
        <rFont val="Noto Sans CJK SC"/>
        <family val="2"/>
      </rPr>
      <t xml:space="preserve">学生 </t>
    </r>
    <r>
      <rPr>
        <sz val="10"/>
        <rFont val="Arial"/>
        <family val="0"/>
        <charset val="1"/>
      </rPr>
      <t xml:space="preserve">(</t>
    </r>
    <r>
      <rPr>
        <sz val="10"/>
        <rFont val="Noto Sans CJK SC"/>
        <family val="2"/>
      </rPr>
      <t xml:space="preserve">がくせい</t>
    </r>
    <r>
      <rPr>
        <sz val="10"/>
        <rFont val="Arial"/>
        <family val="0"/>
        <charset val="1"/>
      </rPr>
      <t xml:space="preserve">) học sinh </t>
    </r>
    <r>
      <rPr>
        <sz val="10"/>
        <rFont val="Noto Sans CJK SC"/>
        <family val="2"/>
      </rPr>
      <t xml:space="preserve">・ 先生 </t>
    </r>
    <r>
      <rPr>
        <sz val="10"/>
        <rFont val="Arial"/>
        <family val="0"/>
        <charset val="1"/>
      </rPr>
      <t xml:space="preserve">(</t>
    </r>
    <r>
      <rPr>
        <sz val="10"/>
        <rFont val="Noto Sans CJK SC"/>
        <family val="2"/>
      </rPr>
      <t xml:space="preserve">せんせい</t>
    </r>
    <r>
      <rPr>
        <sz val="10"/>
        <rFont val="Arial"/>
        <family val="0"/>
        <charset val="1"/>
      </rPr>
      <t xml:space="preserve">) giáo viên </t>
    </r>
    <r>
      <rPr>
        <sz val="10"/>
        <rFont val="Noto Sans CJK SC"/>
        <family val="2"/>
      </rPr>
      <t xml:space="preserve">・ 生ビール </t>
    </r>
    <r>
      <rPr>
        <sz val="10"/>
        <rFont val="Arial"/>
        <family val="0"/>
        <charset val="1"/>
      </rPr>
      <t xml:space="preserve">bia tươi
   Mẹo: Mầm cây nhú lên khỏi vạch đất = SỰ SỐNG bắt đầu.
• </t>
    </r>
    <r>
      <rPr>
        <sz val="10"/>
        <rFont val="Noto Sans CJK SC"/>
        <family val="2"/>
      </rPr>
      <t xml:space="preserve">五 </t>
    </r>
    <r>
      <rPr>
        <sz val="10"/>
        <rFont val="Arial"/>
        <family val="0"/>
        <charset val="1"/>
      </rPr>
      <t xml:space="preserve">[NGŨ] Năm (5) — On: </t>
    </r>
    <r>
      <rPr>
        <sz val="10"/>
        <rFont val="Noto Sans CJK SC"/>
        <family val="2"/>
      </rPr>
      <t xml:space="preserve">ゴ </t>
    </r>
    <r>
      <rPr>
        <sz val="10"/>
        <rFont val="Arial"/>
        <family val="0"/>
        <charset val="1"/>
      </rPr>
      <t xml:space="preserve">/ Kun: </t>
    </r>
    <r>
      <rPr>
        <sz val="10"/>
        <rFont val="Noto Sans CJK SC"/>
        <family val="2"/>
      </rPr>
      <t xml:space="preserve">いつ</t>
    </r>
    <r>
      <rPr>
        <sz val="10"/>
        <rFont val="Arial"/>
        <family val="0"/>
        <charset val="1"/>
      </rPr>
      <t xml:space="preserve">(</t>
    </r>
    <r>
      <rPr>
        <sz val="10"/>
        <rFont val="Noto Sans CJK SC"/>
        <family val="2"/>
      </rPr>
      <t xml:space="preserve">つ</t>
    </r>
    <r>
      <rPr>
        <sz val="10"/>
        <rFont val="Arial"/>
        <family val="0"/>
        <charset val="1"/>
      </rPr>
      <t xml:space="preserve">) (4 nét)
   Từ ghép: </t>
    </r>
    <r>
      <rPr>
        <sz val="10"/>
        <rFont val="Noto Sans CJK SC"/>
        <family val="2"/>
      </rPr>
      <t xml:space="preserve">五つ </t>
    </r>
    <r>
      <rPr>
        <sz val="10"/>
        <rFont val="Arial"/>
        <family val="0"/>
        <charset val="1"/>
      </rPr>
      <t xml:space="preserve">(</t>
    </r>
    <r>
      <rPr>
        <sz val="10"/>
        <rFont val="Noto Sans CJK SC"/>
        <family val="2"/>
      </rPr>
      <t xml:space="preserve">いつつ</t>
    </r>
    <r>
      <rPr>
        <sz val="10"/>
        <rFont val="Arial"/>
        <family val="0"/>
        <charset val="1"/>
      </rPr>
      <t xml:space="preserve">) năm cái </t>
    </r>
    <r>
      <rPr>
        <sz val="10"/>
        <rFont val="Noto Sans CJK SC"/>
        <family val="2"/>
      </rPr>
      <t xml:space="preserve">・ 五月 </t>
    </r>
    <r>
      <rPr>
        <sz val="10"/>
        <rFont val="Arial"/>
        <family val="0"/>
        <charset val="1"/>
      </rPr>
      <t xml:space="preserve">(</t>
    </r>
    <r>
      <rPr>
        <sz val="10"/>
        <rFont val="Noto Sans CJK SC"/>
        <family val="2"/>
      </rPr>
      <t xml:space="preserve">ごがつ</t>
    </r>
    <r>
      <rPr>
        <sz val="10"/>
        <rFont val="Arial"/>
        <family val="0"/>
        <charset val="1"/>
      </rPr>
      <t xml:space="preserve">) tháng Năm </t>
    </r>
    <r>
      <rPr>
        <sz val="10"/>
        <rFont val="Noto Sans CJK SC"/>
        <family val="2"/>
      </rPr>
      <t xml:space="preserve">・ 五時 </t>
    </r>
    <r>
      <rPr>
        <sz val="10"/>
        <rFont val="Arial"/>
        <family val="0"/>
        <charset val="1"/>
      </rPr>
      <t xml:space="preserve">(</t>
    </r>
    <r>
      <rPr>
        <sz val="10"/>
        <rFont val="Noto Sans CJK SC"/>
        <family val="2"/>
      </rPr>
      <t xml:space="preserve">ごじ</t>
    </r>
    <r>
      <rPr>
        <sz val="10"/>
        <rFont val="Arial"/>
        <family val="0"/>
        <charset val="1"/>
      </rPr>
      <t xml:space="preserve">) năm giờ
   Mẹo: Hai vạch trời-đất kẹp một hình chữ Z ở giữa. Nhớ: NGŨ có hình như số 5 viết vội.</t>
    </r>
  </si>
  <si>
    <r>
      <rPr>
        <sz val="10"/>
        <rFont val="Arial"/>
        <family val="0"/>
        <charset val="1"/>
      </rPr>
      <t xml:space="preserve">Minna bài 6 (2/2) — Tân ngữ </t>
    </r>
    <r>
      <rPr>
        <sz val="10"/>
        <rFont val="Noto Sans CJK SC"/>
        <family val="2"/>
      </rPr>
      <t xml:space="preserve">を </t>
    </r>
    <r>
      <rPr>
        <sz val="10"/>
        <rFont val="Arial"/>
        <family val="0"/>
        <charset val="1"/>
      </rPr>
      <t xml:space="preserve">&amp; Rủ rê
• </t>
    </r>
    <r>
      <rPr>
        <sz val="10"/>
        <rFont val="Noto Sans CJK SC"/>
        <family val="2"/>
      </rPr>
      <t xml:space="preserve">いっしょに </t>
    </r>
    <r>
      <rPr>
        <sz val="10"/>
        <rFont val="Arial"/>
        <family val="0"/>
        <charset val="1"/>
      </rPr>
      <t xml:space="preserve">V </t>
    </r>
    <r>
      <rPr>
        <sz val="10"/>
        <rFont val="Noto Sans CJK SC"/>
        <family val="2"/>
      </rPr>
      <t xml:space="preserve">ませんか  </t>
    </r>
    <r>
      <rPr>
        <sz val="10"/>
        <rFont val="Arial"/>
        <family val="0"/>
        <charset val="1"/>
      </rPr>
      <t xml:space="preserve">(Cùng làm ~ nhé? Lời mời lịch sự, dễ từ chối.)
   Ví dụ: </t>
    </r>
    <r>
      <rPr>
        <sz val="10"/>
        <rFont val="Noto Sans CJK SC"/>
        <family val="2"/>
      </rPr>
      <t xml:space="preserve">いっしょに 昼ごはんを 食べませんか。  </t>
    </r>
    <r>
      <rPr>
        <sz val="10"/>
        <rFont val="Arial"/>
        <family val="0"/>
        <charset val="1"/>
      </rPr>
      <t xml:space="preserve">= Cùng ăn trưa nhé?
• V </t>
    </r>
    <r>
      <rPr>
        <sz val="10"/>
        <rFont val="Noto Sans CJK SC"/>
        <family val="2"/>
      </rPr>
      <t xml:space="preserve">ましょう  </t>
    </r>
    <r>
      <rPr>
        <sz val="10"/>
        <rFont val="Arial"/>
        <family val="0"/>
        <charset val="1"/>
      </rPr>
      <t xml:space="preserve">(Nào cùng làm ~. Mạnh hơn </t>
    </r>
    <r>
      <rPr>
        <sz val="10"/>
        <rFont val="Noto Sans CJK SC"/>
        <family val="2"/>
      </rPr>
      <t xml:space="preserve">ませんか</t>
    </r>
    <r>
      <rPr>
        <sz val="10"/>
        <rFont val="Arial"/>
        <family val="0"/>
        <charset val="1"/>
      </rPr>
      <t xml:space="preserve">, đã thống nhất rồi.)
   Ví dụ: </t>
    </r>
    <r>
      <rPr>
        <sz val="10"/>
        <rFont val="Noto Sans CJK SC"/>
        <family val="2"/>
      </rPr>
      <t xml:space="preserve">ちょっと 休みましょう。  </t>
    </r>
    <r>
      <rPr>
        <sz val="10"/>
        <rFont val="Arial"/>
        <family val="0"/>
        <charset val="1"/>
      </rPr>
      <t xml:space="preserve">= Nghỉ một chút nào.
→ Làm </t>
    </r>
    <r>
      <rPr>
        <sz val="10"/>
        <rFont val="Noto Sans CJK SC"/>
        <family val="2"/>
      </rPr>
      <t xml:space="preserve">練習</t>
    </r>
    <r>
      <rPr>
        <sz val="10"/>
        <rFont val="Arial"/>
        <family val="0"/>
        <charset val="1"/>
      </rPr>
      <t xml:space="preserve">A của bài 6 trong sách, mỗi mẫu tự đặt 3 câu.</t>
    </r>
  </si>
  <si>
    <r>
      <rPr>
        <sz val="10"/>
        <rFont val="Arial"/>
        <family val="0"/>
        <charset val="1"/>
      </rPr>
      <t xml:space="preserve">Từ mới Minna bài 6:
• </t>
    </r>
    <r>
      <rPr>
        <sz val="10"/>
        <rFont val="Noto Sans CJK SC"/>
        <family val="2"/>
      </rPr>
      <t xml:space="preserve">かいます（買います） </t>
    </r>
    <r>
      <rPr>
        <sz val="10"/>
        <rFont val="Arial"/>
        <family val="0"/>
        <charset val="1"/>
      </rPr>
      <t xml:space="preserve">= Mua
   Mẹo: </t>
    </r>
    <r>
      <rPr>
        <sz val="10"/>
        <rFont val="Noto Sans CJK SC"/>
        <family val="2"/>
      </rPr>
      <t xml:space="preserve">買 </t>
    </r>
    <r>
      <rPr>
        <sz val="10"/>
        <rFont val="Arial"/>
        <family val="0"/>
        <charset val="1"/>
      </rPr>
      <t xml:space="preserve">= lưới </t>
    </r>
    <r>
      <rPr>
        <sz val="10"/>
        <rFont val="Noto Sans CJK SC"/>
        <family val="2"/>
      </rPr>
      <t xml:space="preserve">罒 </t>
    </r>
    <r>
      <rPr>
        <sz val="10"/>
        <rFont val="Arial"/>
        <family val="0"/>
        <charset val="1"/>
      </rPr>
      <t xml:space="preserve">chụp lên </t>
    </r>
    <r>
      <rPr>
        <sz val="10"/>
        <rFont val="Noto Sans CJK SC"/>
        <family val="2"/>
      </rPr>
      <t xml:space="preserve">貝 </t>
    </r>
    <r>
      <rPr>
        <sz val="10"/>
        <rFont val="Arial"/>
        <family val="0"/>
        <charset val="1"/>
      </rPr>
      <t xml:space="preserve">(tiền vỏ sò) → gom tiền MUA.
• </t>
    </r>
    <r>
      <rPr>
        <sz val="10"/>
        <rFont val="Noto Sans CJK SC"/>
        <family val="2"/>
      </rPr>
      <t xml:space="preserve">します </t>
    </r>
    <r>
      <rPr>
        <sz val="10"/>
        <rFont val="Arial"/>
        <family val="0"/>
        <charset val="1"/>
      </rPr>
      <t xml:space="preserve">= Làm
   Mẹo: Động từ bất quy tắc. Ghép sau danh từ: </t>
    </r>
    <r>
      <rPr>
        <sz val="10"/>
        <rFont val="Noto Sans CJK SC"/>
        <family val="2"/>
      </rPr>
      <t xml:space="preserve">勉強します</t>
    </r>
    <r>
      <rPr>
        <sz val="10"/>
        <rFont val="Arial"/>
        <family val="0"/>
        <charset val="1"/>
      </rPr>
      <t xml:space="preserve">, </t>
    </r>
    <r>
      <rPr>
        <sz val="10"/>
        <rFont val="Noto Sans CJK SC"/>
        <family val="2"/>
      </rPr>
      <t xml:space="preserve">電話します</t>
    </r>
    <r>
      <rPr>
        <sz val="10"/>
        <rFont val="Arial"/>
        <family val="0"/>
        <charset val="1"/>
      </rPr>
      <t xml:space="preserve">.
• </t>
    </r>
    <r>
      <rPr>
        <sz val="10"/>
        <rFont val="Noto Sans CJK SC"/>
        <family val="2"/>
      </rPr>
      <t xml:space="preserve">あいます（会います） </t>
    </r>
    <r>
      <rPr>
        <sz val="10"/>
        <rFont val="Arial"/>
        <family val="0"/>
        <charset val="1"/>
      </rPr>
      <t xml:space="preserve">= Gặp
   Mẹo: </t>
    </r>
    <r>
      <rPr>
        <sz val="10"/>
        <rFont val="Noto Sans CJK SC"/>
        <family val="2"/>
      </rPr>
      <t xml:space="preserve">会 </t>
    </r>
    <r>
      <rPr>
        <sz val="10"/>
        <rFont val="Arial"/>
        <family val="0"/>
        <charset val="1"/>
      </rPr>
      <t xml:space="preserve">= mái nhà che nhiều người tụ lại. Đi với trợ từ </t>
    </r>
    <r>
      <rPr>
        <sz val="10"/>
        <rFont val="Noto Sans CJK SC"/>
        <family val="2"/>
      </rPr>
      <t xml:space="preserve">に</t>
    </r>
    <r>
      <rPr>
        <sz val="10"/>
        <rFont val="Arial"/>
        <family val="0"/>
        <charset val="1"/>
      </rPr>
      <t xml:space="preserve">: </t>
    </r>
    <r>
      <rPr>
        <sz val="10"/>
        <rFont val="Noto Sans CJK SC"/>
        <family val="2"/>
      </rPr>
      <t xml:space="preserve">友だちに 会います。
• ごはん（ご飯） </t>
    </r>
    <r>
      <rPr>
        <sz val="10"/>
        <rFont val="Arial"/>
        <family val="0"/>
        <charset val="1"/>
      </rPr>
      <t xml:space="preserve">= Cơm
   Mẹo: </t>
    </r>
    <r>
      <rPr>
        <sz val="10"/>
        <rFont val="Noto Sans CJK SC"/>
        <family val="2"/>
      </rPr>
      <t xml:space="preserve">飯 </t>
    </r>
    <r>
      <rPr>
        <sz val="10"/>
        <rFont val="Arial"/>
        <family val="0"/>
        <charset val="1"/>
      </rPr>
      <t xml:space="preserve">(PHẠN) có bộ </t>
    </r>
    <r>
      <rPr>
        <sz val="10"/>
        <rFont val="Noto Sans CJK SC"/>
        <family val="2"/>
      </rPr>
      <t xml:space="preserve">食 → </t>
    </r>
    <r>
      <rPr>
        <sz val="10"/>
        <rFont val="Arial"/>
        <family val="0"/>
        <charset val="1"/>
      </rPr>
      <t xml:space="preserve">thứ để ăn. </t>
    </r>
    <r>
      <rPr>
        <sz val="10"/>
        <rFont val="Noto Sans CJK SC"/>
        <family val="2"/>
      </rPr>
      <t xml:space="preserve">朝ご飯 </t>
    </r>
    <r>
      <rPr>
        <sz val="10"/>
        <rFont val="Arial"/>
        <family val="0"/>
        <charset val="1"/>
      </rPr>
      <t xml:space="preserve">/ </t>
    </r>
    <r>
      <rPr>
        <sz val="10"/>
        <rFont val="Noto Sans CJK SC"/>
        <family val="2"/>
      </rPr>
      <t xml:space="preserve">昼ご飯 </t>
    </r>
    <r>
      <rPr>
        <sz val="10"/>
        <rFont val="Arial"/>
        <family val="0"/>
        <charset val="1"/>
      </rPr>
      <t xml:space="preserve">/ </t>
    </r>
    <r>
      <rPr>
        <sz val="10"/>
        <rFont val="Noto Sans CJK SC"/>
        <family val="2"/>
      </rPr>
      <t xml:space="preserve">晩ご飯</t>
    </r>
    <r>
      <rPr>
        <sz val="10"/>
        <rFont val="Arial"/>
        <family val="0"/>
        <charset val="1"/>
      </rPr>
      <t xml:space="preserve">.
• </t>
    </r>
    <r>
      <rPr>
        <sz val="10"/>
        <rFont val="Noto Sans CJK SC"/>
        <family val="2"/>
      </rPr>
      <t xml:space="preserve">たまご（卵） </t>
    </r>
    <r>
      <rPr>
        <sz val="10"/>
        <rFont val="Arial"/>
        <family val="0"/>
        <charset val="1"/>
      </rPr>
      <t xml:space="preserve">= Trứng
   Mẹo: TA-MA-GO: 'ta mà gô' — quả trứng tròn gô. Kanji </t>
    </r>
    <r>
      <rPr>
        <sz val="10"/>
        <rFont val="Noto Sans CJK SC"/>
        <family val="2"/>
      </rPr>
      <t xml:space="preserve">卵 </t>
    </r>
    <r>
      <rPr>
        <sz val="10"/>
        <rFont val="Arial"/>
        <family val="0"/>
        <charset val="1"/>
      </rPr>
      <t xml:space="preserve">giống hai quả trứng có chấm.
• </t>
    </r>
    <r>
      <rPr>
        <sz val="10"/>
        <rFont val="Noto Sans CJK SC"/>
        <family val="2"/>
      </rPr>
      <t xml:space="preserve">にく（肉） </t>
    </r>
    <r>
      <rPr>
        <sz val="10"/>
        <rFont val="Arial"/>
        <family val="0"/>
        <charset val="1"/>
      </rPr>
      <t xml:space="preserve">= Thịt
   Mẹo: NHỤC = thịt. Kanji </t>
    </r>
    <r>
      <rPr>
        <sz val="10"/>
        <rFont val="Noto Sans CJK SC"/>
        <family val="2"/>
      </rPr>
      <t xml:space="preserve">肉 </t>
    </r>
    <r>
      <rPr>
        <sz val="10"/>
        <rFont val="Arial"/>
        <family val="0"/>
        <charset val="1"/>
      </rPr>
      <t xml:space="preserve">giống miếng thịt có vân mỡ bên trong.
• </t>
    </r>
    <r>
      <rPr>
        <sz val="10"/>
        <rFont val="Noto Sans CJK SC"/>
        <family val="2"/>
      </rPr>
      <t xml:space="preserve">さかな（魚） </t>
    </r>
    <r>
      <rPr>
        <sz val="10"/>
        <rFont val="Arial"/>
        <family val="0"/>
        <charset val="1"/>
      </rPr>
      <t xml:space="preserve">= Cá
   Mẹo: Kanji </t>
    </r>
    <r>
      <rPr>
        <sz val="10"/>
        <rFont val="Noto Sans CJK SC"/>
        <family val="2"/>
      </rPr>
      <t xml:space="preserve">魚</t>
    </r>
    <r>
      <rPr>
        <sz val="10"/>
        <rFont val="Arial"/>
        <family val="0"/>
        <charset val="1"/>
      </rPr>
      <t xml:space="preserve">: đầu, thân vảy, bốn chấm là đuôi xòe.
→ Đối chiếu thêm với mục </t>
    </r>
    <r>
      <rPr>
        <sz val="10"/>
        <rFont val="Noto Sans CJK SC"/>
        <family val="2"/>
      </rPr>
      <t xml:space="preserve">語彙 </t>
    </r>
    <r>
      <rPr>
        <sz val="10"/>
        <rFont val="Arial"/>
        <family val="0"/>
        <charset val="1"/>
      </rPr>
      <t xml:space="preserve">của bài 6 trong sách để bổ sung.</t>
    </r>
  </si>
  <si>
    <r>
      <rPr>
        <b val="true"/>
        <sz val="12"/>
        <color rgb="FF1F3864"/>
        <rFont val="Arial"/>
        <family val="0"/>
        <charset val="1"/>
      </rPr>
      <t xml:space="preserve">NGÀY 28  ·  Tuần 4  ·  Minna Ôn bài 4–6  ·  Ôn tập tuần 4 — Minna bài 4–6      </t>
    </r>
    <r>
      <rPr>
        <b val="true"/>
        <sz val="12"/>
        <color rgb="FF1F3864"/>
        <rFont val="Noto Sans CJK SC"/>
        <family val="2"/>
      </rPr>
      <t xml:space="preserve">〔</t>
    </r>
    <r>
      <rPr>
        <b val="true"/>
        <sz val="12"/>
        <color rgb="FF1F3864"/>
        <rFont val="Arial"/>
        <family val="0"/>
        <charset val="1"/>
      </rPr>
      <t xml:space="preserve">105 phút · 5 việc</t>
    </r>
    <r>
      <rPr>
        <b val="true"/>
        <sz val="12"/>
        <color rgb="FF1F3864"/>
        <rFont val="Noto Sans CJK SC"/>
        <family val="2"/>
      </rPr>
      <t xml:space="preserve">〕</t>
    </r>
  </si>
  <si>
    <r>
      <rPr>
        <sz val="10"/>
        <rFont val="Arial"/>
        <family val="0"/>
        <charset val="1"/>
      </rPr>
      <t xml:space="preserve">Làm phần </t>
    </r>
    <r>
      <rPr>
        <sz val="10"/>
        <rFont val="Noto Sans CJK SC"/>
        <family val="2"/>
      </rPr>
      <t xml:space="preserve">練習</t>
    </r>
    <r>
      <rPr>
        <sz val="10"/>
        <rFont val="Arial"/>
        <family val="0"/>
        <charset val="1"/>
      </rPr>
      <t xml:space="preserve">B và </t>
    </r>
    <r>
      <rPr>
        <sz val="10"/>
        <rFont val="Noto Sans CJK SC"/>
        <family val="2"/>
      </rPr>
      <t xml:space="preserve">練習</t>
    </r>
    <r>
      <rPr>
        <sz val="10"/>
        <rFont val="Arial"/>
        <family val="0"/>
        <charset val="1"/>
      </rPr>
      <t xml:space="preserve">C trong Minna bài 4–6. Sau đó tự đặt 5 câu mới.</t>
    </r>
  </si>
  <si>
    <t xml:space="preserve">Kiểm tra lại toàn bộ từ vựng Minna bài 4–6. Từ nào quên đánh dấu 'Đang học'.</t>
  </si>
  <si>
    <r>
      <rPr>
        <sz val="10"/>
        <rFont val="Arial"/>
        <family val="0"/>
        <charset val="1"/>
      </rPr>
      <t xml:space="preserve">Làm phần </t>
    </r>
    <r>
      <rPr>
        <sz val="10"/>
        <rFont val="Noto Sans CJK SC"/>
        <family val="2"/>
      </rPr>
      <t xml:space="preserve">問題 </t>
    </r>
    <r>
      <rPr>
        <sz val="10"/>
        <rFont val="Arial"/>
        <family val="0"/>
        <charset val="1"/>
      </rPr>
      <t xml:space="preserve">(nghe + đọc) cuối mỗi bài trong Minna bài 4–6. Ghi lỗi sai vào cột Ghi chú.</t>
    </r>
  </si>
  <si>
    <r>
      <rPr>
        <b val="true"/>
        <sz val="12"/>
        <color rgb="FF1F3864"/>
        <rFont val="Arial"/>
        <family val="0"/>
        <charset val="1"/>
      </rPr>
      <t xml:space="preserve">NGÀY 29  ·  Tuần 5  ·  Minna Bài 7 (1/2)  ·  Cho &amp; Nhận, Công cụ </t>
    </r>
    <r>
      <rPr>
        <b val="true"/>
        <sz val="12"/>
        <color rgb="FF1F3864"/>
        <rFont val="Noto Sans CJK SC"/>
        <family val="2"/>
      </rPr>
      <t xml:space="preserve">で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</si>
  <si>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手 </t>
    </r>
    <r>
      <rPr>
        <sz val="10"/>
        <rFont val="Arial"/>
        <family val="0"/>
        <charset val="1"/>
      </rPr>
      <t xml:space="preserve">/ </t>
    </r>
    <r>
      <rPr>
        <sz val="10"/>
        <rFont val="Noto Sans CJK SC"/>
        <family val="2"/>
      </rPr>
      <t xml:space="preserve">扌 </t>
    </r>
    <r>
      <rPr>
        <sz val="10"/>
        <rFont val="Arial"/>
        <family val="0"/>
        <charset val="1"/>
      </rPr>
      <t xml:space="preserve">(</t>
    </r>
    <r>
      <rPr>
        <sz val="10"/>
        <rFont val="Noto Sans CJK SC"/>
        <family val="2"/>
      </rPr>
      <t xml:space="preserve">て </t>
    </r>
    <r>
      <rPr>
        <sz val="10"/>
        <rFont val="Arial"/>
        <family val="0"/>
        <charset val="1"/>
      </rPr>
      <t xml:space="preserve">/ </t>
    </r>
    <r>
      <rPr>
        <sz val="10"/>
        <rFont val="Noto Sans CJK SC"/>
        <family val="2"/>
      </rPr>
      <t xml:space="preserve">てへん</t>
    </r>
    <r>
      <rPr>
        <sz val="10"/>
        <rFont val="Arial"/>
        <family val="0"/>
        <charset val="1"/>
      </rPr>
      <t xml:space="preserve">) = Tay, hành động bằng tay
   Mẹo nhớ: </t>
    </r>
    <r>
      <rPr>
        <sz val="10"/>
        <rFont val="Noto Sans CJK SC"/>
        <family val="2"/>
      </rPr>
      <t xml:space="preserve">扌 </t>
    </r>
    <r>
      <rPr>
        <sz val="10"/>
        <rFont val="Arial"/>
        <family val="0"/>
        <charset val="1"/>
      </rPr>
      <t xml:space="preserve">bàn tay đưa ra bên trái
   Kanji chứa bộ này: </t>
    </r>
    <r>
      <rPr>
        <sz val="10"/>
        <rFont val="Noto Sans CJK SC"/>
        <family val="2"/>
      </rPr>
      <t xml:space="preserve">手・持・打・指</t>
    </r>
  </si>
  <si>
    <r>
      <rPr>
        <sz val="10"/>
        <rFont val="Arial"/>
        <family val="0"/>
        <charset val="1"/>
      </rPr>
      <t xml:space="preserve">Học 2 chữ. Mỗi chữ viết tay 10 lần đúng thứ tự nét.
• </t>
    </r>
    <r>
      <rPr>
        <sz val="10"/>
        <rFont val="Noto Sans CJK SC"/>
        <family val="2"/>
      </rPr>
      <t xml:space="preserve">間 </t>
    </r>
    <r>
      <rPr>
        <sz val="10"/>
        <rFont val="Arial"/>
        <family val="0"/>
        <charset val="1"/>
      </rPr>
      <t xml:space="preserve">[GIAN] Khoảng, giữa — On: </t>
    </r>
    <r>
      <rPr>
        <sz val="10"/>
        <rFont val="Noto Sans CJK SC"/>
        <family val="2"/>
      </rPr>
      <t xml:space="preserve">カン・ケン </t>
    </r>
    <r>
      <rPr>
        <sz val="10"/>
        <rFont val="Arial"/>
        <family val="0"/>
        <charset val="1"/>
      </rPr>
      <t xml:space="preserve">/ Kun: </t>
    </r>
    <r>
      <rPr>
        <sz val="10"/>
        <rFont val="Noto Sans CJK SC"/>
        <family val="2"/>
      </rPr>
      <t xml:space="preserve">あいだ・ま </t>
    </r>
    <r>
      <rPr>
        <sz val="10"/>
        <rFont val="Arial"/>
        <family val="0"/>
        <charset val="1"/>
      </rPr>
      <t xml:space="preserve">(12 nét)
   Từ ghép: </t>
    </r>
    <r>
      <rPr>
        <sz val="10"/>
        <rFont val="Noto Sans CJK SC"/>
        <family val="2"/>
      </rPr>
      <t xml:space="preserve">時間 </t>
    </r>
    <r>
      <rPr>
        <sz val="10"/>
        <rFont val="Arial"/>
        <family val="0"/>
        <charset val="1"/>
      </rPr>
      <t xml:space="preserve">(</t>
    </r>
    <r>
      <rPr>
        <sz val="10"/>
        <rFont val="Noto Sans CJK SC"/>
        <family val="2"/>
      </rPr>
      <t xml:space="preserve">じかん</t>
    </r>
    <r>
      <rPr>
        <sz val="10"/>
        <rFont val="Arial"/>
        <family val="0"/>
        <charset val="1"/>
      </rPr>
      <t xml:space="preserve">) thời gian </t>
    </r>
    <r>
      <rPr>
        <sz val="10"/>
        <rFont val="Noto Sans CJK SC"/>
        <family val="2"/>
      </rPr>
      <t xml:space="preserve">・ 人間 </t>
    </r>
    <r>
      <rPr>
        <sz val="10"/>
        <rFont val="Arial"/>
        <family val="0"/>
        <charset val="1"/>
      </rPr>
      <t xml:space="preserve">(</t>
    </r>
    <r>
      <rPr>
        <sz val="10"/>
        <rFont val="Noto Sans CJK SC"/>
        <family val="2"/>
      </rPr>
      <t xml:space="preserve">にんげん</t>
    </r>
    <r>
      <rPr>
        <sz val="10"/>
        <rFont val="Arial"/>
        <family val="0"/>
        <charset val="1"/>
      </rPr>
      <t xml:space="preserve">) con người </t>
    </r>
    <r>
      <rPr>
        <sz val="10"/>
        <rFont val="Noto Sans CJK SC"/>
        <family val="2"/>
      </rPr>
      <t xml:space="preserve">・ 間 </t>
    </r>
    <r>
      <rPr>
        <sz val="10"/>
        <rFont val="Arial"/>
        <family val="0"/>
        <charset val="1"/>
      </rPr>
      <t xml:space="preserve">(</t>
    </r>
    <r>
      <rPr>
        <sz val="10"/>
        <rFont val="Noto Sans CJK SC"/>
        <family val="2"/>
      </rPr>
      <t xml:space="preserve">あいだ</t>
    </r>
    <r>
      <rPr>
        <sz val="10"/>
        <rFont val="Arial"/>
        <family val="0"/>
        <charset val="1"/>
      </rPr>
      <t xml:space="preserve">) khoảng giữa
   Mẹo: </t>
    </r>
    <r>
      <rPr>
        <sz val="10"/>
        <rFont val="Noto Sans CJK SC"/>
        <family val="2"/>
      </rPr>
      <t xml:space="preserve">門 </t>
    </r>
    <r>
      <rPr>
        <sz val="10"/>
        <rFont val="Arial"/>
        <family val="0"/>
        <charset val="1"/>
      </rPr>
      <t xml:space="preserve">(cánh cửa) có </t>
    </r>
    <r>
      <rPr>
        <sz val="10"/>
        <rFont val="Noto Sans CJK SC"/>
        <family val="2"/>
      </rPr>
      <t xml:space="preserve">日 </t>
    </r>
    <r>
      <rPr>
        <sz val="10"/>
        <rFont val="Arial"/>
        <family val="0"/>
        <charset val="1"/>
      </rPr>
      <t xml:space="preserve">(mặt trời) lọt vào giữa = ánh nắng lách qua KHE HỞ giữa hai cánh cửa.
• </t>
    </r>
    <r>
      <rPr>
        <sz val="10"/>
        <rFont val="Noto Sans CJK SC"/>
        <family val="2"/>
      </rPr>
      <t xml:space="preserve">上 </t>
    </r>
    <r>
      <rPr>
        <sz val="10"/>
        <rFont val="Arial"/>
        <family val="0"/>
        <charset val="1"/>
      </rPr>
      <t xml:space="preserve">[THƯỢNG] Trên, lên — On: </t>
    </r>
    <r>
      <rPr>
        <sz val="10"/>
        <rFont val="Noto Sans CJK SC"/>
        <family val="2"/>
      </rPr>
      <t xml:space="preserve">ジョウ </t>
    </r>
    <r>
      <rPr>
        <sz val="10"/>
        <rFont val="Arial"/>
        <family val="0"/>
        <charset val="1"/>
      </rPr>
      <t xml:space="preserve">/ Kun: </t>
    </r>
    <r>
      <rPr>
        <sz val="10"/>
        <rFont val="Noto Sans CJK SC"/>
        <family val="2"/>
      </rPr>
      <t xml:space="preserve">うえ・あ</t>
    </r>
    <r>
      <rPr>
        <sz val="10"/>
        <rFont val="Arial"/>
        <family val="0"/>
        <charset val="1"/>
      </rPr>
      <t xml:space="preserve">(</t>
    </r>
    <r>
      <rPr>
        <sz val="10"/>
        <rFont val="Noto Sans CJK SC"/>
        <family val="2"/>
      </rPr>
      <t xml:space="preserve">がる</t>
    </r>
    <r>
      <rPr>
        <sz val="10"/>
        <rFont val="Arial"/>
        <family val="0"/>
        <charset val="1"/>
      </rPr>
      <t xml:space="preserve">)</t>
    </r>
    <r>
      <rPr>
        <sz val="10"/>
        <rFont val="Noto Sans CJK SC"/>
        <family val="2"/>
      </rPr>
      <t xml:space="preserve">・のぼ</t>
    </r>
    <r>
      <rPr>
        <sz val="10"/>
        <rFont val="Arial"/>
        <family val="0"/>
        <charset val="1"/>
      </rPr>
      <t xml:space="preserve">(</t>
    </r>
    <r>
      <rPr>
        <sz val="10"/>
        <rFont val="Noto Sans CJK SC"/>
        <family val="2"/>
      </rPr>
      <t xml:space="preserve">る</t>
    </r>
    <r>
      <rPr>
        <sz val="10"/>
        <rFont val="Arial"/>
        <family val="0"/>
        <charset val="1"/>
      </rPr>
      <t xml:space="preserve">) (3 nét)
   Từ ghép: </t>
    </r>
    <r>
      <rPr>
        <sz val="10"/>
        <rFont val="Noto Sans CJK SC"/>
        <family val="2"/>
      </rPr>
      <t xml:space="preserve">上 </t>
    </r>
    <r>
      <rPr>
        <sz val="10"/>
        <rFont val="Arial"/>
        <family val="0"/>
        <charset val="1"/>
      </rPr>
      <t xml:space="preserve">(</t>
    </r>
    <r>
      <rPr>
        <sz val="10"/>
        <rFont val="Noto Sans CJK SC"/>
        <family val="2"/>
      </rPr>
      <t xml:space="preserve">うえ</t>
    </r>
    <r>
      <rPr>
        <sz val="10"/>
        <rFont val="Arial"/>
        <family val="0"/>
        <charset val="1"/>
      </rPr>
      <t xml:space="preserve">) bên trên </t>
    </r>
    <r>
      <rPr>
        <sz val="10"/>
        <rFont val="Noto Sans CJK SC"/>
        <family val="2"/>
      </rPr>
      <t xml:space="preserve">・ 上手 </t>
    </r>
    <r>
      <rPr>
        <sz val="10"/>
        <rFont val="Arial"/>
        <family val="0"/>
        <charset val="1"/>
      </rPr>
      <t xml:space="preserve">(</t>
    </r>
    <r>
      <rPr>
        <sz val="10"/>
        <rFont val="Noto Sans CJK SC"/>
        <family val="2"/>
      </rPr>
      <t xml:space="preserve">じょうず</t>
    </r>
    <r>
      <rPr>
        <sz val="10"/>
        <rFont val="Arial"/>
        <family val="0"/>
        <charset val="1"/>
      </rPr>
      <t xml:space="preserve">) giỏi </t>
    </r>
    <r>
      <rPr>
        <sz val="10"/>
        <rFont val="Noto Sans CJK SC"/>
        <family val="2"/>
      </rPr>
      <t xml:space="preserve">・ 上着 </t>
    </r>
    <r>
      <rPr>
        <sz val="10"/>
        <rFont val="Arial"/>
        <family val="0"/>
        <charset val="1"/>
      </rPr>
      <t xml:space="preserve">(</t>
    </r>
    <r>
      <rPr>
        <sz val="10"/>
        <rFont val="Noto Sans CJK SC"/>
        <family val="2"/>
      </rPr>
      <t xml:space="preserve">うわぎ</t>
    </r>
    <r>
      <rPr>
        <sz val="10"/>
        <rFont val="Arial"/>
        <family val="0"/>
        <charset val="1"/>
      </rPr>
      <t xml:space="preserve">) áo khoác
   Mẹo: Một vạch mốc, có nét nhô LÊN phía trên. Ngược lại hoàn toàn với </t>
    </r>
    <r>
      <rPr>
        <sz val="10"/>
        <rFont val="Noto Sans CJK SC"/>
        <family val="2"/>
      </rPr>
      <t xml:space="preserve">下</t>
    </r>
    <r>
      <rPr>
        <sz val="10"/>
        <rFont val="Arial"/>
        <family val="0"/>
        <charset val="1"/>
      </rPr>
      <t xml:space="preserve">.</t>
    </r>
  </si>
  <si>
    <r>
      <rPr>
        <sz val="10"/>
        <rFont val="Arial"/>
        <family val="0"/>
        <charset val="1"/>
      </rPr>
      <t xml:space="preserve">Minna bài 7 (1/2) — Cho &amp; Nhận, Công cụ </t>
    </r>
    <r>
      <rPr>
        <sz val="10"/>
        <rFont val="Noto Sans CJK SC"/>
        <family val="2"/>
      </rPr>
      <t xml:space="preserve">で
• 道具 で </t>
    </r>
    <r>
      <rPr>
        <sz val="10"/>
        <rFont val="Arial"/>
        <family val="0"/>
        <charset val="1"/>
      </rPr>
      <t xml:space="preserve">V  (Làm gì BẰNG công cụ / phương tiện gì.)
   Ví dụ: </t>
    </r>
    <r>
      <rPr>
        <sz val="10"/>
        <rFont val="Noto Sans CJK SC"/>
        <family val="2"/>
      </rPr>
      <t xml:space="preserve">はしで 食べます。  </t>
    </r>
    <r>
      <rPr>
        <sz val="10"/>
        <rFont val="Arial"/>
        <family val="0"/>
        <charset val="1"/>
      </rPr>
      <t xml:space="preserve">= Tôi ăn bằng đũa.
• N </t>
    </r>
    <r>
      <rPr>
        <sz val="10"/>
        <rFont val="Noto Sans CJK SC"/>
        <family val="2"/>
      </rPr>
      <t xml:space="preserve">を あげます  </t>
    </r>
    <r>
      <rPr>
        <sz val="10"/>
        <rFont val="Arial"/>
        <family val="0"/>
        <charset val="1"/>
      </rPr>
      <t xml:space="preserve">(Cho, tặng (từ tôi → người khác). Không dùng khi người nhận là cấp trên.)
   Ví dụ: </t>
    </r>
    <r>
      <rPr>
        <sz val="10"/>
        <rFont val="Noto Sans CJK SC"/>
        <family val="2"/>
      </rPr>
      <t xml:space="preserve">友だちに 花を あげました。  </t>
    </r>
    <r>
      <rPr>
        <sz val="10"/>
        <rFont val="Arial"/>
        <family val="0"/>
        <charset val="1"/>
      </rPr>
      <t xml:space="preserve">= Tôi đã tặng hoa cho bạn.
• N </t>
    </r>
    <r>
      <rPr>
        <sz val="10"/>
        <rFont val="Noto Sans CJK SC"/>
        <family val="2"/>
      </rPr>
      <t xml:space="preserve">を もらいます  </t>
    </r>
    <r>
      <rPr>
        <sz val="10"/>
        <rFont val="Arial"/>
        <family val="0"/>
        <charset val="1"/>
      </rPr>
      <t xml:space="preserve">(Nhận được (từ ai đó → tôi).)
   Ví dụ: </t>
    </r>
    <r>
      <rPr>
        <sz val="10"/>
        <rFont val="Noto Sans CJK SC"/>
        <family val="2"/>
      </rPr>
      <t xml:space="preserve">山田さんに 本を もらいました。  </t>
    </r>
    <r>
      <rPr>
        <sz val="10"/>
        <rFont val="Arial"/>
        <family val="0"/>
        <charset val="1"/>
      </rPr>
      <t xml:space="preserve">= Tôi đã nhận sách từ anh Yamada.
→ Làm </t>
    </r>
    <r>
      <rPr>
        <sz val="10"/>
        <rFont val="Noto Sans CJK SC"/>
        <family val="2"/>
      </rPr>
      <t xml:space="preserve">練習</t>
    </r>
    <r>
      <rPr>
        <sz val="10"/>
        <rFont val="Arial"/>
        <family val="0"/>
        <charset val="1"/>
      </rPr>
      <t xml:space="preserve">A của bài 7 trong sách, mỗi mẫu tự đặt 3 câu.</t>
    </r>
  </si>
  <si>
    <r>
      <rPr>
        <sz val="10"/>
        <rFont val="Arial"/>
        <family val="0"/>
        <charset val="1"/>
      </rPr>
      <t xml:space="preserve">Từ mới Minna bài 7:
• </t>
    </r>
    <r>
      <rPr>
        <sz val="10"/>
        <rFont val="Noto Sans CJK SC"/>
        <family val="2"/>
      </rPr>
      <t xml:space="preserve">あげます </t>
    </r>
    <r>
      <rPr>
        <sz val="10"/>
        <rFont val="Arial"/>
        <family val="0"/>
        <charset val="1"/>
      </rPr>
      <t xml:space="preserve">= Cho, tặng
   Mẹo: A-GE: 'a, ghê' — tặng món quà ghê gớm. Hướng: TÔI → NGƯỜI KHÁC.
• </t>
    </r>
    <r>
      <rPr>
        <sz val="10"/>
        <rFont val="Noto Sans CJK SC"/>
        <family val="2"/>
      </rPr>
      <t xml:space="preserve">もらいます </t>
    </r>
    <r>
      <rPr>
        <sz val="10"/>
        <rFont val="Arial"/>
        <family val="0"/>
        <charset val="1"/>
      </rPr>
      <t xml:space="preserve">= Nhận được
   Mẹo: MO-RA-I: 'mở ra i' — mở món quà nhận được. Hướng: NGƯỜI KHÁC → TÔI.
• </t>
    </r>
    <r>
      <rPr>
        <sz val="10"/>
        <rFont val="Noto Sans CJK SC"/>
        <family val="2"/>
      </rPr>
      <t xml:space="preserve">かします（貸します） </t>
    </r>
    <r>
      <rPr>
        <sz val="10"/>
        <rFont val="Arial"/>
        <family val="0"/>
        <charset val="1"/>
      </rPr>
      <t xml:space="preserve">= Cho mượn
   Mẹo: </t>
    </r>
    <r>
      <rPr>
        <sz val="10"/>
        <rFont val="Noto Sans CJK SC"/>
        <family val="2"/>
      </rPr>
      <t xml:space="preserve">貸 </t>
    </r>
    <r>
      <rPr>
        <sz val="10"/>
        <rFont val="Arial"/>
        <family val="0"/>
        <charset val="1"/>
      </rPr>
      <t xml:space="preserve">có </t>
    </r>
    <r>
      <rPr>
        <sz val="10"/>
        <rFont val="Noto Sans CJK SC"/>
        <family val="2"/>
      </rPr>
      <t xml:space="preserve">貝 </t>
    </r>
    <r>
      <rPr>
        <sz val="10"/>
        <rFont val="Arial"/>
        <family val="0"/>
        <charset val="1"/>
      </rPr>
      <t xml:space="preserve">(tiền) → đưa tiền/đồ cho người khác dùng tạm.
• </t>
    </r>
    <r>
      <rPr>
        <sz val="10"/>
        <rFont val="Noto Sans CJK SC"/>
        <family val="2"/>
      </rPr>
      <t xml:space="preserve">かります（借ります） </t>
    </r>
    <r>
      <rPr>
        <sz val="10"/>
        <rFont val="Arial"/>
        <family val="0"/>
        <charset val="1"/>
      </rPr>
      <t xml:space="preserve">= Mượn
   Mẹo: </t>
    </r>
    <r>
      <rPr>
        <sz val="10"/>
        <rFont val="Noto Sans CJK SC"/>
        <family val="2"/>
      </rPr>
      <t xml:space="preserve">借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昔 </t>
    </r>
    <r>
      <rPr>
        <sz val="10"/>
        <rFont val="Arial"/>
        <family val="0"/>
        <charset val="1"/>
      </rPr>
      <t xml:space="preserve">(ngày xưa) → mượn rồi hẹn ngày trả.
• </t>
    </r>
    <r>
      <rPr>
        <sz val="10"/>
        <rFont val="Noto Sans CJK SC"/>
        <family val="2"/>
      </rPr>
      <t xml:space="preserve">おしえます（教えます） </t>
    </r>
    <r>
      <rPr>
        <sz val="10"/>
        <rFont val="Arial"/>
        <family val="0"/>
        <charset val="1"/>
      </rPr>
      <t xml:space="preserve">= Dạy
   Mẹo: </t>
    </r>
    <r>
      <rPr>
        <sz val="10"/>
        <rFont val="Noto Sans CJK SC"/>
        <family val="2"/>
      </rPr>
      <t xml:space="preserve">教 </t>
    </r>
    <r>
      <rPr>
        <sz val="10"/>
        <rFont val="Arial"/>
        <family val="0"/>
        <charset val="1"/>
      </rPr>
      <t xml:space="preserve">(GIÁO) = dạy. Cùng gốc với </t>
    </r>
    <r>
      <rPr>
        <sz val="10"/>
        <rFont val="Noto Sans CJK SC"/>
        <family val="2"/>
      </rPr>
      <t xml:space="preserve">教室 </t>
    </r>
    <r>
      <rPr>
        <sz val="10"/>
        <rFont val="Arial"/>
        <family val="0"/>
        <charset val="1"/>
      </rPr>
      <t xml:space="preserve">(phòng học) đã học.
• </t>
    </r>
    <r>
      <rPr>
        <sz val="10"/>
        <rFont val="Noto Sans CJK SC"/>
        <family val="2"/>
      </rPr>
      <t xml:space="preserve">ならいます（習います） </t>
    </r>
    <r>
      <rPr>
        <sz val="10"/>
        <rFont val="Arial"/>
        <family val="0"/>
        <charset val="1"/>
      </rPr>
      <t xml:space="preserve">= Học (từ ai đó)
   Mẹo: </t>
    </r>
    <r>
      <rPr>
        <sz val="10"/>
        <rFont val="Noto Sans CJK SC"/>
        <family val="2"/>
      </rPr>
      <t xml:space="preserve">習 </t>
    </r>
    <r>
      <rPr>
        <sz val="10"/>
        <rFont val="Arial"/>
        <family val="0"/>
        <charset val="1"/>
      </rPr>
      <t xml:space="preserve">= </t>
    </r>
    <r>
      <rPr>
        <sz val="10"/>
        <rFont val="Noto Sans CJK SC"/>
        <family val="2"/>
      </rPr>
      <t xml:space="preserve">羽 </t>
    </r>
    <r>
      <rPr>
        <sz val="10"/>
        <rFont val="Arial"/>
        <family val="0"/>
        <charset val="1"/>
      </rPr>
      <t xml:space="preserve">(lông vũ) + </t>
    </r>
    <r>
      <rPr>
        <sz val="10"/>
        <rFont val="Noto Sans CJK SC"/>
        <family val="2"/>
      </rPr>
      <t xml:space="preserve">白 → </t>
    </r>
    <r>
      <rPr>
        <sz val="10"/>
        <rFont val="Arial"/>
        <family val="0"/>
        <charset val="1"/>
      </rPr>
      <t xml:space="preserve">chim non tập bay, lặp đi lặp lại.
• </t>
    </r>
    <r>
      <rPr>
        <sz val="10"/>
        <rFont val="Noto Sans CJK SC"/>
        <family val="2"/>
      </rPr>
      <t xml:space="preserve">かけます </t>
    </r>
    <r>
      <rPr>
        <sz val="10"/>
        <rFont val="Arial"/>
        <family val="0"/>
        <charset val="1"/>
      </rPr>
      <t xml:space="preserve">= Gọi (điện thoại)
   Mẹo: </t>
    </r>
    <r>
      <rPr>
        <sz val="10"/>
        <rFont val="Noto Sans CJK SC"/>
        <family val="2"/>
      </rPr>
      <t xml:space="preserve">電話を かけます — </t>
    </r>
    <r>
      <rPr>
        <sz val="10"/>
        <rFont val="Arial"/>
        <family val="0"/>
        <charset val="1"/>
      </rPr>
      <t xml:space="preserve">'treo' cuộc gọi lên đường dây.
→ Đối chiếu thêm với mục </t>
    </r>
    <r>
      <rPr>
        <sz val="10"/>
        <rFont val="Noto Sans CJK SC"/>
        <family val="2"/>
      </rPr>
      <t xml:space="preserve">語彙 </t>
    </r>
    <r>
      <rPr>
        <sz val="10"/>
        <rFont val="Arial"/>
        <family val="0"/>
        <charset val="1"/>
      </rPr>
      <t xml:space="preserve">của bài 7 trong sách để bổ sung.</t>
    </r>
  </si>
  <si>
    <r>
      <rPr>
        <b val="true"/>
        <sz val="12"/>
        <color rgb="FF1F3864"/>
        <rFont val="Arial"/>
        <family val="0"/>
        <charset val="1"/>
      </rPr>
      <t xml:space="preserve">NGÀY 30  ·  Tuần 5  ·  Minna Bài 7 (2/2)  ·  Cho &amp; Nhận, Công cụ </t>
    </r>
    <r>
      <rPr>
        <b val="true"/>
        <sz val="12"/>
        <color rgb="FF1F3864"/>
        <rFont val="Noto Sans CJK SC"/>
        <family val="2"/>
      </rPr>
      <t xml:space="preserve">で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</si>
  <si>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目 </t>
    </r>
    <r>
      <rPr>
        <sz val="10"/>
        <rFont val="Arial"/>
        <family val="0"/>
        <charset val="1"/>
      </rPr>
      <t xml:space="preserve">(</t>
    </r>
    <r>
      <rPr>
        <sz val="10"/>
        <rFont val="Noto Sans CJK SC"/>
        <family val="2"/>
      </rPr>
      <t xml:space="preserve">め </t>
    </r>
    <r>
      <rPr>
        <sz val="10"/>
        <rFont val="Arial"/>
        <family val="0"/>
        <charset val="1"/>
      </rPr>
      <t xml:space="preserve">/ </t>
    </r>
    <r>
      <rPr>
        <sz val="10"/>
        <rFont val="Noto Sans CJK SC"/>
        <family val="2"/>
      </rPr>
      <t xml:space="preserve">めへん</t>
    </r>
    <r>
      <rPr>
        <sz val="10"/>
        <rFont val="Arial"/>
        <family val="0"/>
        <charset val="1"/>
      </rPr>
      <t xml:space="preserve">) = Mắt, nhìn
   Mẹo nhớ: Con mắt dựng đứng lên
   Kanji chứa bộ này: </t>
    </r>
    <r>
      <rPr>
        <sz val="10"/>
        <rFont val="Noto Sans CJK SC"/>
        <family val="2"/>
      </rPr>
      <t xml:space="preserve">目・見・直・眠</t>
    </r>
  </si>
  <si>
    <r>
      <rPr>
        <sz val="10"/>
        <rFont val="Arial"/>
        <family val="0"/>
        <charset val="1"/>
      </rPr>
      <t xml:space="preserve">Học 2 chữ. Mỗi chữ viết tay 10 lần đúng thứ tự nét.
• </t>
    </r>
    <r>
      <rPr>
        <sz val="10"/>
        <rFont val="Noto Sans CJK SC"/>
        <family val="2"/>
      </rPr>
      <t xml:space="preserve">東 </t>
    </r>
    <r>
      <rPr>
        <sz val="10"/>
        <rFont val="Arial"/>
        <family val="0"/>
        <charset val="1"/>
      </rPr>
      <t xml:space="preserve">[ĐÔNG] Hướng đông — On: </t>
    </r>
    <r>
      <rPr>
        <sz val="10"/>
        <rFont val="Noto Sans CJK SC"/>
        <family val="2"/>
      </rPr>
      <t xml:space="preserve">トウ </t>
    </r>
    <r>
      <rPr>
        <sz val="10"/>
        <rFont val="Arial"/>
        <family val="0"/>
        <charset val="1"/>
      </rPr>
      <t xml:space="preserve">/ Kun: </t>
    </r>
    <r>
      <rPr>
        <sz val="10"/>
        <rFont val="Noto Sans CJK SC"/>
        <family val="2"/>
      </rPr>
      <t xml:space="preserve">ひがし </t>
    </r>
    <r>
      <rPr>
        <sz val="10"/>
        <rFont val="Arial"/>
        <family val="0"/>
        <charset val="1"/>
      </rPr>
      <t xml:space="preserve">(8 nét)
   Từ ghép: </t>
    </r>
    <r>
      <rPr>
        <sz val="10"/>
        <rFont val="Noto Sans CJK SC"/>
        <family val="2"/>
      </rPr>
      <t xml:space="preserve">東京 </t>
    </r>
    <r>
      <rPr>
        <sz val="10"/>
        <rFont val="Arial"/>
        <family val="0"/>
        <charset val="1"/>
      </rPr>
      <t xml:space="preserve">(</t>
    </r>
    <r>
      <rPr>
        <sz val="10"/>
        <rFont val="Noto Sans CJK SC"/>
        <family val="2"/>
      </rPr>
      <t xml:space="preserve">とうきょう</t>
    </r>
    <r>
      <rPr>
        <sz val="10"/>
        <rFont val="Arial"/>
        <family val="0"/>
        <charset val="1"/>
      </rPr>
      <t xml:space="preserve">) Tokyo </t>
    </r>
    <r>
      <rPr>
        <sz val="10"/>
        <rFont val="Noto Sans CJK SC"/>
        <family val="2"/>
      </rPr>
      <t xml:space="preserve">・ 東 </t>
    </r>
    <r>
      <rPr>
        <sz val="10"/>
        <rFont val="Arial"/>
        <family val="0"/>
        <charset val="1"/>
      </rPr>
      <t xml:space="preserve">(</t>
    </r>
    <r>
      <rPr>
        <sz val="10"/>
        <rFont val="Noto Sans CJK SC"/>
        <family val="2"/>
      </rPr>
      <t xml:space="preserve">ひがし</t>
    </r>
    <r>
      <rPr>
        <sz val="10"/>
        <rFont val="Arial"/>
        <family val="0"/>
        <charset val="1"/>
      </rPr>
      <t xml:space="preserve">) hướng đông </t>
    </r>
    <r>
      <rPr>
        <sz val="10"/>
        <rFont val="Noto Sans CJK SC"/>
        <family val="2"/>
      </rPr>
      <t xml:space="preserve">・ 東口 </t>
    </r>
    <r>
      <rPr>
        <sz val="10"/>
        <rFont val="Arial"/>
        <family val="0"/>
        <charset val="1"/>
      </rPr>
      <t xml:space="preserve">(</t>
    </r>
    <r>
      <rPr>
        <sz val="10"/>
        <rFont val="Noto Sans CJK SC"/>
        <family val="2"/>
      </rPr>
      <t xml:space="preserve">ひがしぐち</t>
    </r>
    <r>
      <rPr>
        <sz val="10"/>
        <rFont val="Arial"/>
        <family val="0"/>
        <charset val="1"/>
      </rPr>
      <t xml:space="preserve">) cửa đông
   Mẹo: Chữ </t>
    </r>
    <r>
      <rPr>
        <sz val="10"/>
        <rFont val="Noto Sans CJK SC"/>
        <family val="2"/>
      </rPr>
      <t xml:space="preserve">日 </t>
    </r>
    <r>
      <rPr>
        <sz val="10"/>
        <rFont val="Arial"/>
        <family val="0"/>
        <charset val="1"/>
      </rPr>
      <t xml:space="preserve">(mặt trời) nằm sau chữ </t>
    </r>
    <r>
      <rPr>
        <sz val="10"/>
        <rFont val="Noto Sans CJK SC"/>
        <family val="2"/>
      </rPr>
      <t xml:space="preserve">木 </t>
    </r>
    <r>
      <rPr>
        <sz val="10"/>
        <rFont val="Arial"/>
        <family val="0"/>
        <charset val="1"/>
      </rPr>
      <t xml:space="preserve">(cây) = mặt trời mọc lên phía sau rặng cây → hướng ĐÔNG.
• </t>
    </r>
    <r>
      <rPr>
        <sz val="10"/>
        <rFont val="Noto Sans CJK SC"/>
        <family val="2"/>
      </rPr>
      <t xml:space="preserve">四 </t>
    </r>
    <r>
      <rPr>
        <sz val="10"/>
        <rFont val="Arial"/>
        <family val="0"/>
        <charset val="1"/>
      </rPr>
      <t xml:space="preserve">[TỨ] Bốn — On: </t>
    </r>
    <r>
      <rPr>
        <sz val="10"/>
        <rFont val="Noto Sans CJK SC"/>
        <family val="2"/>
      </rPr>
      <t xml:space="preserve">シ </t>
    </r>
    <r>
      <rPr>
        <sz val="10"/>
        <rFont val="Arial"/>
        <family val="0"/>
        <charset val="1"/>
      </rPr>
      <t xml:space="preserve">/ Kun: </t>
    </r>
    <r>
      <rPr>
        <sz val="10"/>
        <rFont val="Noto Sans CJK SC"/>
        <family val="2"/>
      </rPr>
      <t xml:space="preserve">よっ</t>
    </r>
    <r>
      <rPr>
        <sz val="10"/>
        <rFont val="Arial"/>
        <family val="0"/>
        <charset val="1"/>
      </rPr>
      <t xml:space="preserve">(</t>
    </r>
    <r>
      <rPr>
        <sz val="10"/>
        <rFont val="Noto Sans CJK SC"/>
        <family val="2"/>
      </rPr>
      <t xml:space="preserve">つ</t>
    </r>
    <r>
      <rPr>
        <sz val="10"/>
        <rFont val="Arial"/>
        <family val="0"/>
        <charset val="1"/>
      </rPr>
      <t xml:space="preserve">)</t>
    </r>
    <r>
      <rPr>
        <sz val="10"/>
        <rFont val="Noto Sans CJK SC"/>
        <family val="2"/>
      </rPr>
      <t xml:space="preserve">・よん </t>
    </r>
    <r>
      <rPr>
        <sz val="10"/>
        <rFont val="Arial"/>
        <family val="0"/>
        <charset val="1"/>
      </rPr>
      <t xml:space="preserve">(5 nét)
   Từ ghép: </t>
    </r>
    <r>
      <rPr>
        <sz val="10"/>
        <rFont val="Noto Sans CJK SC"/>
        <family val="2"/>
      </rPr>
      <t xml:space="preserve">四つ </t>
    </r>
    <r>
      <rPr>
        <sz val="10"/>
        <rFont val="Arial"/>
        <family val="0"/>
        <charset val="1"/>
      </rPr>
      <t xml:space="preserve">(</t>
    </r>
    <r>
      <rPr>
        <sz val="10"/>
        <rFont val="Noto Sans CJK SC"/>
        <family val="2"/>
      </rPr>
      <t xml:space="preserve">よっつ</t>
    </r>
    <r>
      <rPr>
        <sz val="10"/>
        <rFont val="Arial"/>
        <family val="0"/>
        <charset val="1"/>
      </rPr>
      <t xml:space="preserve">) bốn cái </t>
    </r>
    <r>
      <rPr>
        <sz val="10"/>
        <rFont val="Noto Sans CJK SC"/>
        <family val="2"/>
      </rPr>
      <t xml:space="preserve">・ 四月 </t>
    </r>
    <r>
      <rPr>
        <sz val="10"/>
        <rFont val="Arial"/>
        <family val="0"/>
        <charset val="1"/>
      </rPr>
      <t xml:space="preserve">(</t>
    </r>
    <r>
      <rPr>
        <sz val="10"/>
        <rFont val="Noto Sans CJK SC"/>
        <family val="2"/>
      </rPr>
      <t xml:space="preserve">しがつ</t>
    </r>
    <r>
      <rPr>
        <sz val="10"/>
        <rFont val="Arial"/>
        <family val="0"/>
        <charset val="1"/>
      </rPr>
      <t xml:space="preserve">) tháng Tư </t>
    </r>
    <r>
      <rPr>
        <sz val="10"/>
        <rFont val="Noto Sans CJK SC"/>
        <family val="2"/>
      </rPr>
      <t xml:space="preserve">・ 四時 </t>
    </r>
    <r>
      <rPr>
        <sz val="10"/>
        <rFont val="Arial"/>
        <family val="0"/>
        <charset val="1"/>
      </rPr>
      <t xml:space="preserve">(</t>
    </r>
    <r>
      <rPr>
        <sz val="10"/>
        <rFont val="Noto Sans CJK SC"/>
        <family val="2"/>
      </rPr>
      <t xml:space="preserve">よじ</t>
    </r>
    <r>
      <rPr>
        <sz val="10"/>
        <rFont val="Arial"/>
        <family val="0"/>
        <charset val="1"/>
      </rPr>
      <t xml:space="preserve">) bốn giờ
   Mẹo: Ô vuông có hai chân bên trong. Lưu ý </t>
    </r>
    <r>
      <rPr>
        <sz val="10"/>
        <rFont val="Noto Sans CJK SC"/>
        <family val="2"/>
      </rPr>
      <t xml:space="preserve">四時 </t>
    </r>
    <r>
      <rPr>
        <sz val="10"/>
        <rFont val="Arial"/>
        <family val="0"/>
        <charset val="1"/>
      </rPr>
      <t xml:space="preserve">đọc là </t>
    </r>
    <r>
      <rPr>
        <sz val="10"/>
        <rFont val="Noto Sans CJK SC"/>
        <family val="2"/>
      </rPr>
      <t xml:space="preserve">よじ</t>
    </r>
    <r>
      <rPr>
        <sz val="10"/>
        <rFont val="Arial"/>
        <family val="0"/>
        <charset val="1"/>
      </rPr>
      <t xml:space="preserve">, không phải </t>
    </r>
    <r>
      <rPr>
        <sz val="10"/>
        <rFont val="Noto Sans CJK SC"/>
        <family val="2"/>
      </rPr>
      <t xml:space="preserve">しじ</t>
    </r>
    <r>
      <rPr>
        <sz val="10"/>
        <rFont val="Arial"/>
        <family val="0"/>
        <charset val="1"/>
      </rPr>
      <t xml:space="preserve">.</t>
    </r>
  </si>
  <si>
    <r>
      <rPr>
        <sz val="10"/>
        <rFont val="Arial"/>
        <family val="0"/>
        <charset val="1"/>
      </rPr>
      <t xml:space="preserve">Minna bài 7 (2/2) — Cho &amp; Nhận, Công cụ </t>
    </r>
    <r>
      <rPr>
        <sz val="10"/>
        <rFont val="Noto Sans CJK SC"/>
        <family val="2"/>
      </rPr>
      <t xml:space="preserve">で
• もう </t>
    </r>
    <r>
      <rPr>
        <sz val="10"/>
        <rFont val="Arial"/>
        <family val="0"/>
        <charset val="1"/>
      </rPr>
      <t xml:space="preserve">V </t>
    </r>
    <r>
      <rPr>
        <sz val="10"/>
        <rFont val="Noto Sans CJK SC"/>
        <family val="2"/>
      </rPr>
      <t xml:space="preserve">ました  </t>
    </r>
    <r>
      <rPr>
        <sz val="10"/>
        <rFont val="Arial"/>
        <family val="0"/>
        <charset val="1"/>
      </rPr>
      <t xml:space="preserve">(Đã làm ~ rồi. Trả lời phủ định là </t>
    </r>
    <r>
      <rPr>
        <sz val="10"/>
        <rFont val="Noto Sans CJK SC"/>
        <family val="2"/>
      </rPr>
      <t xml:space="preserve">まだです </t>
    </r>
    <r>
      <rPr>
        <sz val="10"/>
        <rFont val="Arial"/>
        <family val="0"/>
        <charset val="1"/>
      </rPr>
      <t xml:space="preserve">(chưa).)
   Ví dụ: </t>
    </r>
    <r>
      <rPr>
        <sz val="10"/>
        <rFont val="Noto Sans CJK SC"/>
        <family val="2"/>
      </rPr>
      <t xml:space="preserve">もう 昼ごはんを 食べましたか。  </t>
    </r>
    <r>
      <rPr>
        <sz val="10"/>
        <rFont val="Arial"/>
        <family val="0"/>
        <charset val="1"/>
      </rPr>
      <t xml:space="preserve">= Bạn ăn trưa chưa?
• </t>
    </r>
    <r>
      <rPr>
        <sz val="10"/>
        <rFont val="Noto Sans CJK SC"/>
        <family val="2"/>
      </rPr>
      <t xml:space="preserve">〜語 で 何ですか  </t>
    </r>
    <r>
      <rPr>
        <sz val="10"/>
        <rFont val="Arial"/>
        <family val="0"/>
        <charset val="1"/>
      </rPr>
      <t xml:space="preserve">(Cái này tiếng ~ gọi là gì?)
   Ví dụ: </t>
    </r>
    <r>
      <rPr>
        <sz val="10"/>
        <rFont val="Noto Sans CJK SC"/>
        <family val="2"/>
      </rPr>
      <t xml:space="preserve">これは 日本語で 何ですか。  </t>
    </r>
    <r>
      <rPr>
        <sz val="10"/>
        <rFont val="Arial"/>
        <family val="0"/>
        <charset val="1"/>
      </rPr>
      <t xml:space="preserve">= Cái này tiếng Nhật gọi là gì?
→ Làm </t>
    </r>
    <r>
      <rPr>
        <sz val="10"/>
        <rFont val="Noto Sans CJK SC"/>
        <family val="2"/>
      </rPr>
      <t xml:space="preserve">練習</t>
    </r>
    <r>
      <rPr>
        <sz val="10"/>
        <rFont val="Arial"/>
        <family val="0"/>
        <charset val="1"/>
      </rPr>
      <t xml:space="preserve">A của bài 7 trong sách, mỗi mẫu tự đặt 3 câu.</t>
    </r>
  </si>
  <si>
    <r>
      <rPr>
        <sz val="10"/>
        <rFont val="Arial"/>
        <family val="0"/>
        <charset val="1"/>
      </rPr>
      <t xml:space="preserve">Từ mới Minna bài 7:
• </t>
    </r>
    <r>
      <rPr>
        <sz val="10"/>
        <rFont val="Noto Sans CJK SC"/>
        <family val="2"/>
      </rPr>
      <t xml:space="preserve">て（手） </t>
    </r>
    <r>
      <rPr>
        <sz val="10"/>
        <rFont val="Arial"/>
        <family val="0"/>
        <charset val="1"/>
      </rPr>
      <t xml:space="preserve">= Tay
   Mẹo: Hình bàn tay xòe các ngón.
• </t>
    </r>
    <r>
      <rPr>
        <sz val="10"/>
        <rFont val="Noto Sans CJK SC"/>
        <family val="2"/>
      </rPr>
      <t xml:space="preserve">はし（箸） </t>
    </r>
    <r>
      <rPr>
        <sz val="10"/>
        <rFont val="Arial"/>
        <family val="0"/>
        <charset val="1"/>
      </rPr>
      <t xml:space="preserve">= Đũa
   Mẹo: Kanji </t>
    </r>
    <r>
      <rPr>
        <sz val="10"/>
        <rFont val="Noto Sans CJK SC"/>
        <family val="2"/>
      </rPr>
      <t xml:space="preserve">箸 </t>
    </r>
    <r>
      <rPr>
        <sz val="10"/>
        <rFont val="Arial"/>
        <family val="0"/>
        <charset val="1"/>
      </rPr>
      <t xml:space="preserve">có bộ </t>
    </r>
    <r>
      <rPr>
        <sz val="10"/>
        <rFont val="Noto Sans CJK SC"/>
        <family val="2"/>
      </rPr>
      <t xml:space="preserve">竹 </t>
    </r>
    <r>
      <rPr>
        <sz val="10"/>
        <rFont val="Arial"/>
        <family val="0"/>
        <charset val="1"/>
      </rPr>
      <t xml:space="preserve">(tre) ở trên → đũa làm bằng tre.
• </t>
    </r>
    <r>
      <rPr>
        <sz val="10"/>
        <rFont val="Noto Sans CJK SC"/>
        <family val="2"/>
      </rPr>
      <t xml:space="preserve">スプーン </t>
    </r>
    <r>
      <rPr>
        <sz val="10"/>
        <rFont val="Arial"/>
        <family val="0"/>
        <charset val="1"/>
      </rPr>
      <t xml:space="preserve">= Thìa
   Mẹo: Từ 'spoon'.
• </t>
    </r>
    <r>
      <rPr>
        <sz val="10"/>
        <rFont val="Noto Sans CJK SC"/>
        <family val="2"/>
      </rPr>
      <t xml:space="preserve">かみ（紙） </t>
    </r>
    <r>
      <rPr>
        <sz val="10"/>
        <rFont val="Arial"/>
        <family val="0"/>
        <charset val="1"/>
      </rPr>
      <t xml:space="preserve">= Giấy
   Mẹo: </t>
    </r>
    <r>
      <rPr>
        <sz val="10"/>
        <rFont val="Noto Sans CJK SC"/>
        <family val="2"/>
      </rPr>
      <t xml:space="preserve">紙 </t>
    </r>
    <r>
      <rPr>
        <sz val="10"/>
        <rFont val="Arial"/>
        <family val="0"/>
        <charset val="1"/>
      </rPr>
      <t xml:space="preserve">có bộ </t>
    </r>
    <r>
      <rPr>
        <sz val="10"/>
        <rFont val="Noto Sans CJK SC"/>
        <family val="2"/>
      </rPr>
      <t xml:space="preserve">糸 </t>
    </r>
    <r>
      <rPr>
        <sz val="10"/>
        <rFont val="Arial"/>
        <family val="0"/>
        <charset val="1"/>
      </rPr>
      <t xml:space="preserve">(sợi) → giấy làm từ sợi thực vật.
• </t>
    </r>
    <r>
      <rPr>
        <sz val="10"/>
        <rFont val="Noto Sans CJK SC"/>
        <family val="2"/>
      </rPr>
      <t xml:space="preserve">はな（花） </t>
    </r>
    <r>
      <rPr>
        <sz val="10"/>
        <rFont val="Arial"/>
        <family val="0"/>
        <charset val="1"/>
      </rPr>
      <t xml:space="preserve">= Hoa
   Mẹo: </t>
    </r>
    <r>
      <rPr>
        <sz val="10"/>
        <rFont val="Noto Sans CJK SC"/>
        <family val="2"/>
      </rPr>
      <t xml:space="preserve">花 </t>
    </r>
    <r>
      <rPr>
        <sz val="10"/>
        <rFont val="Arial"/>
        <family val="0"/>
        <charset val="1"/>
      </rPr>
      <t xml:space="preserve">= </t>
    </r>
    <r>
      <rPr>
        <sz val="10"/>
        <rFont val="Noto Sans CJK SC"/>
        <family val="2"/>
      </rPr>
      <t xml:space="preserve">艹 </t>
    </r>
    <r>
      <rPr>
        <sz val="10"/>
        <rFont val="Arial"/>
        <family val="0"/>
        <charset val="1"/>
      </rPr>
      <t xml:space="preserve">(cỏ cây) + </t>
    </r>
    <r>
      <rPr>
        <sz val="10"/>
        <rFont val="Noto Sans CJK SC"/>
        <family val="2"/>
      </rPr>
      <t xml:space="preserve">化 </t>
    </r>
    <r>
      <rPr>
        <sz val="10"/>
        <rFont val="Arial"/>
        <family val="0"/>
        <charset val="1"/>
      </rPr>
      <t xml:space="preserve">(biến hóa) → cây biến thành thứ đẹp.
• </t>
    </r>
    <r>
      <rPr>
        <sz val="10"/>
        <rFont val="Noto Sans CJK SC"/>
        <family val="2"/>
      </rPr>
      <t xml:space="preserve">プレゼント </t>
    </r>
    <r>
      <rPr>
        <sz val="10"/>
        <rFont val="Arial"/>
        <family val="0"/>
        <charset val="1"/>
      </rPr>
      <t xml:space="preserve">= Quà tặng
   Mẹo: Từ 'present'.
• </t>
    </r>
    <r>
      <rPr>
        <sz val="10"/>
        <rFont val="Noto Sans CJK SC"/>
        <family val="2"/>
      </rPr>
      <t xml:space="preserve">にもつ（荷物） </t>
    </r>
    <r>
      <rPr>
        <sz val="10"/>
        <rFont val="Arial"/>
        <family val="0"/>
        <charset val="1"/>
      </rPr>
      <t xml:space="preserve">= Hành lý
   Mẹo: HÀ VẬT = đồ đạc mang vác. </t>
    </r>
    <r>
      <rPr>
        <sz val="10"/>
        <rFont val="Noto Sans CJK SC"/>
        <family val="2"/>
      </rPr>
      <t xml:space="preserve">物 </t>
    </r>
    <r>
      <rPr>
        <sz val="10"/>
        <rFont val="Arial"/>
        <family val="0"/>
        <charset val="1"/>
      </rPr>
      <t xml:space="preserve">(vật) gặp nhiều: </t>
    </r>
    <r>
      <rPr>
        <sz val="10"/>
        <rFont val="Noto Sans CJK SC"/>
        <family val="2"/>
      </rPr>
      <t xml:space="preserve">買い物</t>
    </r>
    <r>
      <rPr>
        <sz val="10"/>
        <rFont val="Arial"/>
        <family val="0"/>
        <charset val="1"/>
      </rPr>
      <t xml:space="preserve">, </t>
    </r>
    <r>
      <rPr>
        <sz val="10"/>
        <rFont val="Noto Sans CJK SC"/>
        <family val="2"/>
      </rPr>
      <t xml:space="preserve">飲み物</t>
    </r>
    <r>
      <rPr>
        <sz val="10"/>
        <rFont val="Arial"/>
        <family val="0"/>
        <charset val="1"/>
      </rPr>
      <t xml:space="preserve">.
→ Đối chiếu thêm với mục </t>
    </r>
    <r>
      <rPr>
        <sz val="10"/>
        <rFont val="Noto Sans CJK SC"/>
        <family val="2"/>
      </rPr>
      <t xml:space="preserve">語彙 </t>
    </r>
    <r>
      <rPr>
        <sz val="10"/>
        <rFont val="Arial"/>
        <family val="0"/>
        <charset val="1"/>
      </rPr>
      <t xml:space="preserve">của bài 7 trong sách để bổ sung.</t>
    </r>
  </si>
  <si>
    <r>
      <rPr>
        <b val="true"/>
        <sz val="12"/>
        <color rgb="FF1F3864"/>
        <rFont val="Arial"/>
        <family val="0"/>
        <charset val="1"/>
      </rPr>
      <t xml:space="preserve">NGÀY 31  ·  Tuần 5  ·  Minna Bài 8 (1/2)  ·  Tính từ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</si>
  <si>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耳 </t>
    </r>
    <r>
      <rPr>
        <sz val="10"/>
        <rFont val="Arial"/>
        <family val="0"/>
        <charset val="1"/>
      </rPr>
      <t xml:space="preserve">(</t>
    </r>
    <r>
      <rPr>
        <sz val="10"/>
        <rFont val="Noto Sans CJK SC"/>
        <family val="2"/>
      </rPr>
      <t xml:space="preserve">みみ </t>
    </r>
    <r>
      <rPr>
        <sz val="10"/>
        <rFont val="Arial"/>
        <family val="0"/>
        <charset val="1"/>
      </rPr>
      <t xml:space="preserve">/ </t>
    </r>
    <r>
      <rPr>
        <sz val="10"/>
        <rFont val="Noto Sans CJK SC"/>
        <family val="2"/>
      </rPr>
      <t xml:space="preserve">みみへん</t>
    </r>
    <r>
      <rPr>
        <sz val="10"/>
        <rFont val="Arial"/>
        <family val="0"/>
        <charset val="1"/>
      </rPr>
      <t xml:space="preserve">) = Tai, nghe
   Mẹo nhớ: Hình vành tai
   Kanji chứa bộ này: </t>
    </r>
    <r>
      <rPr>
        <sz val="10"/>
        <rFont val="Noto Sans CJK SC"/>
        <family val="2"/>
      </rPr>
      <t xml:space="preserve">耳・聞・取・職</t>
    </r>
  </si>
  <si>
    <r>
      <rPr>
        <sz val="10"/>
        <rFont val="Arial"/>
        <family val="0"/>
        <charset val="1"/>
      </rPr>
      <t xml:space="preserve">Học 2 chữ. Mỗi chữ viết tay 10 lần đúng thứ tự nét.
• </t>
    </r>
    <r>
      <rPr>
        <sz val="10"/>
        <rFont val="Noto Sans CJK SC"/>
        <family val="2"/>
      </rPr>
      <t xml:space="preserve">今 </t>
    </r>
    <r>
      <rPr>
        <sz val="10"/>
        <rFont val="Arial"/>
        <family val="0"/>
        <charset val="1"/>
      </rPr>
      <t xml:space="preserve">[KIM] Bây giờ — On: </t>
    </r>
    <r>
      <rPr>
        <sz val="10"/>
        <rFont val="Noto Sans CJK SC"/>
        <family val="2"/>
      </rPr>
      <t xml:space="preserve">コン・キン </t>
    </r>
    <r>
      <rPr>
        <sz val="10"/>
        <rFont val="Arial"/>
        <family val="0"/>
        <charset val="1"/>
      </rPr>
      <t xml:space="preserve">/ Kun: </t>
    </r>
    <r>
      <rPr>
        <sz val="10"/>
        <rFont val="Noto Sans CJK SC"/>
        <family val="2"/>
      </rPr>
      <t xml:space="preserve">いま </t>
    </r>
    <r>
      <rPr>
        <sz val="10"/>
        <rFont val="Arial"/>
        <family val="0"/>
        <charset val="1"/>
      </rPr>
      <t xml:space="preserve">(4 nét)
   Từ ghép: </t>
    </r>
    <r>
      <rPr>
        <sz val="10"/>
        <rFont val="Noto Sans CJK SC"/>
        <family val="2"/>
      </rPr>
      <t xml:space="preserve">今日 </t>
    </r>
    <r>
      <rPr>
        <sz val="10"/>
        <rFont val="Arial"/>
        <family val="0"/>
        <charset val="1"/>
      </rPr>
      <t xml:space="preserve">(</t>
    </r>
    <r>
      <rPr>
        <sz val="10"/>
        <rFont val="Noto Sans CJK SC"/>
        <family val="2"/>
      </rPr>
      <t xml:space="preserve">きょう</t>
    </r>
    <r>
      <rPr>
        <sz val="10"/>
        <rFont val="Arial"/>
        <family val="0"/>
        <charset val="1"/>
      </rPr>
      <t xml:space="preserve">) hôm nay </t>
    </r>
    <r>
      <rPr>
        <sz val="10"/>
        <rFont val="Noto Sans CJK SC"/>
        <family val="2"/>
      </rPr>
      <t xml:space="preserve">・ 今 </t>
    </r>
    <r>
      <rPr>
        <sz val="10"/>
        <rFont val="Arial"/>
        <family val="0"/>
        <charset val="1"/>
      </rPr>
      <t xml:space="preserve">(</t>
    </r>
    <r>
      <rPr>
        <sz val="10"/>
        <rFont val="Noto Sans CJK SC"/>
        <family val="2"/>
      </rPr>
      <t xml:space="preserve">いま</t>
    </r>
    <r>
      <rPr>
        <sz val="10"/>
        <rFont val="Arial"/>
        <family val="0"/>
        <charset val="1"/>
      </rPr>
      <t xml:space="preserve">) bây giờ </t>
    </r>
    <r>
      <rPr>
        <sz val="10"/>
        <rFont val="Noto Sans CJK SC"/>
        <family val="2"/>
      </rPr>
      <t xml:space="preserve">・ 今月 </t>
    </r>
    <r>
      <rPr>
        <sz val="10"/>
        <rFont val="Arial"/>
        <family val="0"/>
        <charset val="1"/>
      </rPr>
      <t xml:space="preserve">(</t>
    </r>
    <r>
      <rPr>
        <sz val="10"/>
        <rFont val="Noto Sans CJK SC"/>
        <family val="2"/>
      </rPr>
      <t xml:space="preserve">こんげつ</t>
    </r>
    <r>
      <rPr>
        <sz val="10"/>
        <rFont val="Arial"/>
        <family val="0"/>
        <charset val="1"/>
      </rPr>
      <t xml:space="preserve">) tháng này
   Mẹo: Mái che </t>
    </r>
    <r>
      <rPr>
        <sz val="10"/>
        <rFont val="Noto Sans CJK SC"/>
        <family val="2"/>
      </rPr>
      <t xml:space="preserve">亼 </t>
    </r>
    <r>
      <rPr>
        <sz val="10"/>
        <rFont val="Arial"/>
        <family val="0"/>
        <charset val="1"/>
      </rPr>
      <t xml:space="preserve">chụp xuống một điểm = chộp đúng khoảnh khắc HIỆN TẠI.
• </t>
    </r>
    <r>
      <rPr>
        <sz val="10"/>
        <rFont val="Noto Sans CJK SC"/>
        <family val="2"/>
      </rPr>
      <t xml:space="preserve">新 </t>
    </r>
    <r>
      <rPr>
        <sz val="10"/>
        <rFont val="Arial"/>
        <family val="0"/>
        <charset val="1"/>
      </rPr>
      <t xml:space="preserve">[TÂN] Mới — On: </t>
    </r>
    <r>
      <rPr>
        <sz val="10"/>
        <rFont val="Noto Sans CJK SC"/>
        <family val="2"/>
      </rPr>
      <t xml:space="preserve">シン </t>
    </r>
    <r>
      <rPr>
        <sz val="10"/>
        <rFont val="Arial"/>
        <family val="0"/>
        <charset val="1"/>
      </rPr>
      <t xml:space="preserve">/ Kun: </t>
    </r>
    <r>
      <rPr>
        <sz val="10"/>
        <rFont val="Noto Sans CJK SC"/>
        <family val="2"/>
      </rPr>
      <t xml:space="preserve">あたら</t>
    </r>
    <r>
      <rPr>
        <sz val="10"/>
        <rFont val="Arial"/>
        <family val="0"/>
        <charset val="1"/>
      </rPr>
      <t xml:space="preserve">(</t>
    </r>
    <r>
      <rPr>
        <sz val="10"/>
        <rFont val="Noto Sans CJK SC"/>
        <family val="2"/>
      </rPr>
      <t xml:space="preserve">しい</t>
    </r>
    <r>
      <rPr>
        <sz val="10"/>
        <rFont val="Arial"/>
        <family val="0"/>
        <charset val="1"/>
      </rPr>
      <t xml:space="preserve">) (13 nét)
   Từ ghép: </t>
    </r>
    <r>
      <rPr>
        <sz val="10"/>
        <rFont val="Noto Sans CJK SC"/>
        <family val="2"/>
      </rPr>
      <t xml:space="preserve">新しい </t>
    </r>
    <r>
      <rPr>
        <sz val="10"/>
        <rFont val="Arial"/>
        <family val="0"/>
        <charset val="1"/>
      </rPr>
      <t xml:space="preserve">(</t>
    </r>
    <r>
      <rPr>
        <sz val="10"/>
        <rFont val="Noto Sans CJK SC"/>
        <family val="2"/>
      </rPr>
      <t xml:space="preserve">あたらしい</t>
    </r>
    <r>
      <rPr>
        <sz val="10"/>
        <rFont val="Arial"/>
        <family val="0"/>
        <charset val="1"/>
      </rPr>
      <t xml:space="preserve">) mới </t>
    </r>
    <r>
      <rPr>
        <sz val="10"/>
        <rFont val="Noto Sans CJK SC"/>
        <family val="2"/>
      </rPr>
      <t xml:space="preserve">・ 新聞 </t>
    </r>
    <r>
      <rPr>
        <sz val="10"/>
        <rFont val="Arial"/>
        <family val="0"/>
        <charset val="1"/>
      </rPr>
      <t xml:space="preserve">(</t>
    </r>
    <r>
      <rPr>
        <sz val="10"/>
        <rFont val="Noto Sans CJK SC"/>
        <family val="2"/>
      </rPr>
      <t xml:space="preserve">しんぶん</t>
    </r>
    <r>
      <rPr>
        <sz val="10"/>
        <rFont val="Arial"/>
        <family val="0"/>
        <charset val="1"/>
      </rPr>
      <t xml:space="preserve">) báo </t>
    </r>
    <r>
      <rPr>
        <sz val="10"/>
        <rFont val="Noto Sans CJK SC"/>
        <family val="2"/>
      </rPr>
      <t xml:space="preserve">・ 新幹線 </t>
    </r>
    <r>
      <rPr>
        <sz val="10"/>
        <rFont val="Arial"/>
        <family val="0"/>
        <charset val="1"/>
      </rPr>
      <t xml:space="preserve">(</t>
    </r>
    <r>
      <rPr>
        <sz val="10"/>
        <rFont val="Noto Sans CJK SC"/>
        <family val="2"/>
      </rPr>
      <t xml:space="preserve">しんかんせん</t>
    </r>
    <r>
      <rPr>
        <sz val="10"/>
        <rFont val="Arial"/>
        <family val="0"/>
        <charset val="1"/>
      </rPr>
      <t xml:space="preserve">) tàu Shinkansen
   Mẹo: </t>
    </r>
    <r>
      <rPr>
        <sz val="10"/>
        <rFont val="Noto Sans CJK SC"/>
        <family val="2"/>
      </rPr>
      <t xml:space="preserve">立 </t>
    </r>
    <r>
      <rPr>
        <sz val="10"/>
        <rFont val="Arial"/>
        <family val="0"/>
        <charset val="1"/>
      </rPr>
      <t xml:space="preserve">+ </t>
    </r>
    <r>
      <rPr>
        <sz val="10"/>
        <rFont val="Noto Sans CJK SC"/>
        <family val="2"/>
      </rPr>
      <t xml:space="preserve">木 </t>
    </r>
    <r>
      <rPr>
        <sz val="10"/>
        <rFont val="Arial"/>
        <family val="0"/>
        <charset val="1"/>
      </rPr>
      <t xml:space="preserve">+ </t>
    </r>
    <r>
      <rPr>
        <sz val="10"/>
        <rFont val="Noto Sans CJK SC"/>
        <family val="2"/>
      </rPr>
      <t xml:space="preserve">斤 </t>
    </r>
    <r>
      <rPr>
        <sz val="10"/>
        <rFont val="Arial"/>
        <family val="0"/>
        <charset val="1"/>
      </rPr>
      <t xml:space="preserve">(cái rìu) = dùng rìu đốn cây vừa đứng thẳng → gỗ MỚI chặt.</t>
    </r>
  </si>
  <si>
    <r>
      <rPr>
        <sz val="10"/>
        <rFont val="Arial"/>
        <family val="0"/>
        <charset val="1"/>
      </rPr>
      <t xml:space="preserve">Minna bài 8 (1/2) — Tính từ
• </t>
    </r>
    <r>
      <rPr>
        <sz val="10"/>
        <rFont val="Noto Sans CJK SC"/>
        <family val="2"/>
      </rPr>
      <t xml:space="preserve">い</t>
    </r>
    <r>
      <rPr>
        <sz val="10"/>
        <rFont val="Arial"/>
        <family val="0"/>
        <charset val="1"/>
      </rPr>
      <t xml:space="preserve">-adj + </t>
    </r>
    <r>
      <rPr>
        <sz val="10"/>
        <rFont val="Noto Sans CJK SC"/>
        <family val="2"/>
      </rPr>
      <t xml:space="preserve">です  </t>
    </r>
    <r>
      <rPr>
        <sz val="10"/>
        <rFont val="Arial"/>
        <family val="0"/>
        <charset val="1"/>
      </rPr>
      <t xml:space="preserve">(Tính từ đuôi </t>
    </r>
    <r>
      <rPr>
        <sz val="10"/>
        <rFont val="Noto Sans CJK SC"/>
        <family val="2"/>
      </rPr>
      <t xml:space="preserve">い</t>
    </r>
    <r>
      <rPr>
        <sz val="10"/>
        <rFont val="Arial"/>
        <family val="0"/>
        <charset val="1"/>
      </rPr>
      <t xml:space="preserve">. Phủ định: bỏ </t>
    </r>
    <r>
      <rPr>
        <sz val="10"/>
        <rFont val="Noto Sans CJK SC"/>
        <family val="2"/>
      </rPr>
      <t xml:space="preserve">い </t>
    </r>
    <r>
      <rPr>
        <sz val="10"/>
        <rFont val="Arial"/>
        <family val="0"/>
        <charset val="1"/>
      </rPr>
      <t xml:space="preserve">thêm </t>
    </r>
    <r>
      <rPr>
        <sz val="10"/>
        <rFont val="Noto Sans CJK SC"/>
        <family val="2"/>
      </rPr>
      <t xml:space="preserve">くないです</t>
    </r>
    <r>
      <rPr>
        <sz val="10"/>
        <rFont val="Arial"/>
        <family val="0"/>
        <charset val="1"/>
      </rPr>
      <t xml:space="preserve">.)
   Ví dụ: </t>
    </r>
    <r>
      <rPr>
        <sz val="10"/>
        <rFont val="Noto Sans CJK SC"/>
        <family val="2"/>
      </rPr>
      <t xml:space="preserve">この かばんは 高いです。  </t>
    </r>
    <r>
      <rPr>
        <sz val="10"/>
        <rFont val="Arial"/>
        <family val="0"/>
        <charset val="1"/>
      </rPr>
      <t xml:space="preserve">= Cái túi này đắt.
• </t>
    </r>
    <r>
      <rPr>
        <sz val="10"/>
        <rFont val="Noto Sans CJK SC"/>
        <family val="2"/>
      </rPr>
      <t xml:space="preserve">な</t>
    </r>
    <r>
      <rPr>
        <sz val="10"/>
        <rFont val="Arial"/>
        <family val="0"/>
        <charset val="1"/>
      </rPr>
      <t xml:space="preserve">-adj + </t>
    </r>
    <r>
      <rPr>
        <sz val="10"/>
        <rFont val="Noto Sans CJK SC"/>
        <family val="2"/>
      </rPr>
      <t xml:space="preserve">です  </t>
    </r>
    <r>
      <rPr>
        <sz val="10"/>
        <rFont val="Arial"/>
        <family val="0"/>
        <charset val="1"/>
      </rPr>
      <t xml:space="preserve">(Tính từ đuôi </t>
    </r>
    <r>
      <rPr>
        <sz val="10"/>
        <rFont val="Noto Sans CJK SC"/>
        <family val="2"/>
      </rPr>
      <t xml:space="preserve">な</t>
    </r>
    <r>
      <rPr>
        <sz val="10"/>
        <rFont val="Arial"/>
        <family val="0"/>
        <charset val="1"/>
      </rPr>
      <t xml:space="preserve">. Phủ định: </t>
    </r>
    <r>
      <rPr>
        <sz val="10"/>
        <rFont val="Noto Sans CJK SC"/>
        <family val="2"/>
      </rPr>
      <t xml:space="preserve">じゃ ありません</t>
    </r>
    <r>
      <rPr>
        <sz val="10"/>
        <rFont val="Arial"/>
        <family val="0"/>
        <charset val="1"/>
      </rPr>
      <t xml:space="preserve">.)
   Ví dụ: </t>
    </r>
    <r>
      <rPr>
        <sz val="10"/>
        <rFont val="Noto Sans CJK SC"/>
        <family val="2"/>
      </rPr>
      <t xml:space="preserve">この 町は 静かじゃ ありません。  </t>
    </r>
    <r>
      <rPr>
        <sz val="10"/>
        <rFont val="Arial"/>
        <family val="0"/>
        <charset val="1"/>
      </rPr>
      <t xml:space="preserve">= Thị trấn này không yên tĩnh.
• Adj + N  (Tính từ bổ nghĩa danh từ. </t>
    </r>
    <r>
      <rPr>
        <sz val="10"/>
        <rFont val="Noto Sans CJK SC"/>
        <family val="2"/>
      </rPr>
      <t xml:space="preserve">な</t>
    </r>
    <r>
      <rPr>
        <sz val="10"/>
        <rFont val="Arial"/>
        <family val="0"/>
        <charset val="1"/>
      </rPr>
      <t xml:space="preserve">-adj phải giữ </t>
    </r>
    <r>
      <rPr>
        <sz val="10"/>
        <rFont val="Noto Sans CJK SC"/>
        <family val="2"/>
      </rPr>
      <t xml:space="preserve">な</t>
    </r>
    <r>
      <rPr>
        <sz val="10"/>
        <rFont val="Arial"/>
        <family val="0"/>
        <charset val="1"/>
      </rPr>
      <t xml:space="preserve">: </t>
    </r>
    <r>
      <rPr>
        <sz val="10"/>
        <rFont val="Noto Sans CJK SC"/>
        <family val="2"/>
      </rPr>
      <t xml:space="preserve">静かな 町</t>
    </r>
    <r>
      <rPr>
        <sz val="10"/>
        <rFont val="Arial"/>
        <family val="0"/>
        <charset val="1"/>
      </rPr>
      <t xml:space="preserve">.)
   Ví dụ: </t>
    </r>
    <r>
      <rPr>
        <sz val="10"/>
        <rFont val="Noto Sans CJK SC"/>
        <family val="2"/>
      </rPr>
      <t xml:space="preserve">新しい 車を 買いました。  </t>
    </r>
    <r>
      <rPr>
        <sz val="10"/>
        <rFont val="Arial"/>
        <family val="0"/>
        <charset val="1"/>
      </rPr>
      <t xml:space="preserve">= Tôi đã mua một chiếc xe mới.
→ Làm </t>
    </r>
    <r>
      <rPr>
        <sz val="10"/>
        <rFont val="Noto Sans CJK SC"/>
        <family val="2"/>
      </rPr>
      <t xml:space="preserve">練習</t>
    </r>
    <r>
      <rPr>
        <sz val="10"/>
        <rFont val="Arial"/>
        <family val="0"/>
        <charset val="1"/>
      </rPr>
      <t xml:space="preserve">A của bài 8 trong sách, mỗi mẫu tự đặt 3 câu.</t>
    </r>
  </si>
  <si>
    <r>
      <rPr>
        <sz val="10"/>
        <rFont val="Arial"/>
        <family val="0"/>
        <charset val="1"/>
      </rPr>
      <t xml:space="preserve">Từ mới Minna bài 8:
• </t>
    </r>
    <r>
      <rPr>
        <sz val="10"/>
        <rFont val="Noto Sans CJK SC"/>
        <family val="2"/>
      </rPr>
      <t xml:space="preserve">おおきい（大きい） </t>
    </r>
    <r>
      <rPr>
        <sz val="10"/>
        <rFont val="Arial"/>
        <family val="0"/>
        <charset val="1"/>
      </rPr>
      <t xml:space="preserve">= To
   Mẹo: </t>
    </r>
    <r>
      <rPr>
        <sz val="10"/>
        <rFont val="Noto Sans CJK SC"/>
        <family val="2"/>
      </rPr>
      <t xml:space="preserve">大 </t>
    </r>
    <r>
      <rPr>
        <sz val="10"/>
        <rFont val="Arial"/>
        <family val="0"/>
        <charset val="1"/>
      </rPr>
      <t xml:space="preserve">= người dang rộng hai tay khoe 'to bằng này!'
• </t>
    </r>
    <r>
      <rPr>
        <sz val="10"/>
        <rFont val="Noto Sans CJK SC"/>
        <family val="2"/>
      </rPr>
      <t xml:space="preserve">ちいさい（小さい） </t>
    </r>
    <r>
      <rPr>
        <sz val="10"/>
        <rFont val="Arial"/>
        <family val="0"/>
        <charset val="1"/>
      </rPr>
      <t xml:space="preserve">= Nhỏ
   Mẹo: </t>
    </r>
    <r>
      <rPr>
        <sz val="10"/>
        <rFont val="Noto Sans CJK SC"/>
        <family val="2"/>
      </rPr>
      <t xml:space="preserve">小 </t>
    </r>
    <r>
      <rPr>
        <sz val="10"/>
        <rFont val="Arial"/>
        <family val="0"/>
        <charset val="1"/>
      </rPr>
      <t xml:space="preserve">= ba chấm bé xíu chụm lại.
• </t>
    </r>
    <r>
      <rPr>
        <sz val="10"/>
        <rFont val="Noto Sans CJK SC"/>
        <family val="2"/>
      </rPr>
      <t xml:space="preserve">あたらしい（新しい） </t>
    </r>
    <r>
      <rPr>
        <sz val="10"/>
        <rFont val="Arial"/>
        <family val="0"/>
        <charset val="1"/>
      </rPr>
      <t xml:space="preserve">= Mới
   Mẹo: </t>
    </r>
    <r>
      <rPr>
        <sz val="10"/>
        <rFont val="Noto Sans CJK SC"/>
        <family val="2"/>
      </rPr>
      <t xml:space="preserve">新 </t>
    </r>
    <r>
      <rPr>
        <sz val="10"/>
        <rFont val="Arial"/>
        <family val="0"/>
        <charset val="1"/>
      </rPr>
      <t xml:space="preserve">= dùng rìu </t>
    </r>
    <r>
      <rPr>
        <sz val="10"/>
        <rFont val="Noto Sans CJK SC"/>
        <family val="2"/>
      </rPr>
      <t xml:space="preserve">斤 </t>
    </r>
    <r>
      <rPr>
        <sz val="10"/>
        <rFont val="Arial"/>
        <family val="0"/>
        <charset val="1"/>
      </rPr>
      <t xml:space="preserve">đốn cây → gỗ MỚI chặt.
• </t>
    </r>
    <r>
      <rPr>
        <sz val="10"/>
        <rFont val="Noto Sans CJK SC"/>
        <family val="2"/>
      </rPr>
      <t xml:space="preserve">ふるい（古い） </t>
    </r>
    <r>
      <rPr>
        <sz val="10"/>
        <rFont val="Arial"/>
        <family val="0"/>
        <charset val="1"/>
      </rPr>
      <t xml:space="preserve">= Cũ
   Mẹo: </t>
    </r>
    <r>
      <rPr>
        <sz val="10"/>
        <rFont val="Noto Sans CJK SC"/>
        <family val="2"/>
      </rPr>
      <t xml:space="preserve">古 </t>
    </r>
    <r>
      <rPr>
        <sz val="10"/>
        <rFont val="Arial"/>
        <family val="0"/>
        <charset val="1"/>
      </rPr>
      <t xml:space="preserve">= </t>
    </r>
    <r>
      <rPr>
        <sz val="10"/>
        <rFont val="Noto Sans CJK SC"/>
        <family val="2"/>
      </rPr>
      <t xml:space="preserve">十 </t>
    </r>
    <r>
      <rPr>
        <sz val="10"/>
        <rFont val="Arial"/>
        <family val="0"/>
        <charset val="1"/>
      </rPr>
      <t xml:space="preserve">(mười) + </t>
    </r>
    <r>
      <rPr>
        <sz val="10"/>
        <rFont val="Noto Sans CJK SC"/>
        <family val="2"/>
      </rPr>
      <t xml:space="preserve">口 </t>
    </r>
    <r>
      <rPr>
        <sz val="10"/>
        <rFont val="Arial"/>
        <family val="0"/>
        <charset val="1"/>
      </rPr>
      <t xml:space="preserve">(miệng) → chuyện qua mười miệng thì đã cũ.
• </t>
    </r>
    <r>
      <rPr>
        <sz val="10"/>
        <rFont val="Noto Sans CJK SC"/>
        <family val="2"/>
      </rPr>
      <t xml:space="preserve">たかい（高い） </t>
    </r>
    <r>
      <rPr>
        <sz val="10"/>
        <rFont val="Arial"/>
        <family val="0"/>
        <charset val="1"/>
      </rPr>
      <t xml:space="preserve">= Cao, đắt
   Mẹo: </t>
    </r>
    <r>
      <rPr>
        <sz val="10"/>
        <rFont val="Noto Sans CJK SC"/>
        <family val="2"/>
      </rPr>
      <t xml:space="preserve">高 </t>
    </r>
    <r>
      <rPr>
        <sz val="10"/>
        <rFont val="Arial"/>
        <family val="0"/>
        <charset val="1"/>
      </rPr>
      <t xml:space="preserve">= tòa tháp nhiều tầng. Giá vọt lên cao = ĐẮT.
• </t>
    </r>
    <r>
      <rPr>
        <sz val="10"/>
        <rFont val="Noto Sans CJK SC"/>
        <family val="2"/>
      </rPr>
      <t xml:space="preserve">やすい（安い） </t>
    </r>
    <r>
      <rPr>
        <sz val="10"/>
        <rFont val="Arial"/>
        <family val="0"/>
        <charset val="1"/>
      </rPr>
      <t xml:space="preserve">= Rẻ
   Mẹo: </t>
    </r>
    <r>
      <rPr>
        <sz val="10"/>
        <rFont val="Noto Sans CJK SC"/>
        <family val="2"/>
      </rPr>
      <t xml:space="preserve">安 </t>
    </r>
    <r>
      <rPr>
        <sz val="10"/>
        <rFont val="Arial"/>
        <family val="0"/>
        <charset val="1"/>
      </rPr>
      <t xml:space="preserve">= </t>
    </r>
    <r>
      <rPr>
        <sz val="10"/>
        <rFont val="Noto Sans CJK SC"/>
        <family val="2"/>
      </rPr>
      <t xml:space="preserve">宀 </t>
    </r>
    <r>
      <rPr>
        <sz val="10"/>
        <rFont val="Arial"/>
        <family val="0"/>
        <charset val="1"/>
      </rPr>
      <t xml:space="preserve">(mái nhà) che </t>
    </r>
    <r>
      <rPr>
        <sz val="10"/>
        <rFont val="Noto Sans CJK SC"/>
        <family val="2"/>
      </rPr>
      <t xml:space="preserve">女 → </t>
    </r>
    <r>
      <rPr>
        <sz val="10"/>
        <rFont val="Arial"/>
        <family val="0"/>
        <charset val="1"/>
      </rPr>
      <t xml:space="preserve">yên tâm. Giá yên tâm mua = RẺ.
• </t>
    </r>
    <r>
      <rPr>
        <sz val="10"/>
        <rFont val="Noto Sans CJK SC"/>
        <family val="2"/>
      </rPr>
      <t xml:space="preserve">おもしろい（面白い） </t>
    </r>
    <r>
      <rPr>
        <sz val="10"/>
        <rFont val="Arial"/>
        <family val="0"/>
        <charset val="1"/>
      </rPr>
      <t xml:space="preserve">= Thú vị
   Mẹo: MIÊN BẠCH = 'mặt trắng ra' vì quá bất ngờ, thú vị.
→ Đối chiếu thêm với mục </t>
    </r>
    <r>
      <rPr>
        <sz val="10"/>
        <rFont val="Noto Sans CJK SC"/>
        <family val="2"/>
      </rPr>
      <t xml:space="preserve">語彙 </t>
    </r>
    <r>
      <rPr>
        <sz val="10"/>
        <rFont val="Arial"/>
        <family val="0"/>
        <charset val="1"/>
      </rPr>
      <t xml:space="preserve">của bài 8 trong sách để bổ sung.</t>
    </r>
  </si>
  <si>
    <r>
      <rPr>
        <b val="true"/>
        <sz val="12"/>
        <color rgb="FF1F3864"/>
        <rFont val="Arial"/>
        <family val="0"/>
        <charset val="1"/>
      </rPr>
      <t xml:space="preserve">NGÀY 32  ·  Tuần 5  ·  Minna Bài 8 (2/2)  ·  Tính từ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</si>
  <si>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足 </t>
    </r>
    <r>
      <rPr>
        <sz val="10"/>
        <rFont val="Arial"/>
        <family val="0"/>
        <charset val="1"/>
      </rPr>
      <t xml:space="preserve">/ </t>
    </r>
    <r>
      <rPr>
        <sz val="10"/>
        <rFont val="Noto Sans CJK SC"/>
        <family val="2"/>
      </rPr>
      <t xml:space="preserve">⻊ </t>
    </r>
    <r>
      <rPr>
        <sz val="10"/>
        <rFont val="Arial"/>
        <family val="0"/>
        <charset val="1"/>
      </rPr>
      <t xml:space="preserve">(</t>
    </r>
    <r>
      <rPr>
        <sz val="10"/>
        <rFont val="Noto Sans CJK SC"/>
        <family val="2"/>
      </rPr>
      <t xml:space="preserve">あし </t>
    </r>
    <r>
      <rPr>
        <sz val="10"/>
        <rFont val="Arial"/>
        <family val="0"/>
        <charset val="1"/>
      </rPr>
      <t xml:space="preserve">/ </t>
    </r>
    <r>
      <rPr>
        <sz val="10"/>
        <rFont val="Noto Sans CJK SC"/>
        <family val="2"/>
      </rPr>
      <t xml:space="preserve">あしへん</t>
    </r>
    <r>
      <rPr>
        <sz val="10"/>
        <rFont val="Arial"/>
        <family val="0"/>
        <charset val="1"/>
      </rPr>
      <t xml:space="preserve">) = Chân, bước đi
   Mẹo nhớ: Đầu gối và bàn chân
   Kanji chứa bộ này: </t>
    </r>
    <r>
      <rPr>
        <sz val="10"/>
        <rFont val="Noto Sans CJK SC"/>
        <family val="2"/>
      </rPr>
      <t xml:space="preserve">足・路・速</t>
    </r>
  </si>
  <si>
    <r>
      <rPr>
        <sz val="10"/>
        <rFont val="Arial"/>
        <family val="0"/>
        <charset val="1"/>
      </rPr>
      <t xml:space="preserve">Học 2 chữ. Mỗi chữ viết tay 10 lần đúng thứ tự nét.
• </t>
    </r>
    <r>
      <rPr>
        <sz val="10"/>
        <rFont val="Noto Sans CJK SC"/>
        <family val="2"/>
      </rPr>
      <t xml:space="preserve">金 </t>
    </r>
    <r>
      <rPr>
        <sz val="10"/>
        <rFont val="Arial"/>
        <family val="0"/>
        <charset val="1"/>
      </rPr>
      <t xml:space="preserve">[KIM] Vàng, tiền, kim loại — On: </t>
    </r>
    <r>
      <rPr>
        <sz val="10"/>
        <rFont val="Noto Sans CJK SC"/>
        <family val="2"/>
      </rPr>
      <t xml:space="preserve">キン </t>
    </r>
    <r>
      <rPr>
        <sz val="10"/>
        <rFont val="Arial"/>
        <family val="0"/>
        <charset val="1"/>
      </rPr>
      <t xml:space="preserve">/ Kun: </t>
    </r>
    <r>
      <rPr>
        <sz val="10"/>
        <rFont val="Noto Sans CJK SC"/>
        <family val="2"/>
      </rPr>
      <t xml:space="preserve">かね </t>
    </r>
    <r>
      <rPr>
        <sz val="10"/>
        <rFont val="Arial"/>
        <family val="0"/>
        <charset val="1"/>
      </rPr>
      <t xml:space="preserve">(8 nét)
   Từ ghép: </t>
    </r>
    <r>
      <rPr>
        <sz val="10"/>
        <rFont val="Noto Sans CJK SC"/>
        <family val="2"/>
      </rPr>
      <t xml:space="preserve">お金 </t>
    </r>
    <r>
      <rPr>
        <sz val="10"/>
        <rFont val="Arial"/>
        <family val="0"/>
        <charset val="1"/>
      </rPr>
      <t xml:space="preserve">(</t>
    </r>
    <r>
      <rPr>
        <sz val="10"/>
        <rFont val="Noto Sans CJK SC"/>
        <family val="2"/>
      </rPr>
      <t xml:space="preserve">おかね</t>
    </r>
    <r>
      <rPr>
        <sz val="10"/>
        <rFont val="Arial"/>
        <family val="0"/>
        <charset val="1"/>
      </rPr>
      <t xml:space="preserve">) tiền </t>
    </r>
    <r>
      <rPr>
        <sz val="10"/>
        <rFont val="Noto Sans CJK SC"/>
        <family val="2"/>
      </rPr>
      <t xml:space="preserve">・ 金曜日 </t>
    </r>
    <r>
      <rPr>
        <sz val="10"/>
        <rFont val="Arial"/>
        <family val="0"/>
        <charset val="1"/>
      </rPr>
      <t xml:space="preserve">(</t>
    </r>
    <r>
      <rPr>
        <sz val="10"/>
        <rFont val="Noto Sans CJK SC"/>
        <family val="2"/>
      </rPr>
      <t xml:space="preserve">きんようび</t>
    </r>
    <r>
      <rPr>
        <sz val="10"/>
        <rFont val="Arial"/>
        <family val="0"/>
        <charset val="1"/>
      </rPr>
      <t xml:space="preserve">) thứ Sáu </t>
    </r>
    <r>
      <rPr>
        <sz val="10"/>
        <rFont val="Noto Sans CJK SC"/>
        <family val="2"/>
      </rPr>
      <t xml:space="preserve">・ 金魚 </t>
    </r>
    <r>
      <rPr>
        <sz val="10"/>
        <rFont val="Arial"/>
        <family val="0"/>
        <charset val="1"/>
      </rPr>
      <t xml:space="preserve">(</t>
    </r>
    <r>
      <rPr>
        <sz val="10"/>
        <rFont val="Noto Sans CJK SC"/>
        <family val="2"/>
      </rPr>
      <t xml:space="preserve">きんぎょ</t>
    </r>
    <r>
      <rPr>
        <sz val="10"/>
        <rFont val="Arial"/>
        <family val="0"/>
        <charset val="1"/>
      </rPr>
      <t xml:space="preserve">) cá vàng
   Mẹo: Mái nhà che hai hạt vàng chôn dưới đất = kho báu KIM loại.
• </t>
    </r>
    <r>
      <rPr>
        <sz val="10"/>
        <rFont val="Noto Sans CJK SC"/>
        <family val="2"/>
      </rPr>
      <t xml:space="preserve">九 </t>
    </r>
    <r>
      <rPr>
        <sz val="10"/>
        <rFont val="Arial"/>
        <family val="0"/>
        <charset val="1"/>
      </rPr>
      <t xml:space="preserve">[CỬU] Chín — On: </t>
    </r>
    <r>
      <rPr>
        <sz val="10"/>
        <rFont val="Noto Sans CJK SC"/>
        <family val="2"/>
      </rPr>
      <t xml:space="preserve">キュウ・ク </t>
    </r>
    <r>
      <rPr>
        <sz val="10"/>
        <rFont val="Arial"/>
        <family val="0"/>
        <charset val="1"/>
      </rPr>
      <t xml:space="preserve">/ Kun: </t>
    </r>
    <r>
      <rPr>
        <sz val="10"/>
        <rFont val="Noto Sans CJK SC"/>
        <family val="2"/>
      </rPr>
      <t xml:space="preserve">ここの</t>
    </r>
    <r>
      <rPr>
        <sz val="10"/>
        <rFont val="Arial"/>
        <family val="0"/>
        <charset val="1"/>
      </rPr>
      <t xml:space="preserve">(</t>
    </r>
    <r>
      <rPr>
        <sz val="10"/>
        <rFont val="Noto Sans CJK SC"/>
        <family val="2"/>
      </rPr>
      <t xml:space="preserve">つ</t>
    </r>
    <r>
      <rPr>
        <sz val="10"/>
        <rFont val="Arial"/>
        <family val="0"/>
        <charset val="1"/>
      </rPr>
      <t xml:space="preserve">) (2 nét)
   Từ ghép: </t>
    </r>
    <r>
      <rPr>
        <sz val="10"/>
        <rFont val="Noto Sans CJK SC"/>
        <family val="2"/>
      </rPr>
      <t xml:space="preserve">九つ </t>
    </r>
    <r>
      <rPr>
        <sz val="10"/>
        <rFont val="Arial"/>
        <family val="0"/>
        <charset val="1"/>
      </rPr>
      <t xml:space="preserve">(</t>
    </r>
    <r>
      <rPr>
        <sz val="10"/>
        <rFont val="Noto Sans CJK SC"/>
        <family val="2"/>
      </rPr>
      <t xml:space="preserve">ここのつ</t>
    </r>
    <r>
      <rPr>
        <sz val="10"/>
        <rFont val="Arial"/>
        <family val="0"/>
        <charset val="1"/>
      </rPr>
      <t xml:space="preserve">) chín cái </t>
    </r>
    <r>
      <rPr>
        <sz val="10"/>
        <rFont val="Noto Sans CJK SC"/>
        <family val="2"/>
      </rPr>
      <t xml:space="preserve">・ 九月 </t>
    </r>
    <r>
      <rPr>
        <sz val="10"/>
        <rFont val="Arial"/>
        <family val="0"/>
        <charset val="1"/>
      </rPr>
      <t xml:space="preserve">(</t>
    </r>
    <r>
      <rPr>
        <sz val="10"/>
        <rFont val="Noto Sans CJK SC"/>
        <family val="2"/>
      </rPr>
      <t xml:space="preserve">くがつ</t>
    </r>
    <r>
      <rPr>
        <sz val="10"/>
        <rFont val="Arial"/>
        <family val="0"/>
        <charset val="1"/>
      </rPr>
      <t xml:space="preserve">) tháng Chín </t>
    </r>
    <r>
      <rPr>
        <sz val="10"/>
        <rFont val="Noto Sans CJK SC"/>
        <family val="2"/>
      </rPr>
      <t xml:space="preserve">・ 九時 </t>
    </r>
    <r>
      <rPr>
        <sz val="10"/>
        <rFont val="Arial"/>
        <family val="0"/>
        <charset val="1"/>
      </rPr>
      <t xml:space="preserve">(</t>
    </r>
    <r>
      <rPr>
        <sz val="10"/>
        <rFont val="Noto Sans CJK SC"/>
        <family val="2"/>
      </rPr>
      <t xml:space="preserve">くじ</t>
    </r>
    <r>
      <rPr>
        <sz val="10"/>
        <rFont val="Arial"/>
        <family val="0"/>
        <charset val="1"/>
      </rPr>
      <t xml:space="preserve">) chín giờ
   Mẹo: Giống chữ </t>
    </r>
    <r>
      <rPr>
        <sz val="10"/>
        <rFont val="Noto Sans CJK SC"/>
        <family val="2"/>
      </rPr>
      <t xml:space="preserve">力 </t>
    </r>
    <r>
      <rPr>
        <sz val="10"/>
        <rFont val="Arial"/>
        <family val="0"/>
        <charset val="1"/>
      </rPr>
      <t xml:space="preserve">nhưng đuôi cong. Nhớ: số 9 uốn cong cái đuôi.</t>
    </r>
  </si>
  <si>
    <r>
      <rPr>
        <sz val="10"/>
        <rFont val="Arial"/>
        <family val="0"/>
        <charset val="1"/>
      </rPr>
      <t xml:space="preserve">Minna bài 8 (2/2) — Tính từ
• N </t>
    </r>
    <r>
      <rPr>
        <sz val="10"/>
        <rFont val="Noto Sans CJK SC"/>
        <family val="2"/>
      </rPr>
      <t xml:space="preserve">は どうですか  </t>
    </r>
    <r>
      <rPr>
        <sz val="10"/>
        <rFont val="Arial"/>
        <family val="0"/>
        <charset val="1"/>
      </rPr>
      <t xml:space="preserve">(N thế nào? Hỏi cảm nhận.)
   Ví dụ: </t>
    </r>
    <r>
      <rPr>
        <sz val="10"/>
        <rFont val="Noto Sans CJK SC"/>
        <family val="2"/>
      </rPr>
      <t xml:space="preserve">日本の 生活は どうですか。  </t>
    </r>
    <r>
      <rPr>
        <sz val="10"/>
        <rFont val="Arial"/>
        <family val="0"/>
        <charset val="1"/>
      </rPr>
      <t xml:space="preserve">= Cuộc sống ở Nhật thế nào?
• </t>
    </r>
    <r>
      <rPr>
        <sz val="10"/>
        <rFont val="Noto Sans CJK SC"/>
        <family val="2"/>
      </rPr>
      <t xml:space="preserve">〜が、〜  </t>
    </r>
    <r>
      <rPr>
        <sz val="10"/>
        <rFont val="Arial"/>
        <family val="0"/>
        <charset val="1"/>
      </rPr>
      <t xml:space="preserve">(Nhưng. Nối hai vế trái ngược.)
   Ví dụ: </t>
    </r>
    <r>
      <rPr>
        <sz val="10"/>
        <rFont val="Noto Sans CJK SC"/>
        <family val="2"/>
      </rPr>
      <t xml:space="preserve">この 部屋は 狭いですが、きれいです。  </t>
    </r>
    <r>
      <rPr>
        <sz val="10"/>
        <rFont val="Arial"/>
        <family val="0"/>
        <charset val="1"/>
      </rPr>
      <t xml:space="preserve">= Phòng này chật nhưng sạch đẹp.
→ Làm </t>
    </r>
    <r>
      <rPr>
        <sz val="10"/>
        <rFont val="Noto Sans CJK SC"/>
        <family val="2"/>
      </rPr>
      <t xml:space="preserve">練習</t>
    </r>
    <r>
      <rPr>
        <sz val="10"/>
        <rFont val="Arial"/>
        <family val="0"/>
        <charset val="1"/>
      </rPr>
      <t xml:space="preserve">A của bài 8 trong sách, mỗi mẫu tự đặt 3 câu.</t>
    </r>
  </si>
  <si>
    <r>
      <rPr>
        <sz val="10"/>
        <rFont val="Arial"/>
        <family val="0"/>
        <charset val="1"/>
      </rPr>
      <t xml:space="preserve">Từ mới Minna bài 8:
• </t>
    </r>
    <r>
      <rPr>
        <sz val="10"/>
        <rFont val="Noto Sans CJK SC"/>
        <family val="2"/>
      </rPr>
      <t xml:space="preserve">いそがしい（忙しい） </t>
    </r>
    <r>
      <rPr>
        <sz val="10"/>
        <rFont val="Arial"/>
        <family val="0"/>
        <charset val="1"/>
      </rPr>
      <t xml:space="preserve">= Bận rộn
   Mẹo: </t>
    </r>
    <r>
      <rPr>
        <sz val="10"/>
        <rFont val="Noto Sans CJK SC"/>
        <family val="2"/>
      </rPr>
      <t xml:space="preserve">忙 </t>
    </r>
    <r>
      <rPr>
        <sz val="10"/>
        <rFont val="Arial"/>
        <family val="0"/>
        <charset val="1"/>
      </rPr>
      <t xml:space="preserve">= </t>
    </r>
    <r>
      <rPr>
        <sz val="10"/>
        <rFont val="Noto Sans CJK SC"/>
        <family val="2"/>
      </rPr>
      <t xml:space="preserve">忄 </t>
    </r>
    <r>
      <rPr>
        <sz val="10"/>
        <rFont val="Arial"/>
        <family val="0"/>
        <charset val="1"/>
      </rPr>
      <t xml:space="preserve">(tim) + </t>
    </r>
    <r>
      <rPr>
        <sz val="10"/>
        <rFont val="Noto Sans CJK SC"/>
        <family val="2"/>
      </rPr>
      <t xml:space="preserve">亡 </t>
    </r>
    <r>
      <rPr>
        <sz val="10"/>
        <rFont val="Arial"/>
        <family val="0"/>
        <charset val="1"/>
      </rPr>
      <t xml:space="preserve">(mất) → bận đến mất cả trái tim.
• </t>
    </r>
    <r>
      <rPr>
        <sz val="10"/>
        <rFont val="Noto Sans CJK SC"/>
        <family val="2"/>
      </rPr>
      <t xml:space="preserve">たのしい（楽しい） </t>
    </r>
    <r>
      <rPr>
        <sz val="10"/>
        <rFont val="Arial"/>
        <family val="0"/>
        <charset val="1"/>
      </rPr>
      <t xml:space="preserve">= Vui
   Mẹo: </t>
    </r>
    <r>
      <rPr>
        <sz val="10"/>
        <rFont val="Noto Sans CJK SC"/>
        <family val="2"/>
      </rPr>
      <t xml:space="preserve">楽 </t>
    </r>
    <r>
      <rPr>
        <sz val="10"/>
        <rFont val="Arial"/>
        <family val="0"/>
        <charset val="1"/>
      </rPr>
      <t xml:space="preserve">(LẠC) = niềm vui. Cùng chữ với </t>
    </r>
    <r>
      <rPr>
        <sz val="10"/>
        <rFont val="Noto Sans CJK SC"/>
        <family val="2"/>
      </rPr>
      <t xml:space="preserve">音楽 </t>
    </r>
    <r>
      <rPr>
        <sz val="10"/>
        <rFont val="Arial"/>
        <family val="0"/>
        <charset val="1"/>
      </rPr>
      <t xml:space="preserve">(âm nhạc).
• </t>
    </r>
    <r>
      <rPr>
        <sz val="10"/>
        <rFont val="Noto Sans CJK SC"/>
        <family val="2"/>
      </rPr>
      <t xml:space="preserve">きれい</t>
    </r>
    <r>
      <rPr>
        <sz val="10"/>
        <rFont val="Arial"/>
        <family val="0"/>
        <charset val="1"/>
      </rPr>
      <t xml:space="preserve">[</t>
    </r>
    <r>
      <rPr>
        <sz val="10"/>
        <rFont val="Noto Sans CJK SC"/>
        <family val="2"/>
      </rPr>
      <t xml:space="preserve">な</t>
    </r>
    <r>
      <rPr>
        <sz val="10"/>
        <rFont val="Arial"/>
        <family val="0"/>
        <charset val="1"/>
      </rPr>
      <t xml:space="preserve">] = Đẹp, sạch
   Mẹo: Đuôi </t>
    </r>
    <r>
      <rPr>
        <sz val="10"/>
        <rFont val="Noto Sans CJK SC"/>
        <family val="2"/>
      </rPr>
      <t xml:space="preserve">い </t>
    </r>
    <r>
      <rPr>
        <sz val="10"/>
        <rFont val="Arial"/>
        <family val="0"/>
        <charset val="1"/>
      </rPr>
      <t xml:space="preserve">nhưng là </t>
    </r>
    <r>
      <rPr>
        <sz val="10"/>
        <rFont val="Noto Sans CJK SC"/>
        <family val="2"/>
      </rPr>
      <t xml:space="preserve">な</t>
    </r>
    <r>
      <rPr>
        <sz val="10"/>
        <rFont val="Arial"/>
        <family val="0"/>
        <charset val="1"/>
      </rPr>
      <t xml:space="preserve">-adj — cái bẫy kinh điển. Nhớ kỹ!
• </t>
    </r>
    <r>
      <rPr>
        <sz val="10"/>
        <rFont val="Noto Sans CJK SC"/>
        <family val="2"/>
      </rPr>
      <t xml:space="preserve">しずか</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（静か</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 </t>
    </r>
    <r>
      <rPr>
        <sz val="10"/>
        <rFont val="Arial"/>
        <family val="0"/>
        <charset val="1"/>
      </rPr>
      <t xml:space="preserve">= Yên tĩnh
   Mẹo: TĨNH = yên. </t>
    </r>
    <r>
      <rPr>
        <sz val="10"/>
        <rFont val="Noto Sans CJK SC"/>
        <family val="2"/>
      </rPr>
      <t xml:space="preserve">静かに してください </t>
    </r>
    <r>
      <rPr>
        <sz val="10"/>
        <rFont val="Arial"/>
        <family val="0"/>
        <charset val="1"/>
      </rPr>
      <t xml:space="preserve">= xin giữ trật tự.
• </t>
    </r>
    <r>
      <rPr>
        <sz val="10"/>
        <rFont val="Noto Sans CJK SC"/>
        <family val="2"/>
      </rPr>
      <t xml:space="preserve">げんき</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（元気</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 </t>
    </r>
    <r>
      <rPr>
        <sz val="10"/>
        <rFont val="Arial"/>
        <family val="0"/>
        <charset val="1"/>
      </rPr>
      <t xml:space="preserve">= Khỏe mạnh
   Mẹo: NGUYÊN KHÍ = khí lực gốc còn đầy → khỏe.
• </t>
    </r>
    <r>
      <rPr>
        <sz val="10"/>
        <rFont val="Noto Sans CJK SC"/>
        <family val="2"/>
      </rPr>
      <t xml:space="preserve">ゆうめい</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（有名</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 </t>
    </r>
    <r>
      <rPr>
        <sz val="10"/>
        <rFont val="Arial"/>
        <family val="0"/>
        <charset val="1"/>
      </rPr>
      <t xml:space="preserve">= Nổi tiếng
   Mẹo: HỮU DANH = có tên tuổi.
• </t>
    </r>
    <r>
      <rPr>
        <sz val="10"/>
        <rFont val="Noto Sans CJK SC"/>
        <family val="2"/>
      </rPr>
      <t xml:space="preserve">しんせつ</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（親切</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 </t>
    </r>
    <r>
      <rPr>
        <sz val="10"/>
        <rFont val="Arial"/>
        <family val="0"/>
        <charset val="1"/>
      </rPr>
      <t xml:space="preserve">= Tốt bụng
   Mẹo: THÂN THIẾT = gần gũi, tử tế với người khác.
→ Đối chiếu thêm với mục </t>
    </r>
    <r>
      <rPr>
        <sz val="10"/>
        <rFont val="Noto Sans CJK SC"/>
        <family val="2"/>
      </rPr>
      <t xml:space="preserve">語彙 </t>
    </r>
    <r>
      <rPr>
        <sz val="10"/>
        <rFont val="Arial"/>
        <family val="0"/>
        <charset val="1"/>
      </rPr>
      <t xml:space="preserve">của bài 8 trong sách để bổ sung.</t>
    </r>
  </si>
  <si>
    <r>
      <rPr>
        <b val="true"/>
        <sz val="12"/>
        <color rgb="FF1F3864"/>
        <rFont val="Arial"/>
        <family val="0"/>
        <charset val="1"/>
      </rPr>
      <t xml:space="preserve">NGÀY 33  ·  Tuần 5  ·  Minna Bài 9 (1/2)  ·  Thích / Giỏi / Có &amp; Lý do </t>
    </r>
    <r>
      <rPr>
        <b val="true"/>
        <sz val="12"/>
        <color rgb="FF1F3864"/>
        <rFont val="Noto Sans CJK SC"/>
        <family val="2"/>
      </rPr>
      <t xml:space="preserve">から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</si>
  <si>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言 </t>
    </r>
    <r>
      <rPr>
        <sz val="10"/>
        <rFont val="Arial"/>
        <family val="0"/>
        <charset val="1"/>
      </rPr>
      <t xml:space="preserve">/ </t>
    </r>
    <r>
      <rPr>
        <sz val="10"/>
        <rFont val="Noto Sans CJK SC"/>
        <family val="2"/>
      </rPr>
      <t xml:space="preserve">訁 </t>
    </r>
    <r>
      <rPr>
        <sz val="10"/>
        <rFont val="Arial"/>
        <family val="0"/>
        <charset val="1"/>
      </rPr>
      <t xml:space="preserve">(</t>
    </r>
    <r>
      <rPr>
        <sz val="10"/>
        <rFont val="Noto Sans CJK SC"/>
        <family val="2"/>
      </rPr>
      <t xml:space="preserve">ごんべん</t>
    </r>
    <r>
      <rPr>
        <sz val="10"/>
        <rFont val="Arial"/>
        <family val="0"/>
        <charset val="1"/>
      </rPr>
      <t xml:space="preserve">) = Lời nói, ngôn ngữ
   Mẹo nhớ: Miệng phát ra sóng âm — chữ nào có </t>
    </r>
    <r>
      <rPr>
        <sz val="10"/>
        <rFont val="Noto Sans CJK SC"/>
        <family val="2"/>
      </rPr>
      <t xml:space="preserve">言 </t>
    </r>
    <r>
      <rPr>
        <sz val="10"/>
        <rFont val="Arial"/>
        <family val="0"/>
        <charset val="1"/>
      </rPr>
      <t xml:space="preserve">đều liên quan đến nói
   Kanji chứa bộ này: </t>
    </r>
    <r>
      <rPr>
        <sz val="10"/>
        <rFont val="Noto Sans CJK SC"/>
        <family val="2"/>
      </rPr>
      <t xml:space="preserve">言・話・語・読</t>
    </r>
  </si>
  <si>
    <r>
      <rPr>
        <sz val="10"/>
        <rFont val="Arial"/>
        <family val="0"/>
        <charset val="1"/>
      </rPr>
      <t xml:space="preserve">Học 2 chữ. Mỗi chữ viết tay 10 lần đúng thứ tự nét.
• </t>
    </r>
    <r>
      <rPr>
        <sz val="10"/>
        <rFont val="Noto Sans CJK SC"/>
        <family val="2"/>
      </rPr>
      <t xml:space="preserve">入 </t>
    </r>
    <r>
      <rPr>
        <sz val="10"/>
        <rFont val="Arial"/>
        <family val="0"/>
        <charset val="1"/>
      </rPr>
      <t xml:space="preserve">[NHẬP] Vào — On: </t>
    </r>
    <r>
      <rPr>
        <sz val="10"/>
        <rFont val="Noto Sans CJK SC"/>
        <family val="2"/>
      </rPr>
      <t xml:space="preserve">ニュウ </t>
    </r>
    <r>
      <rPr>
        <sz val="10"/>
        <rFont val="Arial"/>
        <family val="0"/>
        <charset val="1"/>
      </rPr>
      <t xml:space="preserve">/ Kun: </t>
    </r>
    <r>
      <rPr>
        <sz val="10"/>
        <rFont val="Noto Sans CJK SC"/>
        <family val="2"/>
      </rPr>
      <t xml:space="preserve">はい</t>
    </r>
    <r>
      <rPr>
        <sz val="10"/>
        <rFont val="Arial"/>
        <family val="0"/>
        <charset val="1"/>
      </rPr>
      <t xml:space="preserve">(</t>
    </r>
    <r>
      <rPr>
        <sz val="10"/>
        <rFont val="Noto Sans CJK SC"/>
        <family val="2"/>
      </rPr>
      <t xml:space="preserve">る</t>
    </r>
    <r>
      <rPr>
        <sz val="10"/>
        <rFont val="Arial"/>
        <family val="0"/>
        <charset val="1"/>
      </rPr>
      <t xml:space="preserve">)</t>
    </r>
    <r>
      <rPr>
        <sz val="10"/>
        <rFont val="Noto Sans CJK SC"/>
        <family val="2"/>
      </rPr>
      <t xml:space="preserve">・い</t>
    </r>
    <r>
      <rPr>
        <sz val="10"/>
        <rFont val="Arial"/>
        <family val="0"/>
        <charset val="1"/>
      </rPr>
      <t xml:space="preserve">(</t>
    </r>
    <r>
      <rPr>
        <sz val="10"/>
        <rFont val="Noto Sans CJK SC"/>
        <family val="2"/>
      </rPr>
      <t xml:space="preserve">れる</t>
    </r>
    <r>
      <rPr>
        <sz val="10"/>
        <rFont val="Arial"/>
        <family val="0"/>
        <charset val="1"/>
      </rPr>
      <t xml:space="preserve">) (2 nét)
   Từ ghép: </t>
    </r>
    <r>
      <rPr>
        <sz val="10"/>
        <rFont val="Noto Sans CJK SC"/>
        <family val="2"/>
      </rPr>
      <t xml:space="preserve">入ります </t>
    </r>
    <r>
      <rPr>
        <sz val="10"/>
        <rFont val="Arial"/>
        <family val="0"/>
        <charset val="1"/>
      </rPr>
      <t xml:space="preserve">(</t>
    </r>
    <r>
      <rPr>
        <sz val="10"/>
        <rFont val="Noto Sans CJK SC"/>
        <family val="2"/>
      </rPr>
      <t xml:space="preserve">はいります</t>
    </r>
    <r>
      <rPr>
        <sz val="10"/>
        <rFont val="Arial"/>
        <family val="0"/>
        <charset val="1"/>
      </rPr>
      <t xml:space="preserve">) vào </t>
    </r>
    <r>
      <rPr>
        <sz val="10"/>
        <rFont val="Noto Sans CJK SC"/>
        <family val="2"/>
      </rPr>
      <t xml:space="preserve">・ 入口 </t>
    </r>
    <r>
      <rPr>
        <sz val="10"/>
        <rFont val="Arial"/>
        <family val="0"/>
        <charset val="1"/>
      </rPr>
      <t xml:space="preserve">(</t>
    </r>
    <r>
      <rPr>
        <sz val="10"/>
        <rFont val="Noto Sans CJK SC"/>
        <family val="2"/>
      </rPr>
      <t xml:space="preserve">いりぐち</t>
    </r>
    <r>
      <rPr>
        <sz val="10"/>
        <rFont val="Arial"/>
        <family val="0"/>
        <charset val="1"/>
      </rPr>
      <t xml:space="preserve">) lối vào </t>
    </r>
    <r>
      <rPr>
        <sz val="10"/>
        <rFont val="Noto Sans CJK SC"/>
        <family val="2"/>
      </rPr>
      <t xml:space="preserve">・ 入学 </t>
    </r>
    <r>
      <rPr>
        <sz val="10"/>
        <rFont val="Arial"/>
        <family val="0"/>
        <charset val="1"/>
      </rPr>
      <t xml:space="preserve">(</t>
    </r>
    <r>
      <rPr>
        <sz val="10"/>
        <rFont val="Noto Sans CJK SC"/>
        <family val="2"/>
      </rPr>
      <t xml:space="preserve">にゅうがく</t>
    </r>
    <r>
      <rPr>
        <sz val="10"/>
        <rFont val="Arial"/>
        <family val="0"/>
        <charset val="1"/>
      </rPr>
      <t xml:space="preserve">) nhập học
   Mẹo: Giống </t>
    </r>
    <r>
      <rPr>
        <sz val="10"/>
        <rFont val="Noto Sans CJK SC"/>
        <family val="2"/>
      </rPr>
      <t xml:space="preserve">人 </t>
    </r>
    <r>
      <rPr>
        <sz val="10"/>
        <rFont val="Arial"/>
        <family val="0"/>
        <charset val="1"/>
      </rPr>
      <t xml:space="preserve">nhưng nét trái đè lên nét phải, như mũi tên chúc xuống chui VÀO. Đối lập với </t>
    </r>
    <r>
      <rPr>
        <sz val="10"/>
        <rFont val="Noto Sans CJK SC"/>
        <family val="2"/>
      </rPr>
      <t xml:space="preserve">出</t>
    </r>
    <r>
      <rPr>
        <sz val="10"/>
        <rFont val="Arial"/>
        <family val="0"/>
        <charset val="1"/>
      </rPr>
      <t xml:space="preserve">.
• </t>
    </r>
    <r>
      <rPr>
        <sz val="10"/>
        <rFont val="Noto Sans CJK SC"/>
        <family val="2"/>
      </rPr>
      <t xml:space="preserve">立 </t>
    </r>
    <r>
      <rPr>
        <sz val="10"/>
        <rFont val="Arial"/>
        <family val="0"/>
        <charset val="1"/>
      </rPr>
      <t xml:space="preserve">[LẬP] Đứng — On: </t>
    </r>
    <r>
      <rPr>
        <sz val="10"/>
        <rFont val="Noto Sans CJK SC"/>
        <family val="2"/>
      </rPr>
      <t xml:space="preserve">リツ </t>
    </r>
    <r>
      <rPr>
        <sz val="10"/>
        <rFont val="Arial"/>
        <family val="0"/>
        <charset val="1"/>
      </rPr>
      <t xml:space="preserve">/ Kun: </t>
    </r>
    <r>
      <rPr>
        <sz val="10"/>
        <rFont val="Noto Sans CJK SC"/>
        <family val="2"/>
      </rPr>
      <t xml:space="preserve">た</t>
    </r>
    <r>
      <rPr>
        <sz val="10"/>
        <rFont val="Arial"/>
        <family val="0"/>
        <charset val="1"/>
      </rPr>
      <t xml:space="preserve">(</t>
    </r>
    <r>
      <rPr>
        <sz val="10"/>
        <rFont val="Noto Sans CJK SC"/>
        <family val="2"/>
      </rPr>
      <t xml:space="preserve">つ</t>
    </r>
    <r>
      <rPr>
        <sz val="10"/>
        <rFont val="Arial"/>
        <family val="0"/>
        <charset val="1"/>
      </rPr>
      <t xml:space="preserve">) (5 nét)
   Từ ghép: </t>
    </r>
    <r>
      <rPr>
        <sz val="10"/>
        <rFont val="Noto Sans CJK SC"/>
        <family val="2"/>
      </rPr>
      <t xml:space="preserve">立ちます </t>
    </r>
    <r>
      <rPr>
        <sz val="10"/>
        <rFont val="Arial"/>
        <family val="0"/>
        <charset val="1"/>
      </rPr>
      <t xml:space="preserve">(</t>
    </r>
    <r>
      <rPr>
        <sz val="10"/>
        <rFont val="Noto Sans CJK SC"/>
        <family val="2"/>
      </rPr>
      <t xml:space="preserve">たちます</t>
    </r>
    <r>
      <rPr>
        <sz val="10"/>
        <rFont val="Arial"/>
        <family val="0"/>
        <charset val="1"/>
      </rPr>
      <t xml:space="preserve">) đứng </t>
    </r>
    <r>
      <rPr>
        <sz val="10"/>
        <rFont val="Noto Sans CJK SC"/>
        <family val="2"/>
      </rPr>
      <t xml:space="preserve">・ 立派 </t>
    </r>
    <r>
      <rPr>
        <sz val="10"/>
        <rFont val="Arial"/>
        <family val="0"/>
        <charset val="1"/>
      </rPr>
      <t xml:space="preserve">(</t>
    </r>
    <r>
      <rPr>
        <sz val="10"/>
        <rFont val="Noto Sans CJK SC"/>
        <family val="2"/>
      </rPr>
      <t xml:space="preserve">りっぱ</t>
    </r>
    <r>
      <rPr>
        <sz val="10"/>
        <rFont val="Arial"/>
        <family val="0"/>
        <charset val="1"/>
      </rPr>
      <t xml:space="preserve">) tuyệt vời </t>
    </r>
    <r>
      <rPr>
        <sz val="10"/>
        <rFont val="Noto Sans CJK SC"/>
        <family val="2"/>
      </rPr>
      <t xml:space="preserve">・ 国立 </t>
    </r>
    <r>
      <rPr>
        <sz val="10"/>
        <rFont val="Arial"/>
        <family val="0"/>
        <charset val="1"/>
      </rPr>
      <t xml:space="preserve">(</t>
    </r>
    <r>
      <rPr>
        <sz val="10"/>
        <rFont val="Noto Sans CJK SC"/>
        <family val="2"/>
      </rPr>
      <t xml:space="preserve">こくりつ</t>
    </r>
    <r>
      <rPr>
        <sz val="10"/>
        <rFont val="Arial"/>
        <family val="0"/>
        <charset val="1"/>
      </rPr>
      <t xml:space="preserve">) quốc lập
   Mẹo: Một người dang tay ĐỨNG trên vạch mặt đất.</t>
    </r>
  </si>
  <si>
    <r>
      <rPr>
        <sz val="10"/>
        <rFont val="Arial"/>
        <family val="0"/>
        <charset val="1"/>
      </rPr>
      <t xml:space="preserve">Minna bài 9 (1/2) — Thích / Giỏi / Có &amp; Lý do </t>
    </r>
    <r>
      <rPr>
        <sz val="10"/>
        <rFont val="Noto Sans CJK SC"/>
        <family val="2"/>
      </rPr>
      <t xml:space="preserve">から
• </t>
    </r>
    <r>
      <rPr>
        <sz val="10"/>
        <rFont val="Arial"/>
        <family val="0"/>
        <charset val="1"/>
      </rPr>
      <t xml:space="preserve">N </t>
    </r>
    <r>
      <rPr>
        <sz val="10"/>
        <rFont val="Noto Sans CJK SC"/>
        <family val="2"/>
      </rPr>
      <t xml:space="preserve">が 好き </t>
    </r>
    <r>
      <rPr>
        <sz val="10"/>
        <rFont val="Arial"/>
        <family val="0"/>
        <charset val="1"/>
      </rPr>
      <t xml:space="preserve">/ </t>
    </r>
    <r>
      <rPr>
        <sz val="10"/>
        <rFont val="Noto Sans CJK SC"/>
        <family val="2"/>
      </rPr>
      <t xml:space="preserve">嫌い </t>
    </r>
    <r>
      <rPr>
        <sz val="10"/>
        <rFont val="Arial"/>
        <family val="0"/>
        <charset val="1"/>
      </rPr>
      <t xml:space="preserve">/ </t>
    </r>
    <r>
      <rPr>
        <sz val="10"/>
        <rFont val="Noto Sans CJK SC"/>
        <family val="2"/>
      </rPr>
      <t xml:space="preserve">上手 </t>
    </r>
    <r>
      <rPr>
        <sz val="10"/>
        <rFont val="Arial"/>
        <family val="0"/>
        <charset val="1"/>
      </rPr>
      <t xml:space="preserve">/ </t>
    </r>
    <r>
      <rPr>
        <sz val="10"/>
        <rFont val="Noto Sans CJK SC"/>
        <family val="2"/>
      </rPr>
      <t xml:space="preserve">下手 です  </t>
    </r>
    <r>
      <rPr>
        <sz val="10"/>
        <rFont val="Arial"/>
        <family val="0"/>
        <charset val="1"/>
      </rPr>
      <t xml:space="preserve">(Thích / ghét / giỏi / kém. Đối tượng đi với </t>
    </r>
    <r>
      <rPr>
        <sz val="10"/>
        <rFont val="Noto Sans CJK SC"/>
        <family val="2"/>
      </rPr>
      <t xml:space="preserve">が</t>
    </r>
    <r>
      <rPr>
        <sz val="10"/>
        <rFont val="Arial"/>
        <family val="0"/>
        <charset val="1"/>
      </rPr>
      <t xml:space="preserve">, KHÔNG dùng </t>
    </r>
    <r>
      <rPr>
        <sz val="10"/>
        <rFont val="Noto Sans CJK SC"/>
        <family val="2"/>
      </rPr>
      <t xml:space="preserve">を</t>
    </r>
    <r>
      <rPr>
        <sz val="10"/>
        <rFont val="Arial"/>
        <family val="0"/>
        <charset val="1"/>
      </rPr>
      <t xml:space="preserve">.)
   Ví dụ: </t>
    </r>
    <r>
      <rPr>
        <sz val="10"/>
        <rFont val="Noto Sans CJK SC"/>
        <family val="2"/>
      </rPr>
      <t xml:space="preserve">わたしは 日本語が 好きです。  </t>
    </r>
    <r>
      <rPr>
        <sz val="10"/>
        <rFont val="Arial"/>
        <family val="0"/>
        <charset val="1"/>
      </rPr>
      <t xml:space="preserve">= Tôi thích tiếng Nhật.
• N </t>
    </r>
    <r>
      <rPr>
        <sz val="10"/>
        <rFont val="Noto Sans CJK SC"/>
        <family val="2"/>
      </rPr>
      <t xml:space="preserve">が あります </t>
    </r>
    <r>
      <rPr>
        <sz val="10"/>
        <rFont val="Arial"/>
        <family val="0"/>
        <charset val="1"/>
      </rPr>
      <t xml:space="preserve">/ </t>
    </r>
    <r>
      <rPr>
        <sz val="10"/>
        <rFont val="Noto Sans CJK SC"/>
        <family val="2"/>
      </rPr>
      <t xml:space="preserve">わかります  </t>
    </r>
    <r>
      <rPr>
        <sz val="10"/>
        <rFont val="Arial"/>
        <family val="0"/>
        <charset val="1"/>
      </rPr>
      <t xml:space="preserve">(Có (sự kiện, khả năng) / hiểu. Cũng dùng </t>
    </r>
    <r>
      <rPr>
        <sz val="10"/>
        <rFont val="Noto Sans CJK SC"/>
        <family val="2"/>
      </rPr>
      <t xml:space="preserve">が</t>
    </r>
    <r>
      <rPr>
        <sz val="10"/>
        <rFont val="Arial"/>
        <family val="0"/>
        <charset val="1"/>
      </rPr>
      <t xml:space="preserve">.)
   Ví dụ: </t>
    </r>
    <r>
      <rPr>
        <sz val="10"/>
        <rFont val="Noto Sans CJK SC"/>
        <family val="2"/>
      </rPr>
      <t xml:space="preserve">ひらがなが わかります。  </t>
    </r>
    <r>
      <rPr>
        <sz val="10"/>
        <rFont val="Arial"/>
        <family val="0"/>
        <charset val="1"/>
      </rPr>
      <t xml:space="preserve">= Tôi hiểu chữ Hiragana.
• </t>
    </r>
    <r>
      <rPr>
        <sz val="10"/>
        <rFont val="Noto Sans CJK SC"/>
        <family val="2"/>
      </rPr>
      <t xml:space="preserve">〜から、〜  </t>
    </r>
    <r>
      <rPr>
        <sz val="10"/>
        <rFont val="Arial"/>
        <family val="0"/>
        <charset val="1"/>
      </rPr>
      <t xml:space="preserve">(Vì ~ nên ~. Vế lý do đứng TRƯỚC.)
   Ví dụ: </t>
    </r>
    <r>
      <rPr>
        <sz val="10"/>
        <rFont val="Noto Sans CJK SC"/>
        <family val="2"/>
      </rPr>
      <t xml:space="preserve">時間が ありませんから、行きません。  </t>
    </r>
    <r>
      <rPr>
        <sz val="10"/>
        <rFont val="Arial"/>
        <family val="0"/>
        <charset val="1"/>
      </rPr>
      <t xml:space="preserve">= Vì không có thời gian nên tôi không đi.
→ Làm </t>
    </r>
    <r>
      <rPr>
        <sz val="10"/>
        <rFont val="Noto Sans CJK SC"/>
        <family val="2"/>
      </rPr>
      <t xml:space="preserve">練習</t>
    </r>
    <r>
      <rPr>
        <sz val="10"/>
        <rFont val="Arial"/>
        <family val="0"/>
        <charset val="1"/>
      </rPr>
      <t xml:space="preserve">A của bài 9 trong sách, mỗi mẫu tự đặt 3 câu.</t>
    </r>
  </si>
  <si>
    <r>
      <rPr>
        <sz val="10"/>
        <rFont val="Arial"/>
        <family val="0"/>
        <charset val="1"/>
      </rPr>
      <t xml:space="preserve">Từ mới Minna bài 9:
• </t>
    </r>
    <r>
      <rPr>
        <sz val="10"/>
        <rFont val="Noto Sans CJK SC"/>
        <family val="2"/>
      </rPr>
      <t xml:space="preserve">すき</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（好き</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 </t>
    </r>
    <r>
      <rPr>
        <sz val="10"/>
        <rFont val="Arial"/>
        <family val="0"/>
        <charset val="1"/>
      </rPr>
      <t xml:space="preserve">= Thích
   Mẹo: </t>
    </r>
    <r>
      <rPr>
        <sz val="10"/>
        <rFont val="Noto Sans CJK SC"/>
        <family val="2"/>
      </rPr>
      <t xml:space="preserve">好 </t>
    </r>
    <r>
      <rPr>
        <sz val="10"/>
        <rFont val="Arial"/>
        <family val="0"/>
        <charset val="1"/>
      </rPr>
      <t xml:space="preserve">= </t>
    </r>
    <r>
      <rPr>
        <sz val="10"/>
        <rFont val="Noto Sans CJK SC"/>
        <family val="2"/>
      </rPr>
      <t xml:space="preserve">女 </t>
    </r>
    <r>
      <rPr>
        <sz val="10"/>
        <rFont val="Arial"/>
        <family val="0"/>
        <charset val="1"/>
      </rPr>
      <t xml:space="preserve">(nữ) + </t>
    </r>
    <r>
      <rPr>
        <sz val="10"/>
        <rFont val="Noto Sans CJK SC"/>
        <family val="2"/>
      </rPr>
      <t xml:space="preserve">子 </t>
    </r>
    <r>
      <rPr>
        <sz val="10"/>
        <rFont val="Arial"/>
        <family val="0"/>
        <charset val="1"/>
      </rPr>
      <t xml:space="preserve">(con) → mẹ thương con = THÍCH.
• </t>
    </r>
    <r>
      <rPr>
        <sz val="10"/>
        <rFont val="Noto Sans CJK SC"/>
        <family val="2"/>
      </rPr>
      <t xml:space="preserve">きらい</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（嫌い</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 </t>
    </r>
    <r>
      <rPr>
        <sz val="10"/>
        <rFont val="Arial"/>
        <family val="0"/>
        <charset val="1"/>
      </rPr>
      <t xml:space="preserve">= Ghét
   Mẹo: </t>
    </r>
    <r>
      <rPr>
        <sz val="10"/>
        <rFont val="Noto Sans CJK SC"/>
        <family val="2"/>
      </rPr>
      <t xml:space="preserve">嫌 </t>
    </r>
    <r>
      <rPr>
        <sz val="10"/>
        <rFont val="Arial"/>
        <family val="0"/>
        <charset val="1"/>
      </rPr>
      <t xml:space="preserve">có bộ </t>
    </r>
    <r>
      <rPr>
        <sz val="10"/>
        <rFont val="Noto Sans CJK SC"/>
        <family val="2"/>
      </rPr>
      <t xml:space="preserve">女 → </t>
    </r>
    <r>
      <rPr>
        <sz val="10"/>
        <rFont val="Arial"/>
        <family val="0"/>
        <charset val="1"/>
      </rPr>
      <t xml:space="preserve">'hiềm' khích, ghét bỏ.
• </t>
    </r>
    <r>
      <rPr>
        <sz val="10"/>
        <rFont val="Noto Sans CJK SC"/>
        <family val="2"/>
      </rPr>
      <t xml:space="preserve">じょうず</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（上手</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 </t>
    </r>
    <r>
      <rPr>
        <sz val="10"/>
        <rFont val="Arial"/>
        <family val="0"/>
        <charset val="1"/>
      </rPr>
      <t xml:space="preserve">= Giỏi
   Mẹo: THƯỢNG THỦ = tay nghề bậc trên → GIỎI.
• </t>
    </r>
    <r>
      <rPr>
        <sz val="10"/>
        <rFont val="Noto Sans CJK SC"/>
        <family val="2"/>
      </rPr>
      <t xml:space="preserve">へた</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（下手</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 </t>
    </r>
    <r>
      <rPr>
        <sz val="10"/>
        <rFont val="Arial"/>
        <family val="0"/>
        <charset val="1"/>
      </rPr>
      <t xml:space="preserve">= Kém
   Mẹo: HẠ THỦ = tay nghề bậc dưới → KÉM. Đối lập hoàn hảo với </t>
    </r>
    <r>
      <rPr>
        <sz val="10"/>
        <rFont val="Noto Sans CJK SC"/>
        <family val="2"/>
      </rPr>
      <t xml:space="preserve">上手</t>
    </r>
    <r>
      <rPr>
        <sz val="10"/>
        <rFont val="Arial"/>
        <family val="0"/>
        <charset val="1"/>
      </rPr>
      <t xml:space="preserve">.
• </t>
    </r>
    <r>
      <rPr>
        <sz val="10"/>
        <rFont val="Noto Sans CJK SC"/>
        <family val="2"/>
      </rPr>
      <t xml:space="preserve">わかります（分かります） </t>
    </r>
    <r>
      <rPr>
        <sz val="10"/>
        <rFont val="Arial"/>
        <family val="0"/>
        <charset val="1"/>
      </rPr>
      <t xml:space="preserve">= Hiểu
   Mẹo: </t>
    </r>
    <r>
      <rPr>
        <sz val="10"/>
        <rFont val="Noto Sans CJK SC"/>
        <family val="2"/>
      </rPr>
      <t xml:space="preserve">分 </t>
    </r>
    <r>
      <rPr>
        <sz val="10"/>
        <rFont val="Arial"/>
        <family val="0"/>
        <charset val="1"/>
      </rPr>
      <t xml:space="preserve">= lấy dao chia nhỏ vấn đề ra → HIỂU được.
• </t>
    </r>
    <r>
      <rPr>
        <sz val="10"/>
        <rFont val="Noto Sans CJK SC"/>
        <family val="2"/>
      </rPr>
      <t xml:space="preserve">あります </t>
    </r>
    <r>
      <rPr>
        <sz val="10"/>
        <rFont val="Arial"/>
        <family val="0"/>
        <charset val="1"/>
      </rPr>
      <t xml:space="preserve">= Có (đồ vật, sự kiện)
   Mẹo: Dùng cho vật vô tri và sự kiện. Vật sống thì dùng </t>
    </r>
    <r>
      <rPr>
        <sz val="10"/>
        <rFont val="Noto Sans CJK SC"/>
        <family val="2"/>
      </rPr>
      <t xml:space="preserve">います</t>
    </r>
    <r>
      <rPr>
        <sz val="10"/>
        <rFont val="Arial"/>
        <family val="0"/>
        <charset val="1"/>
      </rPr>
      <t xml:space="preserve">.
• </t>
    </r>
    <r>
      <rPr>
        <sz val="10"/>
        <rFont val="Noto Sans CJK SC"/>
        <family val="2"/>
      </rPr>
      <t xml:space="preserve">りょうり（料理） </t>
    </r>
    <r>
      <rPr>
        <sz val="10"/>
        <rFont val="Arial"/>
        <family val="0"/>
        <charset val="1"/>
      </rPr>
      <t xml:space="preserve">= Món ăn, nấu ăn
   Mẹo: LIỆU LÝ = xử lý nguyên liệu → nấu ăn.
→ Đối chiếu thêm với mục </t>
    </r>
    <r>
      <rPr>
        <sz val="10"/>
        <rFont val="Noto Sans CJK SC"/>
        <family val="2"/>
      </rPr>
      <t xml:space="preserve">語彙 </t>
    </r>
    <r>
      <rPr>
        <sz val="10"/>
        <rFont val="Arial"/>
        <family val="0"/>
        <charset val="1"/>
      </rPr>
      <t xml:space="preserve">của bài 9 trong sách để bổ sung.</t>
    </r>
  </si>
  <si>
    <r>
      <rPr>
        <b val="true"/>
        <sz val="12"/>
        <color rgb="FF1F3864"/>
        <rFont val="Arial"/>
        <family val="0"/>
        <charset val="1"/>
      </rPr>
      <t xml:space="preserve">NGÀY 34  ·  Tuần 5  ·  Minna Bài 9 (2/2)  ·  Thích / Giỏi / Có &amp; Lý do </t>
    </r>
    <r>
      <rPr>
        <b val="true"/>
        <sz val="12"/>
        <color rgb="FF1F3864"/>
        <rFont val="Noto Sans CJK SC"/>
        <family val="2"/>
      </rPr>
      <t xml:space="preserve">から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</si>
  <si>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車 </t>
    </r>
    <r>
      <rPr>
        <sz val="10"/>
        <rFont val="Arial"/>
        <family val="0"/>
        <charset val="1"/>
      </rPr>
      <t xml:space="preserve">(</t>
    </r>
    <r>
      <rPr>
        <sz val="10"/>
        <rFont val="Noto Sans CJK SC"/>
        <family val="2"/>
      </rPr>
      <t xml:space="preserve">くるま </t>
    </r>
    <r>
      <rPr>
        <sz val="10"/>
        <rFont val="Arial"/>
        <family val="0"/>
        <charset val="1"/>
      </rPr>
      <t xml:space="preserve">/ </t>
    </r>
    <r>
      <rPr>
        <sz val="10"/>
        <rFont val="Noto Sans CJK SC"/>
        <family val="2"/>
      </rPr>
      <t xml:space="preserve">くるまへん</t>
    </r>
    <r>
      <rPr>
        <sz val="10"/>
        <rFont val="Arial"/>
        <family val="0"/>
        <charset val="1"/>
      </rPr>
      <t xml:space="preserve">) = Xe cộ
   Mẹo nhớ: Nhìn từ trên xuống: trục và hai bánh xe
   Kanji chứa bộ này: </t>
    </r>
    <r>
      <rPr>
        <sz val="10"/>
        <rFont val="Noto Sans CJK SC"/>
        <family val="2"/>
      </rPr>
      <t xml:space="preserve">車・転・軽・輪</t>
    </r>
  </si>
  <si>
    <r>
      <rPr>
        <sz val="10"/>
        <rFont val="Arial"/>
        <family val="0"/>
        <charset val="1"/>
      </rPr>
      <t xml:space="preserve">Học 2 chữ. Mỗi chữ viết tay 10 lần đúng thứ tự nét.
• </t>
    </r>
    <r>
      <rPr>
        <sz val="10"/>
        <rFont val="Noto Sans CJK SC"/>
        <family val="2"/>
      </rPr>
      <t xml:space="preserve">手 </t>
    </r>
    <r>
      <rPr>
        <sz val="10"/>
        <rFont val="Arial"/>
        <family val="0"/>
        <charset val="1"/>
      </rPr>
      <t xml:space="preserve">[THỦ] Tay — On: </t>
    </r>
    <r>
      <rPr>
        <sz val="10"/>
        <rFont val="Noto Sans CJK SC"/>
        <family val="2"/>
      </rPr>
      <t xml:space="preserve">シュ </t>
    </r>
    <r>
      <rPr>
        <sz val="10"/>
        <rFont val="Arial"/>
        <family val="0"/>
        <charset val="1"/>
      </rPr>
      <t xml:space="preserve">/ Kun: </t>
    </r>
    <r>
      <rPr>
        <sz val="10"/>
        <rFont val="Noto Sans CJK SC"/>
        <family val="2"/>
      </rPr>
      <t xml:space="preserve">て </t>
    </r>
    <r>
      <rPr>
        <sz val="10"/>
        <rFont val="Arial"/>
        <family val="0"/>
        <charset val="1"/>
      </rPr>
      <t xml:space="preserve">(4 nét)
   Từ ghép: </t>
    </r>
    <r>
      <rPr>
        <sz val="10"/>
        <rFont val="Noto Sans CJK SC"/>
        <family val="2"/>
      </rPr>
      <t xml:space="preserve">手 </t>
    </r>
    <r>
      <rPr>
        <sz val="10"/>
        <rFont val="Arial"/>
        <family val="0"/>
        <charset val="1"/>
      </rPr>
      <t xml:space="preserve">(</t>
    </r>
    <r>
      <rPr>
        <sz val="10"/>
        <rFont val="Noto Sans CJK SC"/>
        <family val="2"/>
      </rPr>
      <t xml:space="preserve">て</t>
    </r>
    <r>
      <rPr>
        <sz val="10"/>
        <rFont val="Arial"/>
        <family val="0"/>
        <charset val="1"/>
      </rPr>
      <t xml:space="preserve">) tay </t>
    </r>
    <r>
      <rPr>
        <sz val="10"/>
        <rFont val="Noto Sans CJK SC"/>
        <family val="2"/>
      </rPr>
      <t xml:space="preserve">・ 上手 </t>
    </r>
    <r>
      <rPr>
        <sz val="10"/>
        <rFont val="Arial"/>
        <family val="0"/>
        <charset val="1"/>
      </rPr>
      <t xml:space="preserve">(</t>
    </r>
    <r>
      <rPr>
        <sz val="10"/>
        <rFont val="Noto Sans CJK SC"/>
        <family val="2"/>
      </rPr>
      <t xml:space="preserve">じょうず</t>
    </r>
    <r>
      <rPr>
        <sz val="10"/>
        <rFont val="Arial"/>
        <family val="0"/>
        <charset val="1"/>
      </rPr>
      <t xml:space="preserve">) giỏi </t>
    </r>
    <r>
      <rPr>
        <sz val="10"/>
        <rFont val="Noto Sans CJK SC"/>
        <family val="2"/>
      </rPr>
      <t xml:space="preserve">・ 手紙 </t>
    </r>
    <r>
      <rPr>
        <sz val="10"/>
        <rFont val="Arial"/>
        <family val="0"/>
        <charset val="1"/>
      </rPr>
      <t xml:space="preserve">(</t>
    </r>
    <r>
      <rPr>
        <sz val="10"/>
        <rFont val="Noto Sans CJK SC"/>
        <family val="2"/>
      </rPr>
      <t xml:space="preserve">てがみ</t>
    </r>
    <r>
      <rPr>
        <sz val="10"/>
        <rFont val="Arial"/>
        <family val="0"/>
        <charset val="1"/>
      </rPr>
      <t xml:space="preserve">) lá thư
   Mẹo: Hình bàn tay xòe ra với các ngón. Mẹo vui: </t>
    </r>
    <r>
      <rPr>
        <sz val="10"/>
        <rFont val="Noto Sans CJK SC"/>
        <family val="2"/>
      </rPr>
      <t xml:space="preserve">手紙 </t>
    </r>
    <r>
      <rPr>
        <sz val="10"/>
        <rFont val="Arial"/>
        <family val="0"/>
        <charset val="1"/>
      </rPr>
      <t xml:space="preserve">= 'giấy của tay' = LÁ THƯ.
• </t>
    </r>
    <r>
      <rPr>
        <sz val="10"/>
        <rFont val="Noto Sans CJK SC"/>
        <family val="2"/>
      </rPr>
      <t xml:space="preserve">学 </t>
    </r>
    <r>
      <rPr>
        <sz val="10"/>
        <rFont val="Arial"/>
        <family val="0"/>
        <charset val="1"/>
      </rPr>
      <t xml:space="preserve">[HỌC] Học — On: </t>
    </r>
    <r>
      <rPr>
        <sz val="10"/>
        <rFont val="Noto Sans CJK SC"/>
        <family val="2"/>
      </rPr>
      <t xml:space="preserve">ガク </t>
    </r>
    <r>
      <rPr>
        <sz val="10"/>
        <rFont val="Arial"/>
        <family val="0"/>
        <charset val="1"/>
      </rPr>
      <t xml:space="preserve">/ Kun: </t>
    </r>
    <r>
      <rPr>
        <sz val="10"/>
        <rFont val="Noto Sans CJK SC"/>
        <family val="2"/>
      </rPr>
      <t xml:space="preserve">まな</t>
    </r>
    <r>
      <rPr>
        <sz val="10"/>
        <rFont val="Arial"/>
        <family val="0"/>
        <charset val="1"/>
      </rPr>
      <t xml:space="preserve">(</t>
    </r>
    <r>
      <rPr>
        <sz val="10"/>
        <rFont val="Noto Sans CJK SC"/>
        <family val="2"/>
      </rPr>
      <t xml:space="preserve">ぶ</t>
    </r>
    <r>
      <rPr>
        <sz val="10"/>
        <rFont val="Arial"/>
        <family val="0"/>
        <charset val="1"/>
      </rPr>
      <t xml:space="preserve">) (8 nét)
   Từ ghép: </t>
    </r>
    <r>
      <rPr>
        <sz val="10"/>
        <rFont val="Noto Sans CJK SC"/>
        <family val="2"/>
      </rPr>
      <t xml:space="preserve">学生 </t>
    </r>
    <r>
      <rPr>
        <sz val="10"/>
        <rFont val="Arial"/>
        <family val="0"/>
        <charset val="1"/>
      </rPr>
      <t xml:space="preserve">(</t>
    </r>
    <r>
      <rPr>
        <sz val="10"/>
        <rFont val="Noto Sans CJK SC"/>
        <family val="2"/>
      </rPr>
      <t xml:space="preserve">がくせい</t>
    </r>
    <r>
      <rPr>
        <sz val="10"/>
        <rFont val="Arial"/>
        <family val="0"/>
        <charset val="1"/>
      </rPr>
      <t xml:space="preserve">) học sinh </t>
    </r>
    <r>
      <rPr>
        <sz val="10"/>
        <rFont val="Noto Sans CJK SC"/>
        <family val="2"/>
      </rPr>
      <t xml:space="preserve">・ 大学 </t>
    </r>
    <r>
      <rPr>
        <sz val="10"/>
        <rFont val="Arial"/>
        <family val="0"/>
        <charset val="1"/>
      </rPr>
      <t xml:space="preserve">(</t>
    </r>
    <r>
      <rPr>
        <sz val="10"/>
        <rFont val="Noto Sans CJK SC"/>
        <family val="2"/>
      </rPr>
      <t xml:space="preserve">だいがく</t>
    </r>
    <r>
      <rPr>
        <sz val="10"/>
        <rFont val="Arial"/>
        <family val="0"/>
        <charset val="1"/>
      </rPr>
      <t xml:space="preserve">) đại học </t>
    </r>
    <r>
      <rPr>
        <sz val="10"/>
        <rFont val="Noto Sans CJK SC"/>
        <family val="2"/>
      </rPr>
      <t xml:space="preserve">・ 学校 </t>
    </r>
    <r>
      <rPr>
        <sz val="10"/>
        <rFont val="Arial"/>
        <family val="0"/>
        <charset val="1"/>
      </rPr>
      <t xml:space="preserve">(</t>
    </r>
    <r>
      <rPr>
        <sz val="10"/>
        <rFont val="Noto Sans CJK SC"/>
        <family val="2"/>
      </rPr>
      <t xml:space="preserve">がっこう</t>
    </r>
    <r>
      <rPr>
        <sz val="10"/>
        <rFont val="Arial"/>
        <family val="0"/>
        <charset val="1"/>
      </rPr>
      <t xml:space="preserve">) trường học
   Mẹo: Phía trên là bàn tay che chắn, phía dưới là </t>
    </r>
    <r>
      <rPr>
        <sz val="10"/>
        <rFont val="Noto Sans CJK SC"/>
        <family val="2"/>
      </rPr>
      <t xml:space="preserve">子 </t>
    </r>
    <r>
      <rPr>
        <sz val="10"/>
        <rFont val="Arial"/>
        <family val="0"/>
        <charset val="1"/>
      </rPr>
      <t xml:space="preserve">(đứa trẻ) = người lớn dìu dắt trẻ HỌC.</t>
    </r>
  </si>
  <si>
    <r>
      <rPr>
        <sz val="10"/>
        <rFont val="Arial"/>
        <family val="0"/>
        <charset val="1"/>
      </rPr>
      <t xml:space="preserve">Minna bài 9 (2/2) — Thích / Giỏi / Có &amp; Lý do </t>
    </r>
    <r>
      <rPr>
        <sz val="10"/>
        <rFont val="Noto Sans CJK SC"/>
        <family val="2"/>
      </rPr>
      <t xml:space="preserve">から
• どうして〜か  </t>
    </r>
    <r>
      <rPr>
        <sz val="10"/>
        <rFont val="Arial"/>
        <family val="0"/>
        <charset val="1"/>
      </rPr>
      <t xml:space="preserve">(Tại sao? Trả lời bằng </t>
    </r>
    <r>
      <rPr>
        <sz val="10"/>
        <rFont val="Noto Sans CJK SC"/>
        <family val="2"/>
      </rPr>
      <t xml:space="preserve">〜からです</t>
    </r>
    <r>
      <rPr>
        <sz val="10"/>
        <rFont val="Arial"/>
        <family val="0"/>
        <charset val="1"/>
      </rPr>
      <t xml:space="preserve">.)
   Ví dụ: </t>
    </r>
    <r>
      <rPr>
        <sz val="10"/>
        <rFont val="Noto Sans CJK SC"/>
        <family val="2"/>
      </rPr>
      <t xml:space="preserve">どうして 来ませんでしたか。  </t>
    </r>
    <r>
      <rPr>
        <sz val="10"/>
        <rFont val="Arial"/>
        <family val="0"/>
        <charset val="1"/>
      </rPr>
      <t xml:space="preserve">= Tại sao bạn đã không đến?
• </t>
    </r>
    <r>
      <rPr>
        <sz val="10"/>
        <rFont val="Noto Sans CJK SC"/>
        <family val="2"/>
      </rPr>
      <t xml:space="preserve">よく </t>
    </r>
    <r>
      <rPr>
        <sz val="10"/>
        <rFont val="Arial"/>
        <family val="0"/>
        <charset val="1"/>
      </rPr>
      <t xml:space="preserve">/ </t>
    </r>
    <r>
      <rPr>
        <sz val="10"/>
        <rFont val="Noto Sans CJK SC"/>
        <family val="2"/>
      </rPr>
      <t xml:space="preserve">だいたい </t>
    </r>
    <r>
      <rPr>
        <sz val="10"/>
        <rFont val="Arial"/>
        <family val="0"/>
        <charset val="1"/>
      </rPr>
      <t xml:space="preserve">/ </t>
    </r>
    <r>
      <rPr>
        <sz val="10"/>
        <rFont val="Noto Sans CJK SC"/>
        <family val="2"/>
      </rPr>
      <t xml:space="preserve">たくさん </t>
    </r>
    <r>
      <rPr>
        <sz val="10"/>
        <rFont val="Arial"/>
        <family val="0"/>
        <charset val="1"/>
      </rPr>
      <t xml:space="preserve">/ </t>
    </r>
    <r>
      <rPr>
        <sz val="10"/>
        <rFont val="Noto Sans CJK SC"/>
        <family val="2"/>
      </rPr>
      <t xml:space="preserve">少し </t>
    </r>
    <r>
      <rPr>
        <sz val="10"/>
        <rFont val="Arial"/>
        <family val="0"/>
        <charset val="1"/>
      </rPr>
      <t xml:space="preserve">/ </t>
    </r>
    <r>
      <rPr>
        <sz val="10"/>
        <rFont val="Noto Sans CJK SC"/>
        <family val="2"/>
      </rPr>
      <t xml:space="preserve">あまり </t>
    </r>
    <r>
      <rPr>
        <sz val="10"/>
        <rFont val="Arial"/>
        <family val="0"/>
        <charset val="1"/>
      </rPr>
      <t xml:space="preserve">/ </t>
    </r>
    <r>
      <rPr>
        <sz val="10"/>
        <rFont val="Noto Sans CJK SC"/>
        <family val="2"/>
      </rPr>
      <t xml:space="preserve">全然  </t>
    </r>
    <r>
      <rPr>
        <sz val="10"/>
        <rFont val="Arial"/>
        <family val="0"/>
        <charset val="1"/>
      </rPr>
      <t xml:space="preserve">(Trạng từ mức độ. </t>
    </r>
    <r>
      <rPr>
        <sz val="10"/>
        <rFont val="Noto Sans CJK SC"/>
        <family val="2"/>
      </rPr>
      <t xml:space="preserve">あまり </t>
    </r>
    <r>
      <rPr>
        <sz val="10"/>
        <rFont val="Arial"/>
        <family val="0"/>
        <charset val="1"/>
      </rPr>
      <t xml:space="preserve">và </t>
    </r>
    <r>
      <rPr>
        <sz val="10"/>
        <rFont val="Noto Sans CJK SC"/>
        <family val="2"/>
      </rPr>
      <t xml:space="preserve">全然 </t>
    </r>
    <r>
      <rPr>
        <sz val="10"/>
        <rFont val="Arial"/>
        <family val="0"/>
        <charset val="1"/>
      </rPr>
      <t xml:space="preserve">luôn đi với phủ định.)
   Ví dụ: </t>
    </r>
    <r>
      <rPr>
        <sz val="10"/>
        <rFont val="Noto Sans CJK SC"/>
        <family val="2"/>
      </rPr>
      <t xml:space="preserve">あまり わかりません。  </t>
    </r>
    <r>
      <rPr>
        <sz val="10"/>
        <rFont val="Arial"/>
        <family val="0"/>
        <charset val="1"/>
      </rPr>
      <t xml:space="preserve">= Tôi không hiểu lắm.
→ Làm </t>
    </r>
    <r>
      <rPr>
        <sz val="10"/>
        <rFont val="Noto Sans CJK SC"/>
        <family val="2"/>
      </rPr>
      <t xml:space="preserve">練習</t>
    </r>
    <r>
      <rPr>
        <sz val="10"/>
        <rFont val="Arial"/>
        <family val="0"/>
        <charset val="1"/>
      </rPr>
      <t xml:space="preserve">A của bài 9 trong sách, mỗi mẫu tự đặt 3 câu.</t>
    </r>
  </si>
  <si>
    <r>
      <rPr>
        <sz val="10"/>
        <rFont val="Arial"/>
        <family val="0"/>
        <charset val="1"/>
      </rPr>
      <t xml:space="preserve">Từ mới Minna bài 9:
• </t>
    </r>
    <r>
      <rPr>
        <sz val="10"/>
        <rFont val="Noto Sans CJK SC"/>
        <family val="2"/>
      </rPr>
      <t xml:space="preserve">おんがく（音楽） </t>
    </r>
    <r>
      <rPr>
        <sz val="10"/>
        <rFont val="Arial"/>
        <family val="0"/>
        <charset val="1"/>
      </rPr>
      <t xml:space="preserve">= Âm nhạc
   Mẹo: ÂM NHẠC — </t>
    </r>
    <r>
      <rPr>
        <sz val="10"/>
        <rFont val="Noto Sans CJK SC"/>
        <family val="2"/>
      </rPr>
      <t xml:space="preserve">音 </t>
    </r>
    <r>
      <rPr>
        <sz val="10"/>
        <rFont val="Arial"/>
        <family val="0"/>
        <charset val="1"/>
      </rPr>
      <t xml:space="preserve">(âm) + </t>
    </r>
    <r>
      <rPr>
        <sz val="10"/>
        <rFont val="Noto Sans CJK SC"/>
        <family val="2"/>
      </rPr>
      <t xml:space="preserve">楽 </t>
    </r>
    <r>
      <rPr>
        <sz val="10"/>
        <rFont val="Arial"/>
        <family val="0"/>
        <charset val="1"/>
      </rPr>
      <t xml:space="preserve">(nhạc/lạc).
• </t>
    </r>
    <r>
      <rPr>
        <sz val="10"/>
        <rFont val="Noto Sans CJK SC"/>
        <family val="2"/>
      </rPr>
      <t xml:space="preserve">えいが（映画） </t>
    </r>
    <r>
      <rPr>
        <sz val="10"/>
        <rFont val="Arial"/>
        <family val="0"/>
        <charset val="1"/>
      </rPr>
      <t xml:space="preserve">= Phim
   Mẹo: ÁNH HỌA = bức tranh chiếu sáng lên màn.
• </t>
    </r>
    <r>
      <rPr>
        <sz val="10"/>
        <rFont val="Noto Sans CJK SC"/>
        <family val="2"/>
      </rPr>
      <t xml:space="preserve">スポーツ </t>
    </r>
    <r>
      <rPr>
        <sz val="10"/>
        <rFont val="Arial"/>
        <family val="0"/>
        <charset val="1"/>
      </rPr>
      <t xml:space="preserve">= Thể thao
   Mẹo: Từ 'sports'.
• </t>
    </r>
    <r>
      <rPr>
        <sz val="10"/>
        <rFont val="Noto Sans CJK SC"/>
        <family val="2"/>
      </rPr>
      <t xml:space="preserve">よく </t>
    </r>
    <r>
      <rPr>
        <sz val="10"/>
        <rFont val="Arial"/>
        <family val="0"/>
        <charset val="1"/>
      </rPr>
      <t xml:space="preserve">= Thường xuyên, giỏi
   Mẹo: </t>
    </r>
    <r>
      <rPr>
        <sz val="10"/>
        <rFont val="Noto Sans CJK SC"/>
        <family val="2"/>
      </rPr>
      <t xml:space="preserve">よく 行きます </t>
    </r>
    <r>
      <rPr>
        <sz val="10"/>
        <rFont val="Arial"/>
        <family val="0"/>
        <charset val="1"/>
      </rPr>
      <t xml:space="preserve">= hay đi. </t>
    </r>
    <r>
      <rPr>
        <sz val="10"/>
        <rFont val="Noto Sans CJK SC"/>
        <family val="2"/>
      </rPr>
      <t xml:space="preserve">よく わかります </t>
    </r>
    <r>
      <rPr>
        <sz val="10"/>
        <rFont val="Arial"/>
        <family val="0"/>
        <charset val="1"/>
      </rPr>
      <t xml:space="preserve">= hiểu rõ.
• </t>
    </r>
    <r>
      <rPr>
        <sz val="10"/>
        <rFont val="Noto Sans CJK SC"/>
        <family val="2"/>
      </rPr>
      <t xml:space="preserve">あまり </t>
    </r>
    <r>
      <rPr>
        <sz val="10"/>
        <rFont val="Arial"/>
        <family val="0"/>
        <charset val="1"/>
      </rPr>
      <t xml:space="preserve">= Không ~ lắm
   Mẹo: BẮT BUỘC đi với phủ định: </t>
    </r>
    <r>
      <rPr>
        <sz val="10"/>
        <rFont val="Noto Sans CJK SC"/>
        <family val="2"/>
      </rPr>
      <t xml:space="preserve">あまり 高くないです。
• ぜんぜん（全然） </t>
    </r>
    <r>
      <rPr>
        <sz val="10"/>
        <rFont val="Arial"/>
        <family val="0"/>
        <charset val="1"/>
      </rPr>
      <t xml:space="preserve">= Hoàn toàn không
   Mẹo: Cũng BẮT BUỘC đi với phủ định. TOÀN NHIÊN = toàn bộ như vậy.
• </t>
    </r>
    <r>
      <rPr>
        <sz val="10"/>
        <rFont val="Noto Sans CJK SC"/>
        <family val="2"/>
      </rPr>
      <t xml:space="preserve">どうして </t>
    </r>
    <r>
      <rPr>
        <sz val="10"/>
        <rFont val="Arial"/>
        <family val="0"/>
        <charset val="1"/>
      </rPr>
      <t xml:space="preserve">= Tại sao
   Mẹo: Trả lời phải kết thúc bằng </t>
    </r>
    <r>
      <rPr>
        <sz val="10"/>
        <rFont val="Noto Sans CJK SC"/>
        <family val="2"/>
      </rPr>
      <t xml:space="preserve">〜からです</t>
    </r>
    <r>
      <rPr>
        <sz val="10"/>
        <rFont val="Arial"/>
        <family val="0"/>
        <charset val="1"/>
      </rPr>
      <t xml:space="preserve">.
→ Đối chiếu thêm với mục </t>
    </r>
    <r>
      <rPr>
        <sz val="10"/>
        <rFont val="Noto Sans CJK SC"/>
        <family val="2"/>
      </rPr>
      <t xml:space="preserve">語彙 </t>
    </r>
    <r>
      <rPr>
        <sz val="10"/>
        <rFont val="Arial"/>
        <family val="0"/>
        <charset val="1"/>
      </rPr>
      <t xml:space="preserve">của bài 9 trong sách để bổ sung.</t>
    </r>
  </si>
  <si>
    <r>
      <rPr>
        <b val="true"/>
        <sz val="12"/>
        <color rgb="FF1F3864"/>
        <rFont val="Arial"/>
        <family val="0"/>
        <charset val="1"/>
      </rPr>
      <t xml:space="preserve">NGÀY 35  ·  Tuần 5  ·  Minna Ôn bài 7–9  ·  Ôn tập tuần 5 — Minna bài 7–9      </t>
    </r>
    <r>
      <rPr>
        <b val="true"/>
        <sz val="12"/>
        <color rgb="FF1F3864"/>
        <rFont val="Noto Sans CJK SC"/>
        <family val="2"/>
      </rPr>
      <t xml:space="preserve">〔</t>
    </r>
    <r>
      <rPr>
        <b val="true"/>
        <sz val="12"/>
        <color rgb="FF1F3864"/>
        <rFont val="Arial"/>
        <family val="0"/>
        <charset val="1"/>
      </rPr>
      <t xml:space="preserve">105 phút · 5 việc</t>
    </r>
    <r>
      <rPr>
        <b val="true"/>
        <sz val="12"/>
        <color rgb="FF1F3864"/>
        <rFont val="Noto Sans CJK SC"/>
        <family val="2"/>
      </rPr>
      <t xml:space="preserve">〕</t>
    </r>
  </si>
  <si>
    <r>
      <rPr>
        <sz val="10"/>
        <rFont val="Arial"/>
        <family val="0"/>
        <charset val="1"/>
      </rPr>
      <t xml:space="preserve">Làm phần </t>
    </r>
    <r>
      <rPr>
        <sz val="10"/>
        <rFont val="Noto Sans CJK SC"/>
        <family val="2"/>
      </rPr>
      <t xml:space="preserve">練習</t>
    </r>
    <r>
      <rPr>
        <sz val="10"/>
        <rFont val="Arial"/>
        <family val="0"/>
        <charset val="1"/>
      </rPr>
      <t xml:space="preserve">B và </t>
    </r>
    <r>
      <rPr>
        <sz val="10"/>
        <rFont val="Noto Sans CJK SC"/>
        <family val="2"/>
      </rPr>
      <t xml:space="preserve">練習</t>
    </r>
    <r>
      <rPr>
        <sz val="10"/>
        <rFont val="Arial"/>
        <family val="0"/>
        <charset val="1"/>
      </rPr>
      <t xml:space="preserve">C trong Minna bài 7–9. Sau đó tự đặt 5 câu mới.</t>
    </r>
  </si>
  <si>
    <t xml:space="preserve">Kiểm tra lại toàn bộ từ vựng Minna bài 7–9. Từ nào quên đánh dấu 'Đang học'.</t>
  </si>
  <si>
    <r>
      <rPr>
        <sz val="10"/>
        <rFont val="Arial"/>
        <family val="0"/>
        <charset val="1"/>
      </rPr>
      <t xml:space="preserve">Làm phần </t>
    </r>
    <r>
      <rPr>
        <sz val="10"/>
        <rFont val="Noto Sans CJK SC"/>
        <family val="2"/>
      </rPr>
      <t xml:space="preserve">問題 </t>
    </r>
    <r>
      <rPr>
        <sz val="10"/>
        <rFont val="Arial"/>
        <family val="0"/>
        <charset val="1"/>
      </rPr>
      <t xml:space="preserve">(nghe + đọc) cuối mỗi bài trong Minna bài 7–9. Ghi lỗi sai vào cột Ghi chú.</t>
    </r>
  </si>
  <si>
    <r>
      <rPr>
        <b val="true"/>
        <sz val="12"/>
        <color rgb="FF1F3864"/>
        <rFont val="Arial"/>
        <family val="0"/>
        <charset val="1"/>
      </rPr>
      <t xml:space="preserve">NGÀY 36  ·  Tuần 6  ·  Minna Bài 10 (1/2)  ·  Tồn tại — </t>
    </r>
    <r>
      <rPr>
        <b val="true"/>
        <sz val="12"/>
        <color rgb="FF1F3864"/>
        <rFont val="Noto Sans CJK SC"/>
        <family val="2"/>
      </rPr>
      <t xml:space="preserve">あります </t>
    </r>
    <r>
      <rPr>
        <b val="true"/>
        <sz val="12"/>
        <color rgb="FF1F3864"/>
        <rFont val="Arial"/>
        <family val="0"/>
        <charset val="1"/>
      </rPr>
      <t xml:space="preserve">/ </t>
    </r>
    <r>
      <rPr>
        <b val="true"/>
        <sz val="12"/>
        <color rgb="FF1F3864"/>
        <rFont val="Noto Sans CJK SC"/>
        <family val="2"/>
      </rPr>
      <t xml:space="preserve">います </t>
    </r>
    <r>
      <rPr>
        <b val="true"/>
        <sz val="12"/>
        <color rgb="FF1F3864"/>
        <rFont val="Arial"/>
        <family val="0"/>
        <charset val="1"/>
      </rPr>
      <t xml:space="preserve">&amp; Vị trí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</si>
  <si>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門 </t>
    </r>
    <r>
      <rPr>
        <sz val="10"/>
        <rFont val="Arial"/>
        <family val="0"/>
        <charset val="1"/>
      </rPr>
      <t xml:space="preserve">(</t>
    </r>
    <r>
      <rPr>
        <sz val="10"/>
        <rFont val="Noto Sans CJK SC"/>
        <family val="2"/>
      </rPr>
      <t xml:space="preserve">もんがまえ</t>
    </r>
    <r>
      <rPr>
        <sz val="10"/>
        <rFont val="Arial"/>
        <family val="0"/>
        <charset val="1"/>
      </rPr>
      <t xml:space="preserve">) = Cổng, cửa
   Mẹo nhớ: Hai cánh cửa mở — bộ này bao quanh chữ
   Kanji chứa bộ này: </t>
    </r>
    <r>
      <rPr>
        <sz val="10"/>
        <rFont val="Noto Sans CJK SC"/>
        <family val="2"/>
      </rPr>
      <t xml:space="preserve">門・間・開・閉</t>
    </r>
  </si>
  <si>
    <r>
      <rPr>
        <sz val="10"/>
        <rFont val="Arial"/>
        <family val="0"/>
        <charset val="1"/>
      </rPr>
      <t xml:space="preserve">Học 2 chữ. Mỗi chữ viết tay 10 lần đúng thứ tự nét.
• </t>
    </r>
    <r>
      <rPr>
        <sz val="10"/>
        <rFont val="Noto Sans CJK SC"/>
        <family val="2"/>
      </rPr>
      <t xml:space="preserve">高 </t>
    </r>
    <r>
      <rPr>
        <sz val="10"/>
        <rFont val="Arial"/>
        <family val="0"/>
        <charset val="1"/>
      </rPr>
      <t xml:space="preserve">[CAO] Cao, đắt — On: </t>
    </r>
    <r>
      <rPr>
        <sz val="10"/>
        <rFont val="Noto Sans CJK SC"/>
        <family val="2"/>
      </rPr>
      <t xml:space="preserve">コウ </t>
    </r>
    <r>
      <rPr>
        <sz val="10"/>
        <rFont val="Arial"/>
        <family val="0"/>
        <charset val="1"/>
      </rPr>
      <t xml:space="preserve">/ Kun: </t>
    </r>
    <r>
      <rPr>
        <sz val="10"/>
        <rFont val="Noto Sans CJK SC"/>
        <family val="2"/>
      </rPr>
      <t xml:space="preserve">たか</t>
    </r>
    <r>
      <rPr>
        <sz val="10"/>
        <rFont val="Arial"/>
        <family val="0"/>
        <charset val="1"/>
      </rPr>
      <t xml:space="preserve">(</t>
    </r>
    <r>
      <rPr>
        <sz val="10"/>
        <rFont val="Noto Sans CJK SC"/>
        <family val="2"/>
      </rPr>
      <t xml:space="preserve">い</t>
    </r>
    <r>
      <rPr>
        <sz val="10"/>
        <rFont val="Arial"/>
        <family val="0"/>
        <charset val="1"/>
      </rPr>
      <t xml:space="preserve">) (10 nét)
   Từ ghép: </t>
    </r>
    <r>
      <rPr>
        <sz val="10"/>
        <rFont val="Noto Sans CJK SC"/>
        <family val="2"/>
      </rPr>
      <t xml:space="preserve">高い </t>
    </r>
    <r>
      <rPr>
        <sz val="10"/>
        <rFont val="Arial"/>
        <family val="0"/>
        <charset val="1"/>
      </rPr>
      <t xml:space="preserve">(</t>
    </r>
    <r>
      <rPr>
        <sz val="10"/>
        <rFont val="Noto Sans CJK SC"/>
        <family val="2"/>
      </rPr>
      <t xml:space="preserve">たかい</t>
    </r>
    <r>
      <rPr>
        <sz val="10"/>
        <rFont val="Arial"/>
        <family val="0"/>
        <charset val="1"/>
      </rPr>
      <t xml:space="preserve">) cao/đắt </t>
    </r>
    <r>
      <rPr>
        <sz val="10"/>
        <rFont val="Noto Sans CJK SC"/>
        <family val="2"/>
      </rPr>
      <t xml:space="preserve">・ 高校 </t>
    </r>
    <r>
      <rPr>
        <sz val="10"/>
        <rFont val="Arial"/>
        <family val="0"/>
        <charset val="1"/>
      </rPr>
      <t xml:space="preserve">(</t>
    </r>
    <r>
      <rPr>
        <sz val="10"/>
        <rFont val="Noto Sans CJK SC"/>
        <family val="2"/>
      </rPr>
      <t xml:space="preserve">こうこう</t>
    </r>
    <r>
      <rPr>
        <sz val="10"/>
        <rFont val="Arial"/>
        <family val="0"/>
        <charset val="1"/>
      </rPr>
      <t xml:space="preserve">) trường cấp 3 </t>
    </r>
    <r>
      <rPr>
        <sz val="10"/>
        <rFont val="Noto Sans CJK SC"/>
        <family val="2"/>
      </rPr>
      <t xml:space="preserve">・ 高校生 </t>
    </r>
    <r>
      <rPr>
        <sz val="10"/>
        <rFont val="Arial"/>
        <family val="0"/>
        <charset val="1"/>
      </rPr>
      <t xml:space="preserve">(</t>
    </r>
    <r>
      <rPr>
        <sz val="10"/>
        <rFont val="Noto Sans CJK SC"/>
        <family val="2"/>
      </rPr>
      <t xml:space="preserve">こうこうせい</t>
    </r>
    <r>
      <rPr>
        <sz val="10"/>
        <rFont val="Arial"/>
        <family val="0"/>
        <charset val="1"/>
      </rPr>
      <t xml:space="preserve">) học sinh cấp 3
   Mẹo: Hình một tòa tháp nhiều tầng chồng lên nhau = CAO. Giá cao → ĐẮT.
• </t>
    </r>
    <r>
      <rPr>
        <sz val="10"/>
        <rFont val="Noto Sans CJK SC"/>
        <family val="2"/>
      </rPr>
      <t xml:space="preserve">円 </t>
    </r>
    <r>
      <rPr>
        <sz val="10"/>
        <rFont val="Arial"/>
        <family val="0"/>
        <charset val="1"/>
      </rPr>
      <t xml:space="preserve">[VIÊN] Đồng yên, tròn — On: </t>
    </r>
    <r>
      <rPr>
        <sz val="10"/>
        <rFont val="Noto Sans CJK SC"/>
        <family val="2"/>
      </rPr>
      <t xml:space="preserve">エン </t>
    </r>
    <r>
      <rPr>
        <sz val="10"/>
        <rFont val="Arial"/>
        <family val="0"/>
        <charset val="1"/>
      </rPr>
      <t xml:space="preserve">/ Kun: </t>
    </r>
    <r>
      <rPr>
        <sz val="10"/>
        <rFont val="Noto Sans CJK SC"/>
        <family val="2"/>
      </rPr>
      <t xml:space="preserve">まる</t>
    </r>
    <r>
      <rPr>
        <sz val="10"/>
        <rFont val="Arial"/>
        <family val="0"/>
        <charset val="1"/>
      </rPr>
      <t xml:space="preserve">(</t>
    </r>
    <r>
      <rPr>
        <sz val="10"/>
        <rFont val="Noto Sans CJK SC"/>
        <family val="2"/>
      </rPr>
      <t xml:space="preserve">い</t>
    </r>
    <r>
      <rPr>
        <sz val="10"/>
        <rFont val="Arial"/>
        <family val="0"/>
        <charset val="1"/>
      </rPr>
      <t xml:space="preserve">) (4 nét)
   Từ ghép: </t>
    </r>
    <r>
      <rPr>
        <sz val="10"/>
        <rFont val="Noto Sans CJK SC"/>
        <family val="2"/>
      </rPr>
      <t xml:space="preserve">百円 </t>
    </r>
    <r>
      <rPr>
        <sz val="10"/>
        <rFont val="Arial"/>
        <family val="0"/>
        <charset val="1"/>
      </rPr>
      <t xml:space="preserve">(</t>
    </r>
    <r>
      <rPr>
        <sz val="10"/>
        <rFont val="Noto Sans CJK SC"/>
        <family val="2"/>
      </rPr>
      <t xml:space="preserve">ひゃくえん</t>
    </r>
    <r>
      <rPr>
        <sz val="10"/>
        <rFont val="Arial"/>
        <family val="0"/>
        <charset val="1"/>
      </rPr>
      <t xml:space="preserve">) 100 yên </t>
    </r>
    <r>
      <rPr>
        <sz val="10"/>
        <rFont val="Noto Sans CJK SC"/>
        <family val="2"/>
      </rPr>
      <t xml:space="preserve">・ 千円 </t>
    </r>
    <r>
      <rPr>
        <sz val="10"/>
        <rFont val="Arial"/>
        <family val="0"/>
        <charset val="1"/>
      </rPr>
      <t xml:space="preserve">(</t>
    </r>
    <r>
      <rPr>
        <sz val="10"/>
        <rFont val="Noto Sans CJK SC"/>
        <family val="2"/>
      </rPr>
      <t xml:space="preserve">せんえん</t>
    </r>
    <r>
      <rPr>
        <sz val="10"/>
        <rFont val="Arial"/>
        <family val="0"/>
        <charset val="1"/>
      </rPr>
      <t xml:space="preserve">) 1000 yên </t>
    </r>
    <r>
      <rPr>
        <sz val="10"/>
        <rFont val="Noto Sans CJK SC"/>
        <family val="2"/>
      </rPr>
      <t xml:space="preserve">・ 円い </t>
    </r>
    <r>
      <rPr>
        <sz val="10"/>
        <rFont val="Arial"/>
        <family val="0"/>
        <charset val="1"/>
      </rPr>
      <t xml:space="preserve">(</t>
    </r>
    <r>
      <rPr>
        <sz val="10"/>
        <rFont val="Noto Sans CJK SC"/>
        <family val="2"/>
      </rPr>
      <t xml:space="preserve">まるい</t>
    </r>
    <r>
      <rPr>
        <sz val="10"/>
        <rFont val="Arial"/>
        <family val="0"/>
        <charset val="1"/>
      </rPr>
      <t xml:space="preserve">) tròn
   Mẹo: Khung vuông có hai vạch = đồng xu TRÒN đặt trong khay. Tiền Nhật = ĐỒNG YÊN.</t>
    </r>
  </si>
  <si>
    <r>
      <rPr>
        <sz val="10"/>
        <rFont val="Arial"/>
        <family val="0"/>
        <charset val="1"/>
      </rPr>
      <t xml:space="preserve">Minna bài 10 (1/2) — Tồn tại — </t>
    </r>
    <r>
      <rPr>
        <sz val="10"/>
        <rFont val="Noto Sans CJK SC"/>
        <family val="2"/>
      </rPr>
      <t xml:space="preserve">あります </t>
    </r>
    <r>
      <rPr>
        <sz val="10"/>
        <rFont val="Arial"/>
        <family val="0"/>
        <charset val="1"/>
      </rPr>
      <t xml:space="preserve">/ </t>
    </r>
    <r>
      <rPr>
        <sz val="10"/>
        <rFont val="Noto Sans CJK SC"/>
        <family val="2"/>
      </rPr>
      <t xml:space="preserve">います </t>
    </r>
    <r>
      <rPr>
        <sz val="10"/>
        <rFont val="Arial"/>
        <family val="0"/>
        <charset val="1"/>
      </rPr>
      <t xml:space="preserve">&amp; Vị trí
• </t>
    </r>
    <r>
      <rPr>
        <sz val="10"/>
        <rFont val="Noto Sans CJK SC"/>
        <family val="2"/>
      </rPr>
      <t xml:space="preserve">場所 に </t>
    </r>
    <r>
      <rPr>
        <sz val="10"/>
        <rFont val="Arial"/>
        <family val="0"/>
        <charset val="1"/>
      </rPr>
      <t xml:space="preserve">N </t>
    </r>
    <r>
      <rPr>
        <sz val="10"/>
        <rFont val="Noto Sans CJK SC"/>
        <family val="2"/>
      </rPr>
      <t xml:space="preserve">が あります </t>
    </r>
    <r>
      <rPr>
        <sz val="10"/>
        <rFont val="Arial"/>
        <family val="0"/>
        <charset val="1"/>
      </rPr>
      <t xml:space="preserve">/ </t>
    </r>
    <r>
      <rPr>
        <sz val="10"/>
        <rFont val="Noto Sans CJK SC"/>
        <family val="2"/>
      </rPr>
      <t xml:space="preserve">います  </t>
    </r>
    <r>
      <rPr>
        <sz val="10"/>
        <rFont val="Arial"/>
        <family val="0"/>
        <charset val="1"/>
      </rPr>
      <t xml:space="preserve">(Ở nơi nào đó CÓ cái gì. </t>
    </r>
    <r>
      <rPr>
        <sz val="10"/>
        <rFont val="Noto Sans CJK SC"/>
        <family val="2"/>
      </rPr>
      <t xml:space="preserve">あります </t>
    </r>
    <r>
      <rPr>
        <sz val="10"/>
        <rFont val="Arial"/>
        <family val="0"/>
        <charset val="1"/>
      </rPr>
      <t xml:space="preserve">cho vật, </t>
    </r>
    <r>
      <rPr>
        <sz val="10"/>
        <rFont val="Noto Sans CJK SC"/>
        <family val="2"/>
      </rPr>
      <t xml:space="preserve">います </t>
    </r>
    <r>
      <rPr>
        <sz val="10"/>
        <rFont val="Arial"/>
        <family val="0"/>
        <charset val="1"/>
      </rPr>
      <t xml:space="preserve">cho người và động vật.)
   Ví dụ: </t>
    </r>
    <r>
      <rPr>
        <sz val="10"/>
        <rFont val="Noto Sans CJK SC"/>
        <family val="2"/>
      </rPr>
      <t xml:space="preserve">部屋に 猫が います。  </t>
    </r>
    <r>
      <rPr>
        <sz val="10"/>
        <rFont val="Arial"/>
        <family val="0"/>
        <charset val="1"/>
      </rPr>
      <t xml:space="preserve">= Trong phòng có con mèo.
• N </t>
    </r>
    <r>
      <rPr>
        <sz val="10"/>
        <rFont val="Noto Sans CJK SC"/>
        <family val="2"/>
      </rPr>
      <t xml:space="preserve">は 場所 に あります </t>
    </r>
    <r>
      <rPr>
        <sz val="10"/>
        <rFont val="Arial"/>
        <family val="0"/>
        <charset val="1"/>
      </rPr>
      <t xml:space="preserve">/ </t>
    </r>
    <r>
      <rPr>
        <sz val="10"/>
        <rFont val="Noto Sans CJK SC"/>
        <family val="2"/>
      </rPr>
      <t xml:space="preserve">います  </t>
    </r>
    <r>
      <rPr>
        <sz val="10"/>
        <rFont val="Arial"/>
        <family val="0"/>
        <charset val="1"/>
      </rPr>
      <t xml:space="preserve">(Cái gì đó Ở đâu. Đảo lại khi N là chủ đề đã biết.)
   Ví dụ: </t>
    </r>
    <r>
      <rPr>
        <sz val="10"/>
        <rFont val="Noto Sans CJK SC"/>
        <family val="2"/>
      </rPr>
      <t xml:space="preserve">田中さんは 事務所に います。  </t>
    </r>
    <r>
      <rPr>
        <sz val="10"/>
        <rFont val="Arial"/>
        <family val="0"/>
        <charset val="1"/>
      </rPr>
      <t xml:space="preserve">= Anh Tanaka đang ở văn phòng.
→ Làm </t>
    </r>
    <r>
      <rPr>
        <sz val="10"/>
        <rFont val="Noto Sans CJK SC"/>
        <family val="2"/>
      </rPr>
      <t xml:space="preserve">練習</t>
    </r>
    <r>
      <rPr>
        <sz val="10"/>
        <rFont val="Arial"/>
        <family val="0"/>
        <charset val="1"/>
      </rPr>
      <t xml:space="preserve">A của bài 10 trong sách, mỗi mẫu tự đặt 3 câu.</t>
    </r>
  </si>
  <si>
    <r>
      <rPr>
        <sz val="10"/>
        <rFont val="Arial"/>
        <family val="0"/>
        <charset val="1"/>
      </rPr>
      <t xml:space="preserve">Từ mới Minna bài 10:
• </t>
    </r>
    <r>
      <rPr>
        <sz val="10"/>
        <rFont val="Noto Sans CJK SC"/>
        <family val="2"/>
      </rPr>
      <t xml:space="preserve">います </t>
    </r>
    <r>
      <rPr>
        <sz val="10"/>
        <rFont val="Arial"/>
        <family val="0"/>
        <charset val="1"/>
      </rPr>
      <t xml:space="preserve">= Có (người, động vật)
   Mẹo: Vật SỐNG mới dùng </t>
    </r>
    <r>
      <rPr>
        <sz val="10"/>
        <rFont val="Noto Sans CJK SC"/>
        <family val="2"/>
      </rPr>
      <t xml:space="preserve">います</t>
    </r>
    <r>
      <rPr>
        <sz val="10"/>
        <rFont val="Arial"/>
        <family val="0"/>
        <charset val="1"/>
      </rPr>
      <t xml:space="preserve">. Nhớ: I-MASU cho 'I' là sinh vật.
• </t>
    </r>
    <r>
      <rPr>
        <sz val="10"/>
        <rFont val="Noto Sans CJK SC"/>
        <family val="2"/>
      </rPr>
      <t xml:space="preserve">うえ（上） </t>
    </r>
    <r>
      <rPr>
        <sz val="10"/>
        <rFont val="Arial"/>
        <family val="0"/>
        <charset val="1"/>
      </rPr>
      <t xml:space="preserve">= Bên trên
   Mẹo: </t>
    </r>
    <r>
      <rPr>
        <sz val="10"/>
        <rFont val="Noto Sans CJK SC"/>
        <family val="2"/>
      </rPr>
      <t xml:space="preserve">上 </t>
    </r>
    <r>
      <rPr>
        <sz val="10"/>
        <rFont val="Arial"/>
        <family val="0"/>
        <charset val="1"/>
      </rPr>
      <t xml:space="preserve">= vạch mốc có nét nhô LÊN.
• </t>
    </r>
    <r>
      <rPr>
        <sz val="10"/>
        <rFont val="Noto Sans CJK SC"/>
        <family val="2"/>
      </rPr>
      <t xml:space="preserve">した（下） </t>
    </r>
    <r>
      <rPr>
        <sz val="10"/>
        <rFont val="Arial"/>
        <family val="0"/>
        <charset val="1"/>
      </rPr>
      <t xml:space="preserve">= Bên dưới
   Mẹo: </t>
    </r>
    <r>
      <rPr>
        <sz val="10"/>
        <rFont val="Noto Sans CJK SC"/>
        <family val="2"/>
      </rPr>
      <t xml:space="preserve">下 </t>
    </r>
    <r>
      <rPr>
        <sz val="10"/>
        <rFont val="Arial"/>
        <family val="0"/>
        <charset val="1"/>
      </rPr>
      <t xml:space="preserve">= vạch mốc có nét thò XUỐNG. Lộn ngược của </t>
    </r>
    <r>
      <rPr>
        <sz val="10"/>
        <rFont val="Noto Sans CJK SC"/>
        <family val="2"/>
      </rPr>
      <t xml:space="preserve">上</t>
    </r>
    <r>
      <rPr>
        <sz val="10"/>
        <rFont val="Arial"/>
        <family val="0"/>
        <charset val="1"/>
      </rPr>
      <t xml:space="preserve">.
• </t>
    </r>
    <r>
      <rPr>
        <sz val="10"/>
        <rFont val="Noto Sans CJK SC"/>
        <family val="2"/>
      </rPr>
      <t xml:space="preserve">まえ（前） </t>
    </r>
    <r>
      <rPr>
        <sz val="10"/>
        <rFont val="Arial"/>
        <family val="0"/>
        <charset val="1"/>
      </rPr>
      <t xml:space="preserve">= Phía trước
   Mẹo: </t>
    </r>
    <r>
      <rPr>
        <sz val="10"/>
        <rFont val="Noto Sans CJK SC"/>
        <family val="2"/>
      </rPr>
      <t xml:space="preserve">前 </t>
    </r>
    <r>
      <rPr>
        <sz val="10"/>
        <rFont val="Arial"/>
        <family val="0"/>
        <charset val="1"/>
      </rPr>
      <t xml:space="preserve">cũng có trong </t>
    </r>
    <r>
      <rPr>
        <sz val="10"/>
        <rFont val="Noto Sans CJK SC"/>
        <family val="2"/>
      </rPr>
      <t xml:space="preserve">名前 </t>
    </r>
    <r>
      <rPr>
        <sz val="10"/>
        <rFont val="Arial"/>
        <family val="0"/>
        <charset val="1"/>
      </rPr>
      <t xml:space="preserve">(tên) và </t>
    </r>
    <r>
      <rPr>
        <sz val="10"/>
        <rFont val="Noto Sans CJK SC"/>
        <family val="2"/>
      </rPr>
      <t xml:space="preserve">午前 </t>
    </r>
    <r>
      <rPr>
        <sz val="10"/>
        <rFont val="Arial"/>
        <family val="0"/>
        <charset val="1"/>
      </rPr>
      <t xml:space="preserve">(buổi sáng).
• </t>
    </r>
    <r>
      <rPr>
        <sz val="10"/>
        <rFont val="Noto Sans CJK SC"/>
        <family val="2"/>
      </rPr>
      <t xml:space="preserve">うしろ（後ろ） </t>
    </r>
    <r>
      <rPr>
        <sz val="10"/>
        <rFont val="Arial"/>
        <family val="0"/>
        <charset val="1"/>
      </rPr>
      <t xml:space="preserve">= Phía sau
   Mẹo: </t>
    </r>
    <r>
      <rPr>
        <sz val="10"/>
        <rFont val="Noto Sans CJK SC"/>
        <family val="2"/>
      </rPr>
      <t xml:space="preserve">後 </t>
    </r>
    <r>
      <rPr>
        <sz val="10"/>
        <rFont val="Arial"/>
        <family val="0"/>
        <charset val="1"/>
      </rPr>
      <t xml:space="preserve">có bộ </t>
    </r>
    <r>
      <rPr>
        <sz val="10"/>
        <rFont val="Noto Sans CJK SC"/>
        <family val="2"/>
      </rPr>
      <t xml:space="preserve">彳 </t>
    </r>
    <r>
      <rPr>
        <sz val="10"/>
        <rFont val="Arial"/>
        <family val="0"/>
        <charset val="1"/>
      </rPr>
      <t xml:space="preserve">(bước đi) → bước chậm bị tụt lại SAU.
• </t>
    </r>
    <r>
      <rPr>
        <sz val="10"/>
        <rFont val="Noto Sans CJK SC"/>
        <family val="2"/>
      </rPr>
      <t xml:space="preserve">なか（中） </t>
    </r>
    <r>
      <rPr>
        <sz val="10"/>
        <rFont val="Arial"/>
        <family val="0"/>
        <charset val="1"/>
      </rPr>
      <t xml:space="preserve">= Bên trong
   Mẹo: </t>
    </r>
    <r>
      <rPr>
        <sz val="10"/>
        <rFont val="Noto Sans CJK SC"/>
        <family val="2"/>
      </rPr>
      <t xml:space="preserve">中 </t>
    </r>
    <r>
      <rPr>
        <sz val="10"/>
        <rFont val="Arial"/>
        <family val="0"/>
        <charset val="1"/>
      </rPr>
      <t xml:space="preserve">= mũi tên xuyên qua tâm ô vuông.
• </t>
    </r>
    <r>
      <rPr>
        <sz val="10"/>
        <rFont val="Noto Sans CJK SC"/>
        <family val="2"/>
      </rPr>
      <t xml:space="preserve">そと（外） </t>
    </r>
    <r>
      <rPr>
        <sz val="10"/>
        <rFont val="Arial"/>
        <family val="0"/>
        <charset val="1"/>
      </rPr>
      <t xml:space="preserve">= Bên ngoài
   Mẹo: </t>
    </r>
    <r>
      <rPr>
        <sz val="10"/>
        <rFont val="Noto Sans CJK SC"/>
        <family val="2"/>
      </rPr>
      <t xml:space="preserve">外 </t>
    </r>
    <r>
      <rPr>
        <sz val="10"/>
        <rFont val="Arial"/>
        <family val="0"/>
        <charset val="1"/>
      </rPr>
      <t xml:space="preserve">= </t>
    </r>
    <r>
      <rPr>
        <sz val="10"/>
        <rFont val="Noto Sans CJK SC"/>
        <family val="2"/>
      </rPr>
      <t xml:space="preserve">夕 </t>
    </r>
    <r>
      <rPr>
        <sz val="10"/>
        <rFont val="Arial"/>
        <family val="0"/>
        <charset val="1"/>
      </rPr>
      <t xml:space="preserve">(chiều tối) + </t>
    </r>
    <r>
      <rPr>
        <sz val="10"/>
        <rFont val="Noto Sans CJK SC"/>
        <family val="2"/>
      </rPr>
      <t xml:space="preserve">卜 </t>
    </r>
    <r>
      <rPr>
        <sz val="10"/>
        <rFont val="Arial"/>
        <family val="0"/>
        <charset val="1"/>
      </rPr>
      <t xml:space="preserve">(bói) → bói ngoài trời.
→ Đối chiếu thêm với mục </t>
    </r>
    <r>
      <rPr>
        <sz val="10"/>
        <rFont val="Noto Sans CJK SC"/>
        <family val="2"/>
      </rPr>
      <t xml:space="preserve">語彙 </t>
    </r>
    <r>
      <rPr>
        <sz val="10"/>
        <rFont val="Arial"/>
        <family val="0"/>
        <charset val="1"/>
      </rPr>
      <t xml:space="preserve">của bài 10 trong sách để bổ sung.</t>
    </r>
  </si>
  <si>
    <r>
      <rPr>
        <b val="true"/>
        <sz val="12"/>
        <color rgb="FF1F3864"/>
        <rFont val="Arial"/>
        <family val="0"/>
        <charset val="1"/>
      </rPr>
      <t xml:space="preserve">NGÀY 37  ·  Tuần 6  ·  Minna Bài 10 (2/2)  ·  Tồn tại — </t>
    </r>
    <r>
      <rPr>
        <b val="true"/>
        <sz val="12"/>
        <color rgb="FF1F3864"/>
        <rFont val="Noto Sans CJK SC"/>
        <family val="2"/>
      </rPr>
      <t xml:space="preserve">あります </t>
    </r>
    <r>
      <rPr>
        <b val="true"/>
        <sz val="12"/>
        <color rgb="FF1F3864"/>
        <rFont val="Arial"/>
        <family val="0"/>
        <charset val="1"/>
      </rPr>
      <t xml:space="preserve">/ </t>
    </r>
    <r>
      <rPr>
        <b val="true"/>
        <sz val="12"/>
        <color rgb="FF1F3864"/>
        <rFont val="Noto Sans CJK SC"/>
        <family val="2"/>
      </rPr>
      <t xml:space="preserve">います </t>
    </r>
    <r>
      <rPr>
        <b val="true"/>
        <sz val="12"/>
        <color rgb="FF1F3864"/>
        <rFont val="Arial"/>
        <family val="0"/>
        <charset val="1"/>
      </rPr>
      <t xml:space="preserve">&amp; Vị trí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</si>
  <si>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食 </t>
    </r>
    <r>
      <rPr>
        <sz val="10"/>
        <rFont val="Arial"/>
        <family val="0"/>
        <charset val="1"/>
      </rPr>
      <t xml:space="preserve">/ </t>
    </r>
    <r>
      <rPr>
        <sz val="10"/>
        <rFont val="Noto Sans CJK SC"/>
        <family val="2"/>
      </rPr>
      <t xml:space="preserve">飠 </t>
    </r>
    <r>
      <rPr>
        <sz val="10"/>
        <rFont val="Arial"/>
        <family val="0"/>
        <charset val="1"/>
      </rPr>
      <t xml:space="preserve">(</t>
    </r>
    <r>
      <rPr>
        <sz val="10"/>
        <rFont val="Noto Sans CJK SC"/>
        <family val="2"/>
      </rPr>
      <t xml:space="preserve">しょく </t>
    </r>
    <r>
      <rPr>
        <sz val="10"/>
        <rFont val="Arial"/>
        <family val="0"/>
        <charset val="1"/>
      </rPr>
      <t xml:space="preserve">/ </t>
    </r>
    <r>
      <rPr>
        <sz val="10"/>
        <rFont val="Noto Sans CJK SC"/>
        <family val="2"/>
      </rPr>
      <t xml:space="preserve">しょくへん</t>
    </r>
    <r>
      <rPr>
        <sz val="10"/>
        <rFont val="Arial"/>
        <family val="0"/>
        <charset val="1"/>
      </rPr>
      <t xml:space="preserve">) = Ăn uống, thức ăn
   Mẹo nhớ: Mái che trên mâm cơm
   Kanji chứa bộ này: </t>
    </r>
    <r>
      <rPr>
        <sz val="10"/>
        <rFont val="Noto Sans CJK SC"/>
        <family val="2"/>
      </rPr>
      <t xml:space="preserve">食・飲・飯・館</t>
    </r>
  </si>
  <si>
    <r>
      <rPr>
        <sz val="10"/>
        <rFont val="Arial"/>
        <family val="0"/>
        <charset val="1"/>
      </rPr>
      <t xml:space="preserve">Học 2 chữ. Mỗi chữ viết tay 10 lần đúng thứ tự nét.
• </t>
    </r>
    <r>
      <rPr>
        <sz val="10"/>
        <rFont val="Noto Sans CJK SC"/>
        <family val="2"/>
      </rPr>
      <t xml:space="preserve">子 </t>
    </r>
    <r>
      <rPr>
        <sz val="10"/>
        <rFont val="Arial"/>
        <family val="0"/>
        <charset val="1"/>
      </rPr>
      <t xml:space="preserve">[TỬ] Con, trẻ nhỏ — On: </t>
    </r>
    <r>
      <rPr>
        <sz val="10"/>
        <rFont val="Noto Sans CJK SC"/>
        <family val="2"/>
      </rPr>
      <t xml:space="preserve">シ </t>
    </r>
    <r>
      <rPr>
        <sz val="10"/>
        <rFont val="Arial"/>
        <family val="0"/>
        <charset val="1"/>
      </rPr>
      <t xml:space="preserve">/ Kun: </t>
    </r>
    <r>
      <rPr>
        <sz val="10"/>
        <rFont val="Noto Sans CJK SC"/>
        <family val="2"/>
      </rPr>
      <t xml:space="preserve">こ </t>
    </r>
    <r>
      <rPr>
        <sz val="10"/>
        <rFont val="Arial"/>
        <family val="0"/>
        <charset val="1"/>
      </rPr>
      <t xml:space="preserve">(3 nét)
   Từ ghép: </t>
    </r>
    <r>
      <rPr>
        <sz val="10"/>
        <rFont val="Noto Sans CJK SC"/>
        <family val="2"/>
      </rPr>
      <t xml:space="preserve">子ども </t>
    </r>
    <r>
      <rPr>
        <sz val="10"/>
        <rFont val="Arial"/>
        <family val="0"/>
        <charset val="1"/>
      </rPr>
      <t xml:space="preserve">(</t>
    </r>
    <r>
      <rPr>
        <sz val="10"/>
        <rFont val="Noto Sans CJK SC"/>
        <family val="2"/>
      </rPr>
      <t xml:space="preserve">こども</t>
    </r>
    <r>
      <rPr>
        <sz val="10"/>
        <rFont val="Arial"/>
        <family val="0"/>
        <charset val="1"/>
      </rPr>
      <t xml:space="preserve">) trẻ con </t>
    </r>
    <r>
      <rPr>
        <sz val="10"/>
        <rFont val="Noto Sans CJK SC"/>
        <family val="2"/>
      </rPr>
      <t xml:space="preserve">・ 女の子 </t>
    </r>
    <r>
      <rPr>
        <sz val="10"/>
        <rFont val="Arial"/>
        <family val="0"/>
        <charset val="1"/>
      </rPr>
      <t xml:space="preserve">(</t>
    </r>
    <r>
      <rPr>
        <sz val="10"/>
        <rFont val="Noto Sans CJK SC"/>
        <family val="2"/>
      </rPr>
      <t xml:space="preserve">おんなのこ</t>
    </r>
    <r>
      <rPr>
        <sz val="10"/>
        <rFont val="Arial"/>
        <family val="0"/>
        <charset val="1"/>
      </rPr>
      <t xml:space="preserve">) bé gái </t>
    </r>
    <r>
      <rPr>
        <sz val="10"/>
        <rFont val="Noto Sans CJK SC"/>
        <family val="2"/>
      </rPr>
      <t xml:space="preserve">・ 帽子 </t>
    </r>
    <r>
      <rPr>
        <sz val="10"/>
        <rFont val="Arial"/>
        <family val="0"/>
        <charset val="1"/>
      </rPr>
      <t xml:space="preserve">(</t>
    </r>
    <r>
      <rPr>
        <sz val="10"/>
        <rFont val="Noto Sans CJK SC"/>
        <family val="2"/>
      </rPr>
      <t xml:space="preserve">ぼうし</t>
    </r>
    <r>
      <rPr>
        <sz val="10"/>
        <rFont val="Arial"/>
        <family val="0"/>
        <charset val="1"/>
      </rPr>
      <t xml:space="preserve">) cái mũ
   Mẹo: Hình em bé quấn tã, chỉ thò hai tay ra ngoài.
• </t>
    </r>
    <r>
      <rPr>
        <sz val="10"/>
        <rFont val="Noto Sans CJK SC"/>
        <family val="2"/>
      </rPr>
      <t xml:space="preserve">目 </t>
    </r>
    <r>
      <rPr>
        <sz val="10"/>
        <rFont val="Arial"/>
        <family val="0"/>
        <charset val="1"/>
      </rPr>
      <t xml:space="preserve">[MỤC] Mắt — On: </t>
    </r>
    <r>
      <rPr>
        <sz val="10"/>
        <rFont val="Noto Sans CJK SC"/>
        <family val="2"/>
      </rPr>
      <t xml:space="preserve">モク </t>
    </r>
    <r>
      <rPr>
        <sz val="10"/>
        <rFont val="Arial"/>
        <family val="0"/>
        <charset val="1"/>
      </rPr>
      <t xml:space="preserve">/ Kun: </t>
    </r>
    <r>
      <rPr>
        <sz val="10"/>
        <rFont val="Noto Sans CJK SC"/>
        <family val="2"/>
      </rPr>
      <t xml:space="preserve">め </t>
    </r>
    <r>
      <rPr>
        <sz val="10"/>
        <rFont val="Arial"/>
        <family val="0"/>
        <charset val="1"/>
      </rPr>
      <t xml:space="preserve">(5 nét)
   Từ ghép: </t>
    </r>
    <r>
      <rPr>
        <sz val="10"/>
        <rFont val="Noto Sans CJK SC"/>
        <family val="2"/>
      </rPr>
      <t xml:space="preserve">目 </t>
    </r>
    <r>
      <rPr>
        <sz val="10"/>
        <rFont val="Arial"/>
        <family val="0"/>
        <charset val="1"/>
      </rPr>
      <t xml:space="preserve">(</t>
    </r>
    <r>
      <rPr>
        <sz val="10"/>
        <rFont val="Noto Sans CJK SC"/>
        <family val="2"/>
      </rPr>
      <t xml:space="preserve">め</t>
    </r>
    <r>
      <rPr>
        <sz val="10"/>
        <rFont val="Arial"/>
        <family val="0"/>
        <charset val="1"/>
      </rPr>
      <t xml:space="preserve">) mắt </t>
    </r>
    <r>
      <rPr>
        <sz val="10"/>
        <rFont val="Noto Sans CJK SC"/>
        <family val="2"/>
      </rPr>
      <t xml:space="preserve">・ 一目 </t>
    </r>
    <r>
      <rPr>
        <sz val="10"/>
        <rFont val="Arial"/>
        <family val="0"/>
        <charset val="1"/>
      </rPr>
      <t xml:space="preserve">(</t>
    </r>
    <r>
      <rPr>
        <sz val="10"/>
        <rFont val="Noto Sans CJK SC"/>
        <family val="2"/>
      </rPr>
      <t xml:space="preserve">ひとめ</t>
    </r>
    <r>
      <rPr>
        <sz val="10"/>
        <rFont val="Arial"/>
        <family val="0"/>
        <charset val="1"/>
      </rPr>
      <t xml:space="preserve">) một cái nhìn </t>
    </r>
    <r>
      <rPr>
        <sz val="10"/>
        <rFont val="Noto Sans CJK SC"/>
        <family val="2"/>
      </rPr>
      <t xml:space="preserve">・ 目薬 </t>
    </r>
    <r>
      <rPr>
        <sz val="10"/>
        <rFont val="Arial"/>
        <family val="0"/>
        <charset val="1"/>
      </rPr>
      <t xml:space="preserve">(</t>
    </r>
    <r>
      <rPr>
        <sz val="10"/>
        <rFont val="Noto Sans CJK SC"/>
        <family val="2"/>
      </rPr>
      <t xml:space="preserve">めぐすり</t>
    </r>
    <r>
      <rPr>
        <sz val="10"/>
        <rFont val="Arial"/>
        <family val="0"/>
        <charset val="1"/>
      </rPr>
      <t xml:space="preserve">) thuốc nhỏ mắt
   Mẹo: Chữ </t>
    </r>
    <r>
      <rPr>
        <sz val="10"/>
        <rFont val="Noto Sans CJK SC"/>
        <family val="2"/>
      </rPr>
      <t xml:space="preserve">日 </t>
    </r>
    <r>
      <rPr>
        <sz val="10"/>
        <rFont val="Arial"/>
        <family val="0"/>
        <charset val="1"/>
      </rPr>
      <t xml:space="preserve">kéo dài thêm một vạch = con MẮT dựng đứng lên với hai mí và con ngươi.</t>
    </r>
  </si>
  <si>
    <r>
      <rPr>
        <sz val="10"/>
        <rFont val="Arial"/>
        <family val="0"/>
        <charset val="1"/>
      </rPr>
      <t xml:space="preserve">Minna bài 10 (2/2) — Tồn tại — </t>
    </r>
    <r>
      <rPr>
        <sz val="10"/>
        <rFont val="Noto Sans CJK SC"/>
        <family val="2"/>
      </rPr>
      <t xml:space="preserve">あります </t>
    </r>
    <r>
      <rPr>
        <sz val="10"/>
        <rFont val="Arial"/>
        <family val="0"/>
        <charset val="1"/>
      </rPr>
      <t xml:space="preserve">/ </t>
    </r>
    <r>
      <rPr>
        <sz val="10"/>
        <rFont val="Noto Sans CJK SC"/>
        <family val="2"/>
      </rPr>
      <t xml:space="preserve">います </t>
    </r>
    <r>
      <rPr>
        <sz val="10"/>
        <rFont val="Arial"/>
        <family val="0"/>
        <charset val="1"/>
      </rPr>
      <t xml:space="preserve">&amp; Vị trí
• N1 </t>
    </r>
    <r>
      <rPr>
        <sz val="10"/>
        <rFont val="Noto Sans CJK SC"/>
        <family val="2"/>
      </rPr>
      <t xml:space="preserve">の </t>
    </r>
    <r>
      <rPr>
        <sz val="10"/>
        <rFont val="Arial"/>
        <family val="0"/>
        <charset val="1"/>
      </rPr>
      <t xml:space="preserve">N2 (vị trí)  (N2 chỉ vị trí: </t>
    </r>
    <r>
      <rPr>
        <sz val="10"/>
        <rFont val="Noto Sans CJK SC"/>
        <family val="2"/>
      </rPr>
      <t xml:space="preserve">上</t>
    </r>
    <r>
      <rPr>
        <sz val="10"/>
        <rFont val="Arial"/>
        <family val="0"/>
        <charset val="1"/>
      </rPr>
      <t xml:space="preserve">/</t>
    </r>
    <r>
      <rPr>
        <sz val="10"/>
        <rFont val="Noto Sans CJK SC"/>
        <family val="2"/>
      </rPr>
      <t xml:space="preserve">下</t>
    </r>
    <r>
      <rPr>
        <sz val="10"/>
        <rFont val="Arial"/>
        <family val="0"/>
        <charset val="1"/>
      </rPr>
      <t xml:space="preserve">/</t>
    </r>
    <r>
      <rPr>
        <sz val="10"/>
        <rFont val="Noto Sans CJK SC"/>
        <family val="2"/>
      </rPr>
      <t xml:space="preserve">前</t>
    </r>
    <r>
      <rPr>
        <sz val="10"/>
        <rFont val="Arial"/>
        <family val="0"/>
        <charset val="1"/>
      </rPr>
      <t xml:space="preserve">/</t>
    </r>
    <r>
      <rPr>
        <sz val="10"/>
        <rFont val="Noto Sans CJK SC"/>
        <family val="2"/>
      </rPr>
      <t xml:space="preserve">後ろ</t>
    </r>
    <r>
      <rPr>
        <sz val="10"/>
        <rFont val="Arial"/>
        <family val="0"/>
        <charset val="1"/>
      </rPr>
      <t xml:space="preserve">/</t>
    </r>
    <r>
      <rPr>
        <sz val="10"/>
        <rFont val="Noto Sans CJK SC"/>
        <family val="2"/>
      </rPr>
      <t xml:space="preserve">中</t>
    </r>
    <r>
      <rPr>
        <sz val="10"/>
        <rFont val="Arial"/>
        <family val="0"/>
        <charset val="1"/>
      </rPr>
      <t xml:space="preserve">/</t>
    </r>
    <r>
      <rPr>
        <sz val="10"/>
        <rFont val="Noto Sans CJK SC"/>
        <family val="2"/>
      </rPr>
      <t xml:space="preserve">外</t>
    </r>
    <r>
      <rPr>
        <sz val="10"/>
        <rFont val="Arial"/>
        <family val="0"/>
        <charset val="1"/>
      </rPr>
      <t xml:space="preserve">/</t>
    </r>
    <r>
      <rPr>
        <sz val="10"/>
        <rFont val="Noto Sans CJK SC"/>
        <family val="2"/>
      </rPr>
      <t xml:space="preserve">隣</t>
    </r>
    <r>
      <rPr>
        <sz val="10"/>
        <rFont val="Arial"/>
        <family val="0"/>
        <charset val="1"/>
      </rPr>
      <t xml:space="preserve">/</t>
    </r>
    <r>
      <rPr>
        <sz val="10"/>
        <rFont val="Noto Sans CJK SC"/>
        <family val="2"/>
      </rPr>
      <t xml:space="preserve">近く</t>
    </r>
    <r>
      <rPr>
        <sz val="10"/>
        <rFont val="Arial"/>
        <family val="0"/>
        <charset val="1"/>
      </rPr>
      <t xml:space="preserve">/</t>
    </r>
    <r>
      <rPr>
        <sz val="10"/>
        <rFont val="Noto Sans CJK SC"/>
        <family val="2"/>
      </rPr>
      <t xml:space="preserve">間</t>
    </r>
    <r>
      <rPr>
        <sz val="10"/>
        <rFont val="Arial"/>
        <family val="0"/>
        <charset val="1"/>
      </rPr>
      <t xml:space="preserve">.)
   Ví dụ: </t>
    </r>
    <r>
      <rPr>
        <sz val="10"/>
        <rFont val="Noto Sans CJK SC"/>
        <family val="2"/>
      </rPr>
      <t xml:space="preserve">机の 上に 本が あります。  </t>
    </r>
    <r>
      <rPr>
        <sz val="10"/>
        <rFont val="Arial"/>
        <family val="0"/>
        <charset val="1"/>
      </rPr>
      <t xml:space="preserve">= Trên bàn có quyển sách.
• N1 </t>
    </r>
    <r>
      <rPr>
        <sz val="10"/>
        <rFont val="Noto Sans CJK SC"/>
        <family val="2"/>
      </rPr>
      <t xml:space="preserve">や </t>
    </r>
    <r>
      <rPr>
        <sz val="10"/>
        <rFont val="Arial"/>
        <family val="0"/>
        <charset val="1"/>
      </rPr>
      <t xml:space="preserve">N2 (</t>
    </r>
    <r>
      <rPr>
        <sz val="10"/>
        <rFont val="Noto Sans CJK SC"/>
        <family val="2"/>
      </rPr>
      <t xml:space="preserve">など</t>
    </r>
    <r>
      <rPr>
        <sz val="10"/>
        <rFont val="Arial"/>
        <family val="0"/>
        <charset val="1"/>
      </rPr>
      <t xml:space="preserve">)  (N1, N2, vân vân. Liệt kê không đầy đủ, khác với </t>
    </r>
    <r>
      <rPr>
        <sz val="10"/>
        <rFont val="Noto Sans CJK SC"/>
        <family val="2"/>
      </rPr>
      <t xml:space="preserve">と </t>
    </r>
    <r>
      <rPr>
        <sz val="10"/>
        <rFont val="Arial"/>
        <family val="0"/>
        <charset val="1"/>
      </rPr>
      <t xml:space="preserve">(đầy đủ).)
   Ví dụ: </t>
    </r>
    <r>
      <rPr>
        <sz val="10"/>
        <rFont val="Noto Sans CJK SC"/>
        <family val="2"/>
      </rPr>
      <t xml:space="preserve">机の 上に 本や ノートが あります。  </t>
    </r>
    <r>
      <rPr>
        <sz val="10"/>
        <rFont val="Arial"/>
        <family val="0"/>
        <charset val="1"/>
      </rPr>
      <t xml:space="preserve">= Trên bàn có sách, vở, v.v.
→ Làm </t>
    </r>
    <r>
      <rPr>
        <sz val="10"/>
        <rFont val="Noto Sans CJK SC"/>
        <family val="2"/>
      </rPr>
      <t xml:space="preserve">練習</t>
    </r>
    <r>
      <rPr>
        <sz val="10"/>
        <rFont val="Arial"/>
        <family val="0"/>
        <charset val="1"/>
      </rPr>
      <t xml:space="preserve">A của bài 10 trong sách, mỗi mẫu tự đặt 3 câu.</t>
    </r>
  </si>
  <si>
    <r>
      <rPr>
        <sz val="10"/>
        <rFont val="Arial"/>
        <family val="0"/>
        <charset val="1"/>
      </rPr>
      <t xml:space="preserve">Từ mới Minna bài 10:
• </t>
    </r>
    <r>
      <rPr>
        <sz val="10"/>
        <rFont val="Noto Sans CJK SC"/>
        <family val="2"/>
      </rPr>
      <t xml:space="preserve">となり（隣） </t>
    </r>
    <r>
      <rPr>
        <sz val="10"/>
        <rFont val="Arial"/>
        <family val="0"/>
        <charset val="1"/>
      </rPr>
      <t xml:space="preserve">= Bên cạnh (cùng loại)
   Mẹo: </t>
    </r>
    <r>
      <rPr>
        <sz val="10"/>
        <rFont val="Noto Sans CJK SC"/>
        <family val="2"/>
      </rPr>
      <t xml:space="preserve">隣 </t>
    </r>
    <r>
      <rPr>
        <sz val="10"/>
        <rFont val="Arial"/>
        <family val="0"/>
        <charset val="1"/>
      </rPr>
      <t xml:space="preserve">dùng cho nhà cạnh nhà, người cạnh người — cùng loại.
• </t>
    </r>
    <r>
      <rPr>
        <sz val="10"/>
        <rFont val="Noto Sans CJK SC"/>
        <family val="2"/>
      </rPr>
      <t xml:space="preserve">ちかく（近く） </t>
    </r>
    <r>
      <rPr>
        <sz val="10"/>
        <rFont val="Arial"/>
        <family val="0"/>
        <charset val="1"/>
      </rPr>
      <t xml:space="preserve">= Gần đây
   Mẹo: </t>
    </r>
    <r>
      <rPr>
        <sz val="10"/>
        <rFont val="Noto Sans CJK SC"/>
        <family val="2"/>
      </rPr>
      <t xml:space="preserve">近 </t>
    </r>
    <r>
      <rPr>
        <sz val="10"/>
        <rFont val="Arial"/>
        <family val="0"/>
        <charset val="1"/>
      </rPr>
      <t xml:space="preserve">có bộ </t>
    </r>
    <r>
      <rPr>
        <sz val="10"/>
        <rFont val="Noto Sans CJK SC"/>
        <family val="2"/>
      </rPr>
      <t xml:space="preserve">辶 </t>
    </r>
    <r>
      <rPr>
        <sz val="10"/>
        <rFont val="Arial"/>
        <family val="0"/>
        <charset val="1"/>
      </rPr>
      <t xml:space="preserve">(di chuyển) → đi một quãng ngắn là tới.
• </t>
    </r>
    <r>
      <rPr>
        <sz val="10"/>
        <rFont val="Noto Sans CJK SC"/>
        <family val="2"/>
      </rPr>
      <t xml:space="preserve">あいだ（間） </t>
    </r>
    <r>
      <rPr>
        <sz val="10"/>
        <rFont val="Arial"/>
        <family val="0"/>
        <charset val="1"/>
      </rPr>
      <t xml:space="preserve">= Ở giữa (hai vật)
   Mẹo: </t>
    </r>
    <r>
      <rPr>
        <sz val="10"/>
        <rFont val="Noto Sans CJK SC"/>
        <family val="2"/>
      </rPr>
      <t xml:space="preserve">間 </t>
    </r>
    <r>
      <rPr>
        <sz val="10"/>
        <rFont val="Arial"/>
        <family val="0"/>
        <charset val="1"/>
      </rPr>
      <t xml:space="preserve">= ánh nắng </t>
    </r>
    <r>
      <rPr>
        <sz val="10"/>
        <rFont val="Noto Sans CJK SC"/>
        <family val="2"/>
      </rPr>
      <t xml:space="preserve">日 </t>
    </r>
    <r>
      <rPr>
        <sz val="10"/>
        <rFont val="Arial"/>
        <family val="0"/>
        <charset val="1"/>
      </rPr>
      <t xml:space="preserve">lọt qua khe cửa </t>
    </r>
    <r>
      <rPr>
        <sz val="10"/>
        <rFont val="Noto Sans CJK SC"/>
        <family val="2"/>
      </rPr>
      <t xml:space="preserve">門</t>
    </r>
    <r>
      <rPr>
        <sz val="10"/>
        <rFont val="Arial"/>
        <family val="0"/>
        <charset val="1"/>
      </rPr>
      <t xml:space="preserve">.
• </t>
    </r>
    <r>
      <rPr>
        <sz val="10"/>
        <rFont val="Noto Sans CJK SC"/>
        <family val="2"/>
      </rPr>
      <t xml:space="preserve">いえ </t>
    </r>
    <r>
      <rPr>
        <sz val="10"/>
        <rFont val="Arial"/>
        <family val="0"/>
        <charset val="1"/>
      </rPr>
      <t xml:space="preserve">/ </t>
    </r>
    <r>
      <rPr>
        <sz val="10"/>
        <rFont val="Noto Sans CJK SC"/>
        <family val="2"/>
      </rPr>
      <t xml:space="preserve">うち（家） </t>
    </r>
    <r>
      <rPr>
        <sz val="10"/>
        <rFont val="Arial"/>
        <family val="0"/>
        <charset val="1"/>
      </rPr>
      <t xml:space="preserve">= Nhà
   Mẹo: </t>
    </r>
    <r>
      <rPr>
        <sz val="10"/>
        <rFont val="Noto Sans CJK SC"/>
        <family val="2"/>
      </rPr>
      <t xml:space="preserve">家 </t>
    </r>
    <r>
      <rPr>
        <sz val="10"/>
        <rFont val="Arial"/>
        <family val="0"/>
        <charset val="1"/>
      </rPr>
      <t xml:space="preserve">= </t>
    </r>
    <r>
      <rPr>
        <sz val="10"/>
        <rFont val="Noto Sans CJK SC"/>
        <family val="2"/>
      </rPr>
      <t xml:space="preserve">宀 </t>
    </r>
    <r>
      <rPr>
        <sz val="10"/>
        <rFont val="Arial"/>
        <family val="0"/>
        <charset val="1"/>
      </rPr>
      <t xml:space="preserve">(mái nhà) + </t>
    </r>
    <r>
      <rPr>
        <sz val="10"/>
        <rFont val="Noto Sans CJK SC"/>
        <family val="2"/>
      </rPr>
      <t xml:space="preserve">豕 </t>
    </r>
    <r>
      <rPr>
        <sz val="10"/>
        <rFont val="Arial"/>
        <family val="0"/>
        <charset val="1"/>
      </rPr>
      <t xml:space="preserve">(con lợn) → nhà xưa nuôi lợn dưới sàn.
• </t>
    </r>
    <r>
      <rPr>
        <sz val="10"/>
        <rFont val="Noto Sans CJK SC"/>
        <family val="2"/>
      </rPr>
      <t xml:space="preserve">へや（部屋） </t>
    </r>
    <r>
      <rPr>
        <sz val="10"/>
        <rFont val="Arial"/>
        <family val="0"/>
        <charset val="1"/>
      </rPr>
      <t xml:space="preserve">= Phòng
   Mẹo: BỘ ỐC = một gian trong ngôi nhà.
• </t>
    </r>
    <r>
      <rPr>
        <sz val="10"/>
        <rFont val="Noto Sans CJK SC"/>
        <family val="2"/>
      </rPr>
      <t xml:space="preserve">にわ（庭） </t>
    </r>
    <r>
      <rPr>
        <sz val="10"/>
        <rFont val="Arial"/>
        <family val="0"/>
        <charset val="1"/>
      </rPr>
      <t xml:space="preserve">= Sân vườn
   Mẹo: </t>
    </r>
    <r>
      <rPr>
        <sz val="10"/>
        <rFont val="Noto Sans CJK SC"/>
        <family val="2"/>
      </rPr>
      <t xml:space="preserve">庭 </t>
    </r>
    <r>
      <rPr>
        <sz val="10"/>
        <rFont val="Arial"/>
        <family val="0"/>
        <charset val="1"/>
      </rPr>
      <t xml:space="preserve">có bộ </t>
    </r>
    <r>
      <rPr>
        <sz val="10"/>
        <rFont val="Noto Sans CJK SC"/>
        <family val="2"/>
      </rPr>
      <t xml:space="preserve">广 </t>
    </r>
    <r>
      <rPr>
        <sz val="10"/>
        <rFont val="Arial"/>
        <family val="0"/>
        <charset val="1"/>
      </rPr>
      <t xml:space="preserve">(mái hiên) → khoảng đất trước hiên nhà.
• </t>
    </r>
    <r>
      <rPr>
        <sz val="10"/>
        <rFont val="Noto Sans CJK SC"/>
        <family val="2"/>
      </rPr>
      <t xml:space="preserve">ビル </t>
    </r>
    <r>
      <rPr>
        <sz val="10"/>
        <rFont val="Arial"/>
        <family val="0"/>
        <charset val="1"/>
      </rPr>
      <t xml:space="preserve">= Tòa nhà
   Mẹo: Từ 'building' rút gọn. Đừng nhầm với </t>
    </r>
    <r>
      <rPr>
        <sz val="10"/>
        <rFont val="Noto Sans CJK SC"/>
        <family val="2"/>
      </rPr>
      <t xml:space="preserve">ビール </t>
    </r>
    <r>
      <rPr>
        <sz val="10"/>
        <rFont val="Arial"/>
        <family val="0"/>
        <charset val="1"/>
      </rPr>
      <t xml:space="preserve">(bia)!
→ Đối chiếu thêm với mục </t>
    </r>
    <r>
      <rPr>
        <sz val="10"/>
        <rFont val="Noto Sans CJK SC"/>
        <family val="2"/>
      </rPr>
      <t xml:space="preserve">語彙 </t>
    </r>
    <r>
      <rPr>
        <sz val="10"/>
        <rFont val="Arial"/>
        <family val="0"/>
        <charset val="1"/>
      </rPr>
      <t xml:space="preserve">của bài 10 trong sách để bổ sung.</t>
    </r>
  </si>
  <si>
    <r>
      <rPr>
        <b val="true"/>
        <sz val="12"/>
        <color rgb="FF1F3864"/>
        <rFont val="Arial"/>
        <family val="0"/>
        <charset val="1"/>
      </rPr>
      <t xml:space="preserve">NGÀY 38  ·  Tuần 6  ·  Minna Bài 11 (1/2)  ·  Số đếm &amp; Lượng từ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</si>
  <si>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魚 </t>
    </r>
    <r>
      <rPr>
        <sz val="10"/>
        <rFont val="Arial"/>
        <family val="0"/>
        <charset val="1"/>
      </rPr>
      <t xml:space="preserve">(</t>
    </r>
    <r>
      <rPr>
        <sz val="10"/>
        <rFont val="Noto Sans CJK SC"/>
        <family val="2"/>
      </rPr>
      <t xml:space="preserve">うお </t>
    </r>
    <r>
      <rPr>
        <sz val="10"/>
        <rFont val="Arial"/>
        <family val="0"/>
        <charset val="1"/>
      </rPr>
      <t xml:space="preserve">/ </t>
    </r>
    <r>
      <rPr>
        <sz val="10"/>
        <rFont val="Noto Sans CJK SC"/>
        <family val="2"/>
      </rPr>
      <t xml:space="preserve">うおへん</t>
    </r>
    <r>
      <rPr>
        <sz val="10"/>
        <rFont val="Arial"/>
        <family val="0"/>
        <charset val="1"/>
      </rPr>
      <t xml:space="preserve">) = Cá, hải sản
   Mẹo nhớ: Đầu, thân, vảy và đuôi cá
   Kanji chứa bộ này: </t>
    </r>
    <r>
      <rPr>
        <sz val="10"/>
        <rFont val="Noto Sans CJK SC"/>
        <family val="2"/>
      </rPr>
      <t xml:space="preserve">魚・鮮・鯨</t>
    </r>
  </si>
  <si>
    <r>
      <rPr>
        <sz val="10"/>
        <rFont val="Arial"/>
        <family val="0"/>
        <charset val="1"/>
      </rPr>
      <t xml:space="preserve">Học 2 chữ. Mỗi chữ viết tay 10 lần đúng thứ tự nét.
• </t>
    </r>
    <r>
      <rPr>
        <sz val="10"/>
        <rFont val="Noto Sans CJK SC"/>
        <family val="2"/>
      </rPr>
      <t xml:space="preserve">外 </t>
    </r>
    <r>
      <rPr>
        <sz val="10"/>
        <rFont val="Arial"/>
        <family val="0"/>
        <charset val="1"/>
      </rPr>
      <t xml:space="preserve">[NGOẠI] Bên ngoài — On: </t>
    </r>
    <r>
      <rPr>
        <sz val="10"/>
        <rFont val="Noto Sans CJK SC"/>
        <family val="2"/>
      </rPr>
      <t xml:space="preserve">ガイ </t>
    </r>
    <r>
      <rPr>
        <sz val="10"/>
        <rFont val="Arial"/>
        <family val="0"/>
        <charset val="1"/>
      </rPr>
      <t xml:space="preserve">/ Kun: </t>
    </r>
    <r>
      <rPr>
        <sz val="10"/>
        <rFont val="Noto Sans CJK SC"/>
        <family val="2"/>
      </rPr>
      <t xml:space="preserve">そと・はず</t>
    </r>
    <r>
      <rPr>
        <sz val="10"/>
        <rFont val="Arial"/>
        <family val="0"/>
        <charset val="1"/>
      </rPr>
      <t xml:space="preserve">(</t>
    </r>
    <r>
      <rPr>
        <sz val="10"/>
        <rFont val="Noto Sans CJK SC"/>
        <family val="2"/>
      </rPr>
      <t xml:space="preserve">す</t>
    </r>
    <r>
      <rPr>
        <sz val="10"/>
        <rFont val="Arial"/>
        <family val="0"/>
        <charset val="1"/>
      </rPr>
      <t xml:space="preserve">) (5 nét)
   Từ ghép: </t>
    </r>
    <r>
      <rPr>
        <sz val="10"/>
        <rFont val="Noto Sans CJK SC"/>
        <family val="2"/>
      </rPr>
      <t xml:space="preserve">外 </t>
    </r>
    <r>
      <rPr>
        <sz val="10"/>
        <rFont val="Arial"/>
        <family val="0"/>
        <charset val="1"/>
      </rPr>
      <t xml:space="preserve">(</t>
    </r>
    <r>
      <rPr>
        <sz val="10"/>
        <rFont val="Noto Sans CJK SC"/>
        <family val="2"/>
      </rPr>
      <t xml:space="preserve">そと</t>
    </r>
    <r>
      <rPr>
        <sz val="10"/>
        <rFont val="Arial"/>
        <family val="0"/>
        <charset val="1"/>
      </rPr>
      <t xml:space="preserve">) bên ngoài </t>
    </r>
    <r>
      <rPr>
        <sz val="10"/>
        <rFont val="Noto Sans CJK SC"/>
        <family val="2"/>
      </rPr>
      <t xml:space="preserve">・ 外国 </t>
    </r>
    <r>
      <rPr>
        <sz val="10"/>
        <rFont val="Arial"/>
        <family val="0"/>
        <charset val="1"/>
      </rPr>
      <t xml:space="preserve">(</t>
    </r>
    <r>
      <rPr>
        <sz val="10"/>
        <rFont val="Noto Sans CJK SC"/>
        <family val="2"/>
      </rPr>
      <t xml:space="preserve">がいこく</t>
    </r>
    <r>
      <rPr>
        <sz val="10"/>
        <rFont val="Arial"/>
        <family val="0"/>
        <charset val="1"/>
      </rPr>
      <t xml:space="preserve">) nước ngoài </t>
    </r>
    <r>
      <rPr>
        <sz val="10"/>
        <rFont val="Noto Sans CJK SC"/>
        <family val="2"/>
      </rPr>
      <t xml:space="preserve">・ 外国人 </t>
    </r>
    <r>
      <rPr>
        <sz val="10"/>
        <rFont val="Arial"/>
        <family val="0"/>
        <charset val="1"/>
      </rPr>
      <t xml:space="preserve">(</t>
    </r>
    <r>
      <rPr>
        <sz val="10"/>
        <rFont val="Noto Sans CJK SC"/>
        <family val="2"/>
      </rPr>
      <t xml:space="preserve">がいこくじん</t>
    </r>
    <r>
      <rPr>
        <sz val="10"/>
        <rFont val="Arial"/>
        <family val="0"/>
        <charset val="1"/>
      </rPr>
      <t xml:space="preserve">) người nước ngoài
   Mẹo: </t>
    </r>
    <r>
      <rPr>
        <sz val="10"/>
        <rFont val="Noto Sans CJK SC"/>
        <family val="2"/>
      </rPr>
      <t xml:space="preserve">夕 </t>
    </r>
    <r>
      <rPr>
        <sz val="10"/>
        <rFont val="Arial"/>
        <family val="0"/>
        <charset val="1"/>
      </rPr>
      <t xml:space="preserve">(buổi chiều tối) + </t>
    </r>
    <r>
      <rPr>
        <sz val="10"/>
        <rFont val="Noto Sans CJK SC"/>
        <family val="2"/>
      </rPr>
      <t xml:space="preserve">卜 </t>
    </r>
    <r>
      <rPr>
        <sz val="10"/>
        <rFont val="Arial"/>
        <family val="0"/>
        <charset val="1"/>
      </rPr>
      <t xml:space="preserve">(bói toán) = ngày xưa bói ngoài trời lúc chiều tà → NGOÀI.
• </t>
    </r>
    <r>
      <rPr>
        <sz val="10"/>
        <rFont val="Noto Sans CJK SC"/>
        <family val="2"/>
      </rPr>
      <t xml:space="preserve">言 </t>
    </r>
    <r>
      <rPr>
        <sz val="10"/>
        <rFont val="Arial"/>
        <family val="0"/>
        <charset val="1"/>
      </rPr>
      <t xml:space="preserve">[NGÔN] Nói, lời nói — On: </t>
    </r>
    <r>
      <rPr>
        <sz val="10"/>
        <rFont val="Noto Sans CJK SC"/>
        <family val="2"/>
      </rPr>
      <t xml:space="preserve">ゲン・ゴン </t>
    </r>
    <r>
      <rPr>
        <sz val="10"/>
        <rFont val="Arial"/>
        <family val="0"/>
        <charset val="1"/>
      </rPr>
      <t xml:space="preserve">/ Kun: </t>
    </r>
    <r>
      <rPr>
        <sz val="10"/>
        <rFont val="Noto Sans CJK SC"/>
        <family val="2"/>
      </rPr>
      <t xml:space="preserve">い</t>
    </r>
    <r>
      <rPr>
        <sz val="10"/>
        <rFont val="Arial"/>
        <family val="0"/>
        <charset val="1"/>
      </rPr>
      <t xml:space="preserve">(</t>
    </r>
    <r>
      <rPr>
        <sz val="10"/>
        <rFont val="Noto Sans CJK SC"/>
        <family val="2"/>
      </rPr>
      <t xml:space="preserve">う</t>
    </r>
    <r>
      <rPr>
        <sz val="10"/>
        <rFont val="Arial"/>
        <family val="0"/>
        <charset val="1"/>
      </rPr>
      <t xml:space="preserve">)</t>
    </r>
    <r>
      <rPr>
        <sz val="10"/>
        <rFont val="Noto Sans CJK SC"/>
        <family val="2"/>
      </rPr>
      <t xml:space="preserve">・こと </t>
    </r>
    <r>
      <rPr>
        <sz val="10"/>
        <rFont val="Arial"/>
        <family val="0"/>
        <charset val="1"/>
      </rPr>
      <t xml:space="preserve">(7 nét)
   Từ ghép: </t>
    </r>
    <r>
      <rPr>
        <sz val="10"/>
        <rFont val="Noto Sans CJK SC"/>
        <family val="2"/>
      </rPr>
      <t xml:space="preserve">言います </t>
    </r>
    <r>
      <rPr>
        <sz val="10"/>
        <rFont val="Arial"/>
        <family val="0"/>
        <charset val="1"/>
      </rPr>
      <t xml:space="preserve">(</t>
    </r>
    <r>
      <rPr>
        <sz val="10"/>
        <rFont val="Noto Sans CJK SC"/>
        <family val="2"/>
      </rPr>
      <t xml:space="preserve">いいます</t>
    </r>
    <r>
      <rPr>
        <sz val="10"/>
        <rFont val="Arial"/>
        <family val="0"/>
        <charset val="1"/>
      </rPr>
      <t xml:space="preserve">) nói </t>
    </r>
    <r>
      <rPr>
        <sz val="10"/>
        <rFont val="Noto Sans CJK SC"/>
        <family val="2"/>
      </rPr>
      <t xml:space="preserve">・ 言葉 </t>
    </r>
    <r>
      <rPr>
        <sz val="10"/>
        <rFont val="Arial"/>
        <family val="0"/>
        <charset val="1"/>
      </rPr>
      <t xml:space="preserve">(</t>
    </r>
    <r>
      <rPr>
        <sz val="10"/>
        <rFont val="Noto Sans CJK SC"/>
        <family val="2"/>
      </rPr>
      <t xml:space="preserve">ことば</t>
    </r>
    <r>
      <rPr>
        <sz val="10"/>
        <rFont val="Arial"/>
        <family val="0"/>
        <charset val="1"/>
      </rPr>
      <t xml:space="preserve">) từ ngữ </t>
    </r>
    <r>
      <rPr>
        <sz val="10"/>
        <rFont val="Noto Sans CJK SC"/>
        <family val="2"/>
      </rPr>
      <t xml:space="preserve">・ 方言 </t>
    </r>
    <r>
      <rPr>
        <sz val="10"/>
        <rFont val="Arial"/>
        <family val="0"/>
        <charset val="1"/>
      </rPr>
      <t xml:space="preserve">(</t>
    </r>
    <r>
      <rPr>
        <sz val="10"/>
        <rFont val="Noto Sans CJK SC"/>
        <family val="2"/>
      </rPr>
      <t xml:space="preserve">ほうげん</t>
    </r>
    <r>
      <rPr>
        <sz val="10"/>
        <rFont val="Arial"/>
        <family val="0"/>
        <charset val="1"/>
      </rPr>
      <t xml:space="preserve">) phương ngữ
   Mẹo: Cái miệng </t>
    </r>
    <r>
      <rPr>
        <sz val="10"/>
        <rFont val="Noto Sans CJK SC"/>
        <family val="2"/>
      </rPr>
      <t xml:space="preserve">口 </t>
    </r>
    <r>
      <rPr>
        <sz val="10"/>
        <rFont val="Arial"/>
        <family val="0"/>
        <charset val="1"/>
      </rPr>
      <t xml:space="preserve">bên dưới, các vạch bên trên là sóng âm phát ra = LỜI NÓI. Chữ nào có </t>
    </r>
    <r>
      <rPr>
        <sz val="10"/>
        <rFont val="Noto Sans CJK SC"/>
        <family val="2"/>
      </rPr>
      <t xml:space="preserve">言 </t>
    </r>
    <r>
      <rPr>
        <sz val="10"/>
        <rFont val="Arial"/>
        <family val="0"/>
        <charset val="1"/>
      </rPr>
      <t xml:space="preserve">đều liên quan đến nói.</t>
    </r>
  </si>
  <si>
    <r>
      <rPr>
        <sz val="10"/>
        <rFont val="Arial"/>
        <family val="0"/>
        <charset val="1"/>
      </rPr>
      <t xml:space="preserve">Minna bài 11 (1/2) — Số đếm &amp; Lượng từ
• </t>
    </r>
    <r>
      <rPr>
        <sz val="10"/>
        <rFont val="Noto Sans CJK SC"/>
        <family val="2"/>
      </rPr>
      <t xml:space="preserve">〜つ </t>
    </r>
    <r>
      <rPr>
        <sz val="10"/>
        <rFont val="Arial"/>
        <family val="0"/>
        <charset val="1"/>
      </rPr>
      <t xml:space="preserve">(1</t>
    </r>
    <r>
      <rPr>
        <sz val="10"/>
        <rFont val="Noto Sans CJK SC"/>
        <family val="2"/>
      </rPr>
      <t xml:space="preserve">〜</t>
    </r>
    <r>
      <rPr>
        <sz val="10"/>
        <rFont val="Arial"/>
        <family val="0"/>
        <charset val="1"/>
      </rPr>
      <t xml:space="preserve">10)  (Đếm vật chung: </t>
    </r>
    <r>
      <rPr>
        <sz val="10"/>
        <rFont val="Noto Sans CJK SC"/>
        <family val="2"/>
      </rPr>
      <t xml:space="preserve">ひとつ</t>
    </r>
    <r>
      <rPr>
        <sz val="10"/>
        <rFont val="Arial"/>
        <family val="0"/>
        <charset val="1"/>
      </rPr>
      <t xml:space="preserve">, </t>
    </r>
    <r>
      <rPr>
        <sz val="10"/>
        <rFont val="Noto Sans CJK SC"/>
        <family val="2"/>
      </rPr>
      <t xml:space="preserve">ふたつ</t>
    </r>
    <r>
      <rPr>
        <sz val="10"/>
        <rFont val="Arial"/>
        <family val="0"/>
        <charset val="1"/>
      </rPr>
      <t xml:space="preserve">, </t>
    </r>
    <r>
      <rPr>
        <sz val="10"/>
        <rFont val="Noto Sans CJK SC"/>
        <family val="2"/>
      </rPr>
      <t xml:space="preserve">みっつ</t>
    </r>
    <r>
      <rPr>
        <sz val="10"/>
        <rFont val="Arial"/>
        <family val="0"/>
        <charset val="1"/>
      </rPr>
      <t xml:space="preserve">... Từ 11 trở đi dùng </t>
    </r>
    <r>
      <rPr>
        <sz val="10"/>
        <rFont val="Noto Sans CJK SC"/>
        <family val="2"/>
      </rPr>
      <t xml:space="preserve">〜個</t>
    </r>
    <r>
      <rPr>
        <sz val="10"/>
        <rFont val="Arial"/>
        <family val="0"/>
        <charset val="1"/>
      </rPr>
      <t xml:space="preserve">.)
   Ví dụ: </t>
    </r>
    <r>
      <rPr>
        <sz val="10"/>
        <rFont val="Noto Sans CJK SC"/>
        <family val="2"/>
      </rPr>
      <t xml:space="preserve">みかんを 三つ 買いました。  </t>
    </r>
    <r>
      <rPr>
        <sz val="10"/>
        <rFont val="Arial"/>
        <family val="0"/>
        <charset val="1"/>
      </rPr>
      <t xml:space="preserve">= Tôi đã mua ba quả quýt.
• </t>
    </r>
    <r>
      <rPr>
        <sz val="10"/>
        <rFont val="Noto Sans CJK SC"/>
        <family val="2"/>
      </rPr>
      <t xml:space="preserve">〜人 </t>
    </r>
    <r>
      <rPr>
        <sz val="10"/>
        <rFont val="Arial"/>
        <family val="0"/>
        <charset val="1"/>
      </rPr>
      <t xml:space="preserve">/ </t>
    </r>
    <r>
      <rPr>
        <sz val="10"/>
        <rFont val="Noto Sans CJK SC"/>
        <family val="2"/>
      </rPr>
      <t xml:space="preserve">〜台 </t>
    </r>
    <r>
      <rPr>
        <sz val="10"/>
        <rFont val="Arial"/>
        <family val="0"/>
        <charset val="1"/>
      </rPr>
      <t xml:space="preserve">/ </t>
    </r>
    <r>
      <rPr>
        <sz val="10"/>
        <rFont val="Noto Sans CJK SC"/>
        <family val="2"/>
      </rPr>
      <t xml:space="preserve">〜枚 </t>
    </r>
    <r>
      <rPr>
        <sz val="10"/>
        <rFont val="Arial"/>
        <family val="0"/>
        <charset val="1"/>
      </rPr>
      <t xml:space="preserve">/ </t>
    </r>
    <r>
      <rPr>
        <sz val="10"/>
        <rFont val="Noto Sans CJK SC"/>
        <family val="2"/>
      </rPr>
      <t xml:space="preserve">〜冊  </t>
    </r>
    <r>
      <rPr>
        <sz val="10"/>
        <rFont val="Arial"/>
        <family val="0"/>
        <charset val="1"/>
      </rPr>
      <t xml:space="preserve">(Đếm người / máy móc, xe / vật mỏng dẹt / sách vở.)
   Ví dụ: </t>
    </r>
    <r>
      <rPr>
        <sz val="10"/>
        <rFont val="Noto Sans CJK SC"/>
        <family val="2"/>
      </rPr>
      <t xml:space="preserve">教室に 学生が 五人 います。  </t>
    </r>
    <r>
      <rPr>
        <sz val="10"/>
        <rFont val="Arial"/>
        <family val="0"/>
        <charset val="1"/>
      </rPr>
      <t xml:space="preserve">= Trong lớp có 5 học sinh.
• </t>
    </r>
    <r>
      <rPr>
        <sz val="10"/>
        <rFont val="Noto Sans CJK SC"/>
        <family val="2"/>
      </rPr>
      <t xml:space="preserve">〜回 </t>
    </r>
    <r>
      <rPr>
        <sz val="10"/>
        <rFont val="Arial"/>
        <family val="0"/>
        <charset val="1"/>
      </rPr>
      <t xml:space="preserve">/ </t>
    </r>
    <r>
      <rPr>
        <sz val="10"/>
        <rFont val="Noto Sans CJK SC"/>
        <family val="2"/>
      </rPr>
      <t xml:space="preserve">〜時間 </t>
    </r>
    <r>
      <rPr>
        <sz val="10"/>
        <rFont val="Arial"/>
        <family val="0"/>
        <charset val="1"/>
      </rPr>
      <t xml:space="preserve">/ </t>
    </r>
    <r>
      <rPr>
        <sz val="10"/>
        <rFont val="Noto Sans CJK SC"/>
        <family val="2"/>
      </rPr>
      <t xml:space="preserve">〜週間 </t>
    </r>
    <r>
      <rPr>
        <sz val="10"/>
        <rFont val="Arial"/>
        <family val="0"/>
        <charset val="1"/>
      </rPr>
      <t xml:space="preserve">/ </t>
    </r>
    <r>
      <rPr>
        <sz val="10"/>
        <rFont val="Noto Sans CJK SC"/>
        <family val="2"/>
      </rPr>
      <t xml:space="preserve">〜か月 </t>
    </r>
    <r>
      <rPr>
        <sz val="10"/>
        <rFont val="Arial"/>
        <family val="0"/>
        <charset val="1"/>
      </rPr>
      <t xml:space="preserve">/ </t>
    </r>
    <r>
      <rPr>
        <sz val="10"/>
        <rFont val="Noto Sans CJK SC"/>
        <family val="2"/>
      </rPr>
      <t xml:space="preserve">〜年  </t>
    </r>
    <r>
      <rPr>
        <sz val="10"/>
        <rFont val="Arial"/>
        <family val="0"/>
        <charset val="1"/>
      </rPr>
      <t xml:space="preserve">(Số lần và khoảng thời gian.)
   Ví dụ: </t>
    </r>
    <r>
      <rPr>
        <sz val="10"/>
        <rFont val="Noto Sans CJK SC"/>
        <family val="2"/>
      </rPr>
      <t xml:space="preserve">一週間に 二回 日本語を 勉強します。  </t>
    </r>
    <r>
      <rPr>
        <sz val="10"/>
        <rFont val="Arial"/>
        <family val="0"/>
        <charset val="1"/>
      </rPr>
      <t xml:space="preserve">= Mỗi tuần tôi học tiếng Nhật hai lần.
→ Làm </t>
    </r>
    <r>
      <rPr>
        <sz val="10"/>
        <rFont val="Noto Sans CJK SC"/>
        <family val="2"/>
      </rPr>
      <t xml:space="preserve">練習</t>
    </r>
    <r>
      <rPr>
        <sz val="10"/>
        <rFont val="Arial"/>
        <family val="0"/>
        <charset val="1"/>
      </rPr>
      <t xml:space="preserve">A của bài 11 trong sách, mỗi mẫu tự đặt 3 câu.</t>
    </r>
  </si>
  <si>
    <r>
      <rPr>
        <sz val="10"/>
        <rFont val="Arial"/>
        <family val="0"/>
        <charset val="1"/>
      </rPr>
      <t xml:space="preserve">Từ mới Minna bài 11:
• </t>
    </r>
    <r>
      <rPr>
        <sz val="10"/>
        <rFont val="Noto Sans CJK SC"/>
        <family val="2"/>
      </rPr>
      <t xml:space="preserve">ひとつ〜とおつ（一つ〜十） </t>
    </r>
    <r>
      <rPr>
        <sz val="10"/>
        <rFont val="Arial"/>
        <family val="0"/>
        <charset val="1"/>
      </rPr>
      <t xml:space="preserve">= Một cái đến mười cái
   Mẹo: </t>
    </r>
    <r>
      <rPr>
        <sz val="10"/>
        <rFont val="Noto Sans CJK SC"/>
        <family val="2"/>
      </rPr>
      <t xml:space="preserve">ひとつ ふたつ みっつ よっつ いつつ むっつ ななつ やっつ ここのつ とお</t>
    </r>
    <r>
      <rPr>
        <sz val="10"/>
        <rFont val="Arial"/>
        <family val="0"/>
        <charset val="1"/>
      </rPr>
      <t xml:space="preserve">. Đọc to 10 lần mỗi ngày.
• </t>
    </r>
    <r>
      <rPr>
        <sz val="10"/>
        <rFont val="Noto Sans CJK SC"/>
        <family val="2"/>
      </rPr>
      <t xml:space="preserve">ひとり </t>
    </r>
    <r>
      <rPr>
        <sz val="10"/>
        <rFont val="Arial"/>
        <family val="0"/>
        <charset val="1"/>
      </rPr>
      <t xml:space="preserve">/ </t>
    </r>
    <r>
      <rPr>
        <sz val="10"/>
        <rFont val="Noto Sans CJK SC"/>
        <family val="2"/>
      </rPr>
      <t xml:space="preserve">ふたり（一人 </t>
    </r>
    <r>
      <rPr>
        <sz val="10"/>
        <rFont val="Arial"/>
        <family val="0"/>
        <charset val="1"/>
      </rPr>
      <t xml:space="preserve">/ </t>
    </r>
    <r>
      <rPr>
        <sz val="10"/>
        <rFont val="Noto Sans CJK SC"/>
        <family val="2"/>
      </rPr>
      <t xml:space="preserve">二人） </t>
    </r>
    <r>
      <rPr>
        <sz val="10"/>
        <rFont val="Arial"/>
        <family val="0"/>
        <charset val="1"/>
      </rPr>
      <t xml:space="preserve">= Một người / hai người
   Mẹo: Hai số này bất quy tắc. Từ 3 người trở đi: </t>
    </r>
    <r>
      <rPr>
        <sz val="10"/>
        <rFont val="Noto Sans CJK SC"/>
        <family val="2"/>
      </rPr>
      <t xml:space="preserve">三人 さんにん</t>
    </r>
    <r>
      <rPr>
        <sz val="10"/>
        <rFont val="Arial"/>
        <family val="0"/>
        <charset val="1"/>
      </rPr>
      <t xml:space="preserve">.
• </t>
    </r>
    <r>
      <rPr>
        <sz val="10"/>
        <rFont val="Noto Sans CJK SC"/>
        <family val="2"/>
      </rPr>
      <t xml:space="preserve">〜だい（〜台） </t>
    </r>
    <r>
      <rPr>
        <sz val="10"/>
        <rFont val="Arial"/>
        <family val="0"/>
        <charset val="1"/>
      </rPr>
      <t xml:space="preserve">= Chiếc (máy móc, xe)
   Mẹo: ĐÀI = cái bệ máy. Dùng cho </t>
    </r>
    <r>
      <rPr>
        <sz val="10"/>
        <rFont val="Noto Sans CJK SC"/>
        <family val="2"/>
      </rPr>
      <t xml:space="preserve">車</t>
    </r>
    <r>
      <rPr>
        <sz val="10"/>
        <rFont val="Arial"/>
        <family val="0"/>
        <charset val="1"/>
      </rPr>
      <t xml:space="preserve">, </t>
    </r>
    <r>
      <rPr>
        <sz val="10"/>
        <rFont val="Noto Sans CJK SC"/>
        <family val="2"/>
      </rPr>
      <t xml:space="preserve">テレビ</t>
    </r>
    <r>
      <rPr>
        <sz val="10"/>
        <rFont val="Arial"/>
        <family val="0"/>
        <charset val="1"/>
      </rPr>
      <t xml:space="preserve">, </t>
    </r>
    <r>
      <rPr>
        <sz val="10"/>
        <rFont val="Noto Sans CJK SC"/>
        <family val="2"/>
      </rPr>
      <t xml:space="preserve">パソコン</t>
    </r>
    <r>
      <rPr>
        <sz val="10"/>
        <rFont val="Arial"/>
        <family val="0"/>
        <charset val="1"/>
      </rPr>
      <t xml:space="preserve">.
• </t>
    </r>
    <r>
      <rPr>
        <sz val="10"/>
        <rFont val="Noto Sans CJK SC"/>
        <family val="2"/>
      </rPr>
      <t xml:space="preserve">〜まい（〜枚） </t>
    </r>
    <r>
      <rPr>
        <sz val="10"/>
        <rFont val="Arial"/>
        <family val="0"/>
        <charset val="1"/>
      </rPr>
      <t xml:space="preserve">= Tờ, tấm (vật mỏng)
   Mẹo: </t>
    </r>
    <r>
      <rPr>
        <sz val="10"/>
        <rFont val="Noto Sans CJK SC"/>
        <family val="2"/>
      </rPr>
      <t xml:space="preserve">枚 </t>
    </r>
    <r>
      <rPr>
        <sz val="10"/>
        <rFont val="Arial"/>
        <family val="0"/>
        <charset val="1"/>
      </rPr>
      <t xml:space="preserve">có bộ </t>
    </r>
    <r>
      <rPr>
        <sz val="10"/>
        <rFont val="Noto Sans CJK SC"/>
        <family val="2"/>
      </rPr>
      <t xml:space="preserve">木 → </t>
    </r>
    <r>
      <rPr>
        <sz val="10"/>
        <rFont val="Arial"/>
        <family val="0"/>
        <charset val="1"/>
      </rPr>
      <t xml:space="preserve">lát gỗ mỏng. Dùng cho </t>
    </r>
    <r>
      <rPr>
        <sz val="10"/>
        <rFont val="Noto Sans CJK SC"/>
        <family val="2"/>
      </rPr>
      <t xml:space="preserve">紙</t>
    </r>
    <r>
      <rPr>
        <sz val="10"/>
        <rFont val="Arial"/>
        <family val="0"/>
        <charset val="1"/>
      </rPr>
      <t xml:space="preserve">, </t>
    </r>
    <r>
      <rPr>
        <sz val="10"/>
        <rFont val="Noto Sans CJK SC"/>
        <family val="2"/>
      </rPr>
      <t xml:space="preserve">シャツ</t>
    </r>
    <r>
      <rPr>
        <sz val="10"/>
        <rFont val="Arial"/>
        <family val="0"/>
        <charset val="1"/>
      </rPr>
      <t xml:space="preserve">, </t>
    </r>
    <r>
      <rPr>
        <sz val="10"/>
        <rFont val="Noto Sans CJK SC"/>
        <family val="2"/>
      </rPr>
      <t xml:space="preserve">きっぷ</t>
    </r>
    <r>
      <rPr>
        <sz val="10"/>
        <rFont val="Arial"/>
        <family val="0"/>
        <charset val="1"/>
      </rPr>
      <t xml:space="preserve">.
• </t>
    </r>
    <r>
      <rPr>
        <sz val="10"/>
        <rFont val="Noto Sans CJK SC"/>
        <family val="2"/>
      </rPr>
      <t xml:space="preserve">〜さつ（〜冊） </t>
    </r>
    <r>
      <rPr>
        <sz val="10"/>
        <rFont val="Arial"/>
        <family val="0"/>
        <charset val="1"/>
      </rPr>
      <t xml:space="preserve">= Quyển (sách vở)
   Mẹo: </t>
    </r>
    <r>
      <rPr>
        <sz val="10"/>
        <rFont val="Noto Sans CJK SC"/>
        <family val="2"/>
      </rPr>
      <t xml:space="preserve">冊 </t>
    </r>
    <r>
      <rPr>
        <sz val="10"/>
        <rFont val="Arial"/>
        <family val="0"/>
        <charset val="1"/>
      </rPr>
      <t xml:space="preserve">nhìn như các thẻ tre buộc lại thành sách.
• </t>
    </r>
    <r>
      <rPr>
        <sz val="10"/>
        <rFont val="Noto Sans CJK SC"/>
        <family val="2"/>
      </rPr>
      <t xml:space="preserve">〜かい（〜回） </t>
    </r>
    <r>
      <rPr>
        <sz val="10"/>
        <rFont val="Arial"/>
        <family val="0"/>
        <charset val="1"/>
      </rPr>
      <t xml:space="preserve">= Lần
   Mẹo: HỒI = một vòng lặp lại.
• </t>
    </r>
    <r>
      <rPr>
        <sz val="10"/>
        <rFont val="Noto Sans CJK SC"/>
        <family val="2"/>
      </rPr>
      <t xml:space="preserve">〜じかん（〜時間） </t>
    </r>
    <r>
      <rPr>
        <sz val="10"/>
        <rFont val="Arial"/>
        <family val="0"/>
        <charset val="1"/>
      </rPr>
      <t xml:space="preserve">= ~ tiếng đồng hồ
   Mẹo: </t>
    </r>
    <r>
      <rPr>
        <sz val="10"/>
        <rFont val="Noto Sans CJK SC"/>
        <family val="2"/>
      </rPr>
      <t xml:space="preserve">時 </t>
    </r>
    <r>
      <rPr>
        <sz val="10"/>
        <rFont val="Arial"/>
        <family val="0"/>
        <charset val="1"/>
      </rPr>
      <t xml:space="preserve">(giờ) + </t>
    </r>
    <r>
      <rPr>
        <sz val="10"/>
        <rFont val="Noto Sans CJK SC"/>
        <family val="2"/>
      </rPr>
      <t xml:space="preserve">間 </t>
    </r>
    <r>
      <rPr>
        <sz val="10"/>
        <rFont val="Arial"/>
        <family val="0"/>
        <charset val="1"/>
      </rPr>
      <t xml:space="preserve">(khoảng) = khoảng thời gian, khác với </t>
    </r>
    <r>
      <rPr>
        <sz val="10"/>
        <rFont val="Noto Sans CJK SC"/>
        <family val="2"/>
      </rPr>
      <t xml:space="preserve">〜時 </t>
    </r>
    <r>
      <rPr>
        <sz val="10"/>
        <rFont val="Arial"/>
        <family val="0"/>
        <charset val="1"/>
      </rPr>
      <t xml:space="preserve">(mốc giờ).
→ Đối chiếu thêm với mục </t>
    </r>
    <r>
      <rPr>
        <sz val="10"/>
        <rFont val="Noto Sans CJK SC"/>
        <family val="2"/>
      </rPr>
      <t xml:space="preserve">語彙 </t>
    </r>
    <r>
      <rPr>
        <sz val="10"/>
        <rFont val="Arial"/>
        <family val="0"/>
        <charset val="1"/>
      </rPr>
      <t xml:space="preserve">của bài 11 trong sách để bổ sung.</t>
    </r>
  </si>
  <si>
    <r>
      <rPr>
        <b val="true"/>
        <sz val="12"/>
        <color rgb="FF1F3864"/>
        <rFont val="Arial"/>
        <family val="0"/>
        <charset val="1"/>
      </rPr>
      <t xml:space="preserve">NGÀY 39  ·  Tuần 6  ·  Minna Bài 11 (2/2)  ·  Số đếm &amp; Lượng từ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</si>
  <si>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雨 </t>
    </r>
    <r>
      <rPr>
        <sz val="10"/>
        <rFont val="Arial"/>
        <family val="0"/>
        <charset val="1"/>
      </rPr>
      <t xml:space="preserve">(</t>
    </r>
    <r>
      <rPr>
        <sz val="10"/>
        <rFont val="Noto Sans CJK SC"/>
        <family val="2"/>
      </rPr>
      <t xml:space="preserve">あめかんむり</t>
    </r>
    <r>
      <rPr>
        <sz val="10"/>
        <rFont val="Arial"/>
        <family val="0"/>
        <charset val="1"/>
      </rPr>
      <t xml:space="preserve">) = Mưa, hiện tượng thời tiết
   Mẹo nhớ: Giọt nước rơi từ mây — bộ này nằm trên đầu
   Kanji chứa bộ này: </t>
    </r>
    <r>
      <rPr>
        <sz val="10"/>
        <rFont val="Noto Sans CJK SC"/>
        <family val="2"/>
      </rPr>
      <t xml:space="preserve">雨・電・雪・雲</t>
    </r>
  </si>
  <si>
    <r>
      <rPr>
        <sz val="10"/>
        <rFont val="Arial"/>
        <family val="0"/>
        <charset val="1"/>
      </rPr>
      <t xml:space="preserve">Học 2 chữ. Mỗi chữ viết tay 10 lần đúng thứ tự nét.
• </t>
    </r>
    <r>
      <rPr>
        <sz val="10"/>
        <rFont val="Noto Sans CJK SC"/>
        <family val="2"/>
      </rPr>
      <t xml:space="preserve">八 </t>
    </r>
    <r>
      <rPr>
        <sz val="10"/>
        <rFont val="Arial"/>
        <family val="0"/>
        <charset val="1"/>
      </rPr>
      <t xml:space="preserve">[BÁT] Tám — On: </t>
    </r>
    <r>
      <rPr>
        <sz val="10"/>
        <rFont val="Noto Sans CJK SC"/>
        <family val="2"/>
      </rPr>
      <t xml:space="preserve">ハチ </t>
    </r>
    <r>
      <rPr>
        <sz val="10"/>
        <rFont val="Arial"/>
        <family val="0"/>
        <charset val="1"/>
      </rPr>
      <t xml:space="preserve">/ Kun: </t>
    </r>
    <r>
      <rPr>
        <sz val="10"/>
        <rFont val="Noto Sans CJK SC"/>
        <family val="2"/>
      </rPr>
      <t xml:space="preserve">やっ</t>
    </r>
    <r>
      <rPr>
        <sz val="10"/>
        <rFont val="Arial"/>
        <family val="0"/>
        <charset val="1"/>
      </rPr>
      <t xml:space="preserve">(</t>
    </r>
    <r>
      <rPr>
        <sz val="10"/>
        <rFont val="Noto Sans CJK SC"/>
        <family val="2"/>
      </rPr>
      <t xml:space="preserve">つ</t>
    </r>
    <r>
      <rPr>
        <sz val="10"/>
        <rFont val="Arial"/>
        <family val="0"/>
        <charset val="1"/>
      </rPr>
      <t xml:space="preserve">) (2 nét)
   Từ ghép: </t>
    </r>
    <r>
      <rPr>
        <sz val="10"/>
        <rFont val="Noto Sans CJK SC"/>
        <family val="2"/>
      </rPr>
      <t xml:space="preserve">八つ </t>
    </r>
    <r>
      <rPr>
        <sz val="10"/>
        <rFont val="Arial"/>
        <family val="0"/>
        <charset val="1"/>
      </rPr>
      <t xml:space="preserve">(</t>
    </r>
    <r>
      <rPr>
        <sz val="10"/>
        <rFont val="Noto Sans CJK SC"/>
        <family val="2"/>
      </rPr>
      <t xml:space="preserve">やっつ</t>
    </r>
    <r>
      <rPr>
        <sz val="10"/>
        <rFont val="Arial"/>
        <family val="0"/>
        <charset val="1"/>
      </rPr>
      <t xml:space="preserve">) tám cái </t>
    </r>
    <r>
      <rPr>
        <sz val="10"/>
        <rFont val="Noto Sans CJK SC"/>
        <family val="2"/>
      </rPr>
      <t xml:space="preserve">・ 八月 </t>
    </r>
    <r>
      <rPr>
        <sz val="10"/>
        <rFont val="Arial"/>
        <family val="0"/>
        <charset val="1"/>
      </rPr>
      <t xml:space="preserve">(</t>
    </r>
    <r>
      <rPr>
        <sz val="10"/>
        <rFont val="Noto Sans CJK SC"/>
        <family val="2"/>
      </rPr>
      <t xml:space="preserve">はちがつ</t>
    </r>
    <r>
      <rPr>
        <sz val="10"/>
        <rFont val="Arial"/>
        <family val="0"/>
        <charset val="1"/>
      </rPr>
      <t xml:space="preserve">) tháng Tám </t>
    </r>
    <r>
      <rPr>
        <sz val="10"/>
        <rFont val="Noto Sans CJK SC"/>
        <family val="2"/>
      </rPr>
      <t xml:space="preserve">・ 八時 </t>
    </r>
    <r>
      <rPr>
        <sz val="10"/>
        <rFont val="Arial"/>
        <family val="0"/>
        <charset val="1"/>
      </rPr>
      <t xml:space="preserve">(</t>
    </r>
    <r>
      <rPr>
        <sz val="10"/>
        <rFont val="Noto Sans CJK SC"/>
        <family val="2"/>
      </rPr>
      <t xml:space="preserve">はちじ</t>
    </r>
    <r>
      <rPr>
        <sz val="10"/>
        <rFont val="Arial"/>
        <family val="0"/>
        <charset val="1"/>
      </rPr>
      <t xml:space="preserve">) tám giờ
   Mẹo: Hai nét tách ra hai bên, giống số 8 bị bổ đôi.
• </t>
    </r>
    <r>
      <rPr>
        <sz val="10"/>
        <rFont val="Noto Sans CJK SC"/>
        <family val="2"/>
      </rPr>
      <t xml:space="preserve">六 </t>
    </r>
    <r>
      <rPr>
        <sz val="10"/>
        <rFont val="Arial"/>
        <family val="0"/>
        <charset val="1"/>
      </rPr>
      <t xml:space="preserve">[LỤC] Sáu — On: </t>
    </r>
    <r>
      <rPr>
        <sz val="10"/>
        <rFont val="Noto Sans CJK SC"/>
        <family val="2"/>
      </rPr>
      <t xml:space="preserve">ロク </t>
    </r>
    <r>
      <rPr>
        <sz val="10"/>
        <rFont val="Arial"/>
        <family val="0"/>
        <charset val="1"/>
      </rPr>
      <t xml:space="preserve">/ Kun: </t>
    </r>
    <r>
      <rPr>
        <sz val="10"/>
        <rFont val="Noto Sans CJK SC"/>
        <family val="2"/>
      </rPr>
      <t xml:space="preserve">むっ</t>
    </r>
    <r>
      <rPr>
        <sz val="10"/>
        <rFont val="Arial"/>
        <family val="0"/>
        <charset val="1"/>
      </rPr>
      <t xml:space="preserve">(</t>
    </r>
    <r>
      <rPr>
        <sz val="10"/>
        <rFont val="Noto Sans CJK SC"/>
        <family val="2"/>
      </rPr>
      <t xml:space="preserve">つ</t>
    </r>
    <r>
      <rPr>
        <sz val="10"/>
        <rFont val="Arial"/>
        <family val="0"/>
        <charset val="1"/>
      </rPr>
      <t xml:space="preserve">) (4 nét)
   Từ ghép: </t>
    </r>
    <r>
      <rPr>
        <sz val="10"/>
        <rFont val="Noto Sans CJK SC"/>
        <family val="2"/>
      </rPr>
      <t xml:space="preserve">六つ </t>
    </r>
    <r>
      <rPr>
        <sz val="10"/>
        <rFont val="Arial"/>
        <family val="0"/>
        <charset val="1"/>
      </rPr>
      <t xml:space="preserve">(</t>
    </r>
    <r>
      <rPr>
        <sz val="10"/>
        <rFont val="Noto Sans CJK SC"/>
        <family val="2"/>
      </rPr>
      <t xml:space="preserve">むっつ</t>
    </r>
    <r>
      <rPr>
        <sz val="10"/>
        <rFont val="Arial"/>
        <family val="0"/>
        <charset val="1"/>
      </rPr>
      <t xml:space="preserve">) sáu cái </t>
    </r>
    <r>
      <rPr>
        <sz val="10"/>
        <rFont val="Noto Sans CJK SC"/>
        <family val="2"/>
      </rPr>
      <t xml:space="preserve">・ 六月 </t>
    </r>
    <r>
      <rPr>
        <sz val="10"/>
        <rFont val="Arial"/>
        <family val="0"/>
        <charset val="1"/>
      </rPr>
      <t xml:space="preserve">(</t>
    </r>
    <r>
      <rPr>
        <sz val="10"/>
        <rFont val="Noto Sans CJK SC"/>
        <family val="2"/>
      </rPr>
      <t xml:space="preserve">ろくがつ</t>
    </r>
    <r>
      <rPr>
        <sz val="10"/>
        <rFont val="Arial"/>
        <family val="0"/>
        <charset val="1"/>
      </rPr>
      <t xml:space="preserve">) tháng Sáu </t>
    </r>
    <r>
      <rPr>
        <sz val="10"/>
        <rFont val="Noto Sans CJK SC"/>
        <family val="2"/>
      </rPr>
      <t xml:space="preserve">・ 六時 </t>
    </r>
    <r>
      <rPr>
        <sz val="10"/>
        <rFont val="Arial"/>
        <family val="0"/>
        <charset val="1"/>
      </rPr>
      <t xml:space="preserve">(</t>
    </r>
    <r>
      <rPr>
        <sz val="10"/>
        <rFont val="Noto Sans CJK SC"/>
        <family val="2"/>
      </rPr>
      <t xml:space="preserve">ろくじ</t>
    </r>
    <r>
      <rPr>
        <sz val="10"/>
        <rFont val="Arial"/>
        <family val="0"/>
        <charset val="1"/>
      </rPr>
      <t xml:space="preserve">) sáu giờ
   Mẹo: Cái nắp </t>
    </r>
    <r>
      <rPr>
        <sz val="10"/>
        <rFont val="Noto Sans CJK SC"/>
        <family val="2"/>
      </rPr>
      <t xml:space="preserve">亠 </t>
    </r>
    <r>
      <rPr>
        <sz val="10"/>
        <rFont val="Arial"/>
        <family val="0"/>
        <charset val="1"/>
      </rPr>
      <t xml:space="preserve">trên hai chân = con số 6 đội mũ.</t>
    </r>
  </si>
  <si>
    <r>
      <rPr>
        <sz val="10"/>
        <rFont val="Arial"/>
        <family val="0"/>
        <charset val="1"/>
      </rPr>
      <t xml:space="preserve">Minna bài 11 (2/2) — Số đếm &amp; Lượng từ
• </t>
    </r>
    <r>
      <rPr>
        <sz val="10"/>
        <rFont val="Noto Sans CJK SC"/>
        <family val="2"/>
      </rPr>
      <t xml:space="preserve">期間 に 回数  </t>
    </r>
    <r>
      <rPr>
        <sz val="10"/>
        <rFont val="Arial"/>
        <family val="0"/>
        <charset val="1"/>
      </rPr>
      <t xml:space="preserve">(Bao nhiêu lần trong một khoảng thời gian.)
   Ví dụ: </t>
    </r>
    <r>
      <rPr>
        <sz val="10"/>
        <rFont val="Noto Sans CJK SC"/>
        <family val="2"/>
      </rPr>
      <t xml:space="preserve">一か月に 三回 映画を 見ます。  </t>
    </r>
    <r>
      <rPr>
        <sz val="10"/>
        <rFont val="Arial"/>
        <family val="0"/>
        <charset val="1"/>
      </rPr>
      <t xml:space="preserve">= Mỗi tháng tôi xem phim ba lần.
• Số lượng + </t>
    </r>
    <r>
      <rPr>
        <sz val="10"/>
        <rFont val="Noto Sans CJK SC"/>
        <family val="2"/>
      </rPr>
      <t xml:space="preserve">だけ </t>
    </r>
    <r>
      <rPr>
        <sz val="10"/>
        <rFont val="Arial"/>
        <family val="0"/>
        <charset val="1"/>
      </rPr>
      <t xml:space="preserve">/ </t>
    </r>
    <r>
      <rPr>
        <sz val="10"/>
        <rFont val="Noto Sans CJK SC"/>
        <family val="2"/>
      </rPr>
      <t xml:space="preserve">しか〜ない  </t>
    </r>
    <r>
      <rPr>
        <sz val="10"/>
        <rFont val="Arial"/>
        <family val="0"/>
        <charset val="1"/>
      </rPr>
      <t xml:space="preserve">(Chỉ có ~. </t>
    </r>
    <r>
      <rPr>
        <sz val="10"/>
        <rFont val="Noto Sans CJK SC"/>
        <family val="2"/>
      </rPr>
      <t xml:space="preserve">しか </t>
    </r>
    <r>
      <rPr>
        <sz val="10"/>
        <rFont val="Arial"/>
        <family val="0"/>
        <charset val="1"/>
      </rPr>
      <t xml:space="preserve">luôn đi với phủ định.)
   Ví dụ: </t>
    </r>
    <r>
      <rPr>
        <sz val="10"/>
        <rFont val="Noto Sans CJK SC"/>
        <family val="2"/>
      </rPr>
      <t xml:space="preserve">千円しか ありません。  </t>
    </r>
    <r>
      <rPr>
        <sz val="10"/>
        <rFont val="Arial"/>
        <family val="0"/>
        <charset val="1"/>
      </rPr>
      <t xml:space="preserve">= Tôi chỉ có 1000 yên.
→ Làm </t>
    </r>
    <r>
      <rPr>
        <sz val="10"/>
        <rFont val="Noto Sans CJK SC"/>
        <family val="2"/>
      </rPr>
      <t xml:space="preserve">練習</t>
    </r>
    <r>
      <rPr>
        <sz val="10"/>
        <rFont val="Arial"/>
        <family val="0"/>
        <charset val="1"/>
      </rPr>
      <t xml:space="preserve">A của bài 11 trong sách, mỗi mẫu tự đặt 3 câu.</t>
    </r>
  </si>
  <si>
    <r>
      <rPr>
        <sz val="10"/>
        <rFont val="Arial"/>
        <family val="0"/>
        <charset val="1"/>
      </rPr>
      <t xml:space="preserve">Từ mới Minna bài 11:
• </t>
    </r>
    <r>
      <rPr>
        <sz val="10"/>
        <rFont val="Noto Sans CJK SC"/>
        <family val="2"/>
      </rPr>
      <t xml:space="preserve">〜しゅうかん（〜週間） </t>
    </r>
    <r>
      <rPr>
        <sz val="10"/>
        <rFont val="Arial"/>
        <family val="0"/>
        <charset val="1"/>
      </rPr>
      <t xml:space="preserve">= ~ tuần
   Mẹo: </t>
    </r>
    <r>
      <rPr>
        <sz val="10"/>
        <rFont val="Noto Sans CJK SC"/>
        <family val="2"/>
      </rPr>
      <t xml:space="preserve">週 </t>
    </r>
    <r>
      <rPr>
        <sz val="10"/>
        <rFont val="Arial"/>
        <family val="0"/>
        <charset val="1"/>
      </rPr>
      <t xml:space="preserve">(tuần) + </t>
    </r>
    <r>
      <rPr>
        <sz val="10"/>
        <rFont val="Noto Sans CJK SC"/>
        <family val="2"/>
      </rPr>
      <t xml:space="preserve">間 </t>
    </r>
    <r>
      <rPr>
        <sz val="10"/>
        <rFont val="Arial"/>
        <family val="0"/>
        <charset val="1"/>
      </rPr>
      <t xml:space="preserve">(khoảng).
• </t>
    </r>
    <r>
      <rPr>
        <sz val="10"/>
        <rFont val="Noto Sans CJK SC"/>
        <family val="2"/>
      </rPr>
      <t xml:space="preserve">〜かげつ（〜か月） </t>
    </r>
    <r>
      <rPr>
        <sz val="10"/>
        <rFont val="Arial"/>
        <family val="0"/>
        <charset val="1"/>
      </rPr>
      <t xml:space="preserve">= ~ tháng
   Mẹo: Chú ý: </t>
    </r>
    <r>
      <rPr>
        <sz val="10"/>
        <rFont val="Noto Sans CJK SC"/>
        <family val="2"/>
      </rPr>
      <t xml:space="preserve">一か月 いっかげつ</t>
    </r>
    <r>
      <rPr>
        <sz val="10"/>
        <rFont val="Arial"/>
        <family val="0"/>
        <charset val="1"/>
      </rPr>
      <t xml:space="preserve">, </t>
    </r>
    <r>
      <rPr>
        <sz val="10"/>
        <rFont val="Noto Sans CJK SC"/>
        <family val="2"/>
      </rPr>
      <t xml:space="preserve">六か月 ろっかげつ</t>
    </r>
    <r>
      <rPr>
        <sz val="10"/>
        <rFont val="Arial"/>
        <family val="0"/>
        <charset val="1"/>
      </rPr>
      <t xml:space="preserve">.
• </t>
    </r>
    <r>
      <rPr>
        <sz val="10"/>
        <rFont val="Noto Sans CJK SC"/>
        <family val="2"/>
      </rPr>
      <t xml:space="preserve">〜ねん（〜年） </t>
    </r>
    <r>
      <rPr>
        <sz val="10"/>
        <rFont val="Arial"/>
        <family val="0"/>
        <charset val="1"/>
      </rPr>
      <t xml:space="preserve">= ~ năm
   Mẹo: </t>
    </r>
    <r>
      <rPr>
        <sz val="10"/>
        <rFont val="Noto Sans CJK SC"/>
        <family val="2"/>
      </rPr>
      <t xml:space="preserve">一年 いちねん</t>
    </r>
    <r>
      <rPr>
        <sz val="10"/>
        <rFont val="Arial"/>
        <family val="0"/>
        <charset val="1"/>
      </rPr>
      <t xml:space="preserve">, </t>
    </r>
    <r>
      <rPr>
        <sz val="10"/>
        <rFont val="Noto Sans CJK SC"/>
        <family val="2"/>
      </rPr>
      <t xml:space="preserve">四年 よねん</t>
    </r>
    <r>
      <rPr>
        <sz val="10"/>
        <rFont val="Arial"/>
        <family val="0"/>
        <charset val="1"/>
      </rPr>
      <t xml:space="preserve">.
• </t>
    </r>
    <r>
      <rPr>
        <sz val="10"/>
        <rFont val="Noto Sans CJK SC"/>
        <family val="2"/>
      </rPr>
      <t xml:space="preserve">きって（切手） </t>
    </r>
    <r>
      <rPr>
        <sz val="10"/>
        <rFont val="Arial"/>
        <family val="0"/>
        <charset val="1"/>
      </rPr>
      <t xml:space="preserve">= Tem thư
   Mẹo: THIẾT THỦ = mảnh cắt cầm tay. Nhớ chung với </t>
    </r>
    <r>
      <rPr>
        <sz val="10"/>
        <rFont val="Noto Sans CJK SC"/>
        <family val="2"/>
      </rPr>
      <t xml:space="preserve">切符 </t>
    </r>
    <r>
      <rPr>
        <sz val="10"/>
        <rFont val="Arial"/>
        <family val="0"/>
        <charset val="1"/>
      </rPr>
      <t xml:space="preserve">(vé).
• </t>
    </r>
    <r>
      <rPr>
        <sz val="10"/>
        <rFont val="Noto Sans CJK SC"/>
        <family val="2"/>
      </rPr>
      <t xml:space="preserve">はがき </t>
    </r>
    <r>
      <rPr>
        <sz val="10"/>
        <rFont val="Arial"/>
        <family val="0"/>
        <charset val="1"/>
      </rPr>
      <t xml:space="preserve">= Bưu thiếp
   Mẹo: HA-GA-KI: 'ha, ghi' — tấm thiệp để ghi lời nhắn.
• </t>
    </r>
    <r>
      <rPr>
        <sz val="10"/>
        <rFont val="Noto Sans CJK SC"/>
        <family val="2"/>
      </rPr>
      <t xml:space="preserve">りんご </t>
    </r>
    <r>
      <rPr>
        <sz val="10"/>
        <rFont val="Arial"/>
        <family val="0"/>
        <charset val="1"/>
      </rPr>
      <t xml:space="preserve">= Quả táo
   Mẹo: RIN-GO: 'rinh gô' quả táo về.
• </t>
    </r>
    <r>
      <rPr>
        <sz val="10"/>
        <rFont val="Noto Sans CJK SC"/>
        <family val="2"/>
      </rPr>
      <t xml:space="preserve">ぐらい </t>
    </r>
    <r>
      <rPr>
        <sz val="10"/>
        <rFont val="Arial"/>
        <family val="0"/>
        <charset val="1"/>
      </rPr>
      <t xml:space="preserve">/ </t>
    </r>
    <r>
      <rPr>
        <sz val="10"/>
        <rFont val="Noto Sans CJK SC"/>
        <family val="2"/>
      </rPr>
      <t xml:space="preserve">くらい </t>
    </r>
    <r>
      <rPr>
        <sz val="10"/>
        <rFont val="Arial"/>
        <family val="0"/>
        <charset val="1"/>
      </rPr>
      <t xml:space="preserve">= Khoảng chừng
   Mẹo: </t>
    </r>
    <r>
      <rPr>
        <sz val="10"/>
        <rFont val="Noto Sans CJK SC"/>
        <family val="2"/>
      </rPr>
      <t xml:space="preserve">三十分ぐらい </t>
    </r>
    <r>
      <rPr>
        <sz val="10"/>
        <rFont val="Arial"/>
        <family val="0"/>
        <charset val="1"/>
      </rPr>
      <t xml:space="preserve">= khoảng 30 phút. Khác với </t>
    </r>
    <r>
      <rPr>
        <sz val="10"/>
        <rFont val="Noto Sans CJK SC"/>
        <family val="2"/>
      </rPr>
      <t xml:space="preserve">ごろ </t>
    </r>
    <r>
      <rPr>
        <sz val="10"/>
        <rFont val="Arial"/>
        <family val="0"/>
        <charset val="1"/>
      </rPr>
      <t xml:space="preserve">(dùng cho MỐC giờ).
→ Đối chiếu thêm với mục </t>
    </r>
    <r>
      <rPr>
        <sz val="10"/>
        <rFont val="Noto Sans CJK SC"/>
        <family val="2"/>
      </rPr>
      <t xml:space="preserve">語彙 </t>
    </r>
    <r>
      <rPr>
        <sz val="10"/>
        <rFont val="Arial"/>
        <family val="0"/>
        <charset val="1"/>
      </rPr>
      <t xml:space="preserve">của bài 11 trong sách để bổ sung.</t>
    </r>
  </si>
  <si>
    <r>
      <rPr>
        <b val="true"/>
        <sz val="12"/>
        <color rgb="FF1F3864"/>
        <rFont val="Arial"/>
        <family val="0"/>
        <charset val="1"/>
      </rPr>
      <t xml:space="preserve">NGÀY 40  ·  Tuần 6  ·  Minna Bài 12 (1/2)  ·  Quá khứ của tính từ &amp; So sánh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</si>
  <si>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山 </t>
    </r>
    <r>
      <rPr>
        <sz val="10"/>
        <rFont val="Arial"/>
        <family val="0"/>
        <charset val="1"/>
      </rPr>
      <t xml:space="preserve">(</t>
    </r>
    <r>
      <rPr>
        <sz val="10"/>
        <rFont val="Noto Sans CJK SC"/>
        <family val="2"/>
      </rPr>
      <t xml:space="preserve">やま </t>
    </r>
    <r>
      <rPr>
        <sz val="10"/>
        <rFont val="Arial"/>
        <family val="0"/>
        <charset val="1"/>
      </rPr>
      <t xml:space="preserve">/ </t>
    </r>
    <r>
      <rPr>
        <sz val="10"/>
        <rFont val="Noto Sans CJK SC"/>
        <family val="2"/>
      </rPr>
      <t xml:space="preserve">やまへん</t>
    </r>
    <r>
      <rPr>
        <sz val="10"/>
        <rFont val="Arial"/>
        <family val="0"/>
        <charset val="1"/>
      </rPr>
      <t xml:space="preserve">) = Núi
   Mẹo nhớ: Ba đỉnh núi nhô lên
   Kanji chứa bộ này: </t>
    </r>
    <r>
      <rPr>
        <sz val="10"/>
        <rFont val="Noto Sans CJK SC"/>
        <family val="2"/>
      </rPr>
      <t xml:space="preserve">山・岩・島</t>
    </r>
  </si>
  <si>
    <r>
      <rPr>
        <sz val="10"/>
        <rFont val="Arial"/>
        <family val="0"/>
        <charset val="1"/>
      </rPr>
      <t xml:space="preserve">Học 2 chữ. Mỗi chữ viết tay 10 lần đúng thứ tự nét.
• </t>
    </r>
    <r>
      <rPr>
        <sz val="10"/>
        <rFont val="Noto Sans CJK SC"/>
        <family val="2"/>
      </rPr>
      <t xml:space="preserve">下 </t>
    </r>
    <r>
      <rPr>
        <sz val="10"/>
        <rFont val="Arial"/>
        <family val="0"/>
        <charset val="1"/>
      </rPr>
      <t xml:space="preserve">[HẠ] Dưới, xuống — On: </t>
    </r>
    <r>
      <rPr>
        <sz val="10"/>
        <rFont val="Noto Sans CJK SC"/>
        <family val="2"/>
      </rPr>
      <t xml:space="preserve">カ・ゲ </t>
    </r>
    <r>
      <rPr>
        <sz val="10"/>
        <rFont val="Arial"/>
        <family val="0"/>
        <charset val="1"/>
      </rPr>
      <t xml:space="preserve">/ Kun: </t>
    </r>
    <r>
      <rPr>
        <sz val="10"/>
        <rFont val="Noto Sans CJK SC"/>
        <family val="2"/>
      </rPr>
      <t xml:space="preserve">した・さ</t>
    </r>
    <r>
      <rPr>
        <sz val="10"/>
        <rFont val="Arial"/>
        <family val="0"/>
        <charset val="1"/>
      </rPr>
      <t xml:space="preserve">(</t>
    </r>
    <r>
      <rPr>
        <sz val="10"/>
        <rFont val="Noto Sans CJK SC"/>
        <family val="2"/>
      </rPr>
      <t xml:space="preserve">がる</t>
    </r>
    <r>
      <rPr>
        <sz val="10"/>
        <rFont val="Arial"/>
        <family val="0"/>
        <charset val="1"/>
      </rPr>
      <t xml:space="preserve">)</t>
    </r>
    <r>
      <rPr>
        <sz val="10"/>
        <rFont val="Noto Sans CJK SC"/>
        <family val="2"/>
      </rPr>
      <t xml:space="preserve">・くだ</t>
    </r>
    <r>
      <rPr>
        <sz val="10"/>
        <rFont val="Arial"/>
        <family val="0"/>
        <charset val="1"/>
      </rPr>
      <t xml:space="preserve">(</t>
    </r>
    <r>
      <rPr>
        <sz val="10"/>
        <rFont val="Noto Sans CJK SC"/>
        <family val="2"/>
      </rPr>
      <t xml:space="preserve">さい</t>
    </r>
    <r>
      <rPr>
        <sz val="10"/>
        <rFont val="Arial"/>
        <family val="0"/>
        <charset val="1"/>
      </rPr>
      <t xml:space="preserve">) (3 nét)
   Từ ghép: </t>
    </r>
    <r>
      <rPr>
        <sz val="10"/>
        <rFont val="Noto Sans CJK SC"/>
        <family val="2"/>
      </rPr>
      <t xml:space="preserve">下 </t>
    </r>
    <r>
      <rPr>
        <sz val="10"/>
        <rFont val="Arial"/>
        <family val="0"/>
        <charset val="1"/>
      </rPr>
      <t xml:space="preserve">(</t>
    </r>
    <r>
      <rPr>
        <sz val="10"/>
        <rFont val="Noto Sans CJK SC"/>
        <family val="2"/>
      </rPr>
      <t xml:space="preserve">した</t>
    </r>
    <r>
      <rPr>
        <sz val="10"/>
        <rFont val="Arial"/>
        <family val="0"/>
        <charset val="1"/>
      </rPr>
      <t xml:space="preserve">) bên dưới </t>
    </r>
    <r>
      <rPr>
        <sz val="10"/>
        <rFont val="Noto Sans CJK SC"/>
        <family val="2"/>
      </rPr>
      <t xml:space="preserve">・ 地下 </t>
    </r>
    <r>
      <rPr>
        <sz val="10"/>
        <rFont val="Arial"/>
        <family val="0"/>
        <charset val="1"/>
      </rPr>
      <t xml:space="preserve">(</t>
    </r>
    <r>
      <rPr>
        <sz val="10"/>
        <rFont val="Noto Sans CJK SC"/>
        <family val="2"/>
      </rPr>
      <t xml:space="preserve">ちか</t>
    </r>
    <r>
      <rPr>
        <sz val="10"/>
        <rFont val="Arial"/>
        <family val="0"/>
        <charset val="1"/>
      </rPr>
      <t xml:space="preserve">) tầng hầm </t>
    </r>
    <r>
      <rPr>
        <sz val="10"/>
        <rFont val="Noto Sans CJK SC"/>
        <family val="2"/>
      </rPr>
      <t xml:space="preserve">・ 下さい </t>
    </r>
    <r>
      <rPr>
        <sz val="10"/>
        <rFont val="Arial"/>
        <family val="0"/>
        <charset val="1"/>
      </rPr>
      <t xml:space="preserve">(</t>
    </r>
    <r>
      <rPr>
        <sz val="10"/>
        <rFont val="Noto Sans CJK SC"/>
        <family val="2"/>
      </rPr>
      <t xml:space="preserve">ください</t>
    </r>
    <r>
      <rPr>
        <sz val="10"/>
        <rFont val="Arial"/>
        <family val="0"/>
        <charset val="1"/>
      </rPr>
      <t xml:space="preserve">) xin hãy
   Mẹo: Một vạch mốc, có nét thò XUỐNG phía dưới. Lộn ngược của </t>
    </r>
    <r>
      <rPr>
        <sz val="10"/>
        <rFont val="Noto Sans CJK SC"/>
        <family val="2"/>
      </rPr>
      <t xml:space="preserve">上</t>
    </r>
    <r>
      <rPr>
        <sz val="10"/>
        <rFont val="Arial"/>
        <family val="0"/>
        <charset val="1"/>
      </rPr>
      <t xml:space="preserve">.
• </t>
    </r>
    <r>
      <rPr>
        <sz val="10"/>
        <rFont val="Noto Sans CJK SC"/>
        <family val="2"/>
      </rPr>
      <t xml:space="preserve">来 </t>
    </r>
    <r>
      <rPr>
        <sz val="10"/>
        <rFont val="Arial"/>
        <family val="0"/>
        <charset val="1"/>
      </rPr>
      <t xml:space="preserve">[LAI] Đến, tới — On: </t>
    </r>
    <r>
      <rPr>
        <sz val="10"/>
        <rFont val="Noto Sans CJK SC"/>
        <family val="2"/>
      </rPr>
      <t xml:space="preserve">ライ </t>
    </r>
    <r>
      <rPr>
        <sz val="10"/>
        <rFont val="Arial"/>
        <family val="0"/>
        <charset val="1"/>
      </rPr>
      <t xml:space="preserve">/ Kun: </t>
    </r>
    <r>
      <rPr>
        <sz val="10"/>
        <rFont val="Noto Sans CJK SC"/>
        <family val="2"/>
      </rPr>
      <t xml:space="preserve">く</t>
    </r>
    <r>
      <rPr>
        <sz val="10"/>
        <rFont val="Arial"/>
        <family val="0"/>
        <charset val="1"/>
      </rPr>
      <t xml:space="preserve">(</t>
    </r>
    <r>
      <rPr>
        <sz val="10"/>
        <rFont val="Noto Sans CJK SC"/>
        <family val="2"/>
      </rPr>
      <t xml:space="preserve">る</t>
    </r>
    <r>
      <rPr>
        <sz val="10"/>
        <rFont val="Arial"/>
        <family val="0"/>
        <charset val="1"/>
      </rPr>
      <t xml:space="preserve">) (7 nét)
   Từ ghép: </t>
    </r>
    <r>
      <rPr>
        <sz val="10"/>
        <rFont val="Noto Sans CJK SC"/>
        <family val="2"/>
      </rPr>
      <t xml:space="preserve">来ます </t>
    </r>
    <r>
      <rPr>
        <sz val="10"/>
        <rFont val="Arial"/>
        <family val="0"/>
        <charset val="1"/>
      </rPr>
      <t xml:space="preserve">(</t>
    </r>
    <r>
      <rPr>
        <sz val="10"/>
        <rFont val="Noto Sans CJK SC"/>
        <family val="2"/>
      </rPr>
      <t xml:space="preserve">きます</t>
    </r>
    <r>
      <rPr>
        <sz val="10"/>
        <rFont val="Arial"/>
        <family val="0"/>
        <charset val="1"/>
      </rPr>
      <t xml:space="preserve">) đến </t>
    </r>
    <r>
      <rPr>
        <sz val="10"/>
        <rFont val="Noto Sans CJK SC"/>
        <family val="2"/>
      </rPr>
      <t xml:space="preserve">・ 来年 </t>
    </r>
    <r>
      <rPr>
        <sz val="10"/>
        <rFont val="Arial"/>
        <family val="0"/>
        <charset val="1"/>
      </rPr>
      <t xml:space="preserve">(</t>
    </r>
    <r>
      <rPr>
        <sz val="10"/>
        <rFont val="Noto Sans CJK SC"/>
        <family val="2"/>
      </rPr>
      <t xml:space="preserve">らいねん</t>
    </r>
    <r>
      <rPr>
        <sz val="10"/>
        <rFont val="Arial"/>
        <family val="0"/>
        <charset val="1"/>
      </rPr>
      <t xml:space="preserve">) năm sau </t>
    </r>
    <r>
      <rPr>
        <sz val="10"/>
        <rFont val="Noto Sans CJK SC"/>
        <family val="2"/>
      </rPr>
      <t xml:space="preserve">・ 来週 </t>
    </r>
    <r>
      <rPr>
        <sz val="10"/>
        <rFont val="Arial"/>
        <family val="0"/>
        <charset val="1"/>
      </rPr>
      <t xml:space="preserve">(</t>
    </r>
    <r>
      <rPr>
        <sz val="10"/>
        <rFont val="Noto Sans CJK SC"/>
        <family val="2"/>
      </rPr>
      <t xml:space="preserve">らいしゅう</t>
    </r>
    <r>
      <rPr>
        <sz val="10"/>
        <rFont val="Arial"/>
        <family val="0"/>
        <charset val="1"/>
      </rPr>
      <t xml:space="preserve">) tuần sau
   Mẹo: Hình cây lúa chín. Mùa gặt ĐẾN. Chú ý chia bất quy tắc: </t>
    </r>
    <r>
      <rPr>
        <sz val="10"/>
        <rFont val="Noto Sans CJK SC"/>
        <family val="2"/>
      </rPr>
      <t xml:space="preserve">来る→来ます </t>
    </r>
    <r>
      <rPr>
        <sz val="10"/>
        <rFont val="Arial"/>
        <family val="0"/>
        <charset val="1"/>
      </rPr>
      <t xml:space="preserve">(</t>
    </r>
    <r>
      <rPr>
        <sz val="10"/>
        <rFont val="Noto Sans CJK SC"/>
        <family val="2"/>
      </rPr>
      <t xml:space="preserve">きます</t>
    </r>
    <r>
      <rPr>
        <sz val="10"/>
        <rFont val="Arial"/>
        <family val="0"/>
        <charset val="1"/>
      </rPr>
      <t xml:space="preserve">)→</t>
    </r>
    <r>
      <rPr>
        <sz val="10"/>
        <rFont val="Noto Sans CJK SC"/>
        <family val="2"/>
      </rPr>
      <t xml:space="preserve">来ない </t>
    </r>
    <r>
      <rPr>
        <sz val="10"/>
        <rFont val="Arial"/>
        <family val="0"/>
        <charset val="1"/>
      </rPr>
      <t xml:space="preserve">(</t>
    </r>
    <r>
      <rPr>
        <sz val="10"/>
        <rFont val="Noto Sans CJK SC"/>
        <family val="2"/>
      </rPr>
      <t xml:space="preserve">こない</t>
    </r>
    <r>
      <rPr>
        <sz val="10"/>
        <rFont val="Arial"/>
        <family val="0"/>
        <charset val="1"/>
      </rPr>
      <t xml:space="preserve">).</t>
    </r>
  </si>
  <si>
    <r>
      <rPr>
        <sz val="10"/>
        <rFont val="Arial"/>
        <family val="0"/>
        <charset val="1"/>
      </rPr>
      <t xml:space="preserve">Minna bài 12 (1/2) — Quá khứ của tính từ &amp; So sánh
• Adj quá khứ  (</t>
    </r>
    <r>
      <rPr>
        <sz val="10"/>
        <rFont val="Noto Sans CJK SC"/>
        <family val="2"/>
      </rPr>
      <t xml:space="preserve">い</t>
    </r>
    <r>
      <rPr>
        <sz val="10"/>
        <rFont val="Arial"/>
        <family val="0"/>
        <charset val="1"/>
      </rPr>
      <t xml:space="preserve">-adj: </t>
    </r>
    <r>
      <rPr>
        <sz val="10"/>
        <rFont val="Noto Sans CJK SC"/>
        <family val="2"/>
      </rPr>
      <t xml:space="preserve">〜かったです </t>
    </r>
    <r>
      <rPr>
        <sz val="10"/>
        <rFont val="Arial"/>
        <family val="0"/>
        <charset val="1"/>
      </rPr>
      <t xml:space="preserve">/ </t>
    </r>
    <r>
      <rPr>
        <sz val="10"/>
        <rFont val="Noto Sans CJK SC"/>
        <family val="2"/>
      </rPr>
      <t xml:space="preserve">〜くなかったです</t>
    </r>
    <r>
      <rPr>
        <sz val="10"/>
        <rFont val="Arial"/>
        <family val="0"/>
        <charset val="1"/>
      </rPr>
      <t xml:space="preserve">. </t>
    </r>
    <r>
      <rPr>
        <sz val="10"/>
        <rFont val="Noto Sans CJK SC"/>
        <family val="2"/>
      </rPr>
      <t xml:space="preserve">な</t>
    </r>
    <r>
      <rPr>
        <sz val="10"/>
        <rFont val="Arial"/>
        <family val="0"/>
        <charset val="1"/>
      </rPr>
      <t xml:space="preserve">-adj &amp; N: </t>
    </r>
    <r>
      <rPr>
        <sz val="10"/>
        <rFont val="Noto Sans CJK SC"/>
        <family val="2"/>
      </rPr>
      <t xml:space="preserve">〜でした </t>
    </r>
    <r>
      <rPr>
        <sz val="10"/>
        <rFont val="Arial"/>
        <family val="0"/>
        <charset val="1"/>
      </rPr>
      <t xml:space="preserve">/ </t>
    </r>
    <r>
      <rPr>
        <sz val="10"/>
        <rFont val="Noto Sans CJK SC"/>
        <family val="2"/>
      </rPr>
      <t xml:space="preserve">〜じゃ ありませんでした</t>
    </r>
    <r>
      <rPr>
        <sz val="10"/>
        <rFont val="Arial"/>
        <family val="0"/>
        <charset val="1"/>
      </rPr>
      <t xml:space="preserve">.)
   Ví dụ: </t>
    </r>
    <r>
      <rPr>
        <sz val="10"/>
        <rFont val="Noto Sans CJK SC"/>
        <family val="2"/>
      </rPr>
      <t xml:space="preserve">きのうは 寒かったです。  </t>
    </r>
    <r>
      <rPr>
        <sz val="10"/>
        <rFont val="Arial"/>
        <family val="0"/>
        <charset val="1"/>
      </rPr>
      <t xml:space="preserve">= Hôm qua trời đã lạnh.
• N1 </t>
    </r>
    <r>
      <rPr>
        <sz val="10"/>
        <rFont val="Noto Sans CJK SC"/>
        <family val="2"/>
      </rPr>
      <t xml:space="preserve">は </t>
    </r>
    <r>
      <rPr>
        <sz val="10"/>
        <rFont val="Arial"/>
        <family val="0"/>
        <charset val="1"/>
      </rPr>
      <t xml:space="preserve">N2 </t>
    </r>
    <r>
      <rPr>
        <sz val="10"/>
        <rFont val="Noto Sans CJK SC"/>
        <family val="2"/>
      </rPr>
      <t xml:space="preserve">より </t>
    </r>
    <r>
      <rPr>
        <sz val="10"/>
        <rFont val="Arial"/>
        <family val="0"/>
        <charset val="1"/>
      </rPr>
      <t xml:space="preserve">Adj </t>
    </r>
    <r>
      <rPr>
        <sz val="10"/>
        <rFont val="Noto Sans CJK SC"/>
        <family val="2"/>
      </rPr>
      <t xml:space="preserve">です  </t>
    </r>
    <r>
      <rPr>
        <sz val="10"/>
        <rFont val="Arial"/>
        <family val="0"/>
        <charset val="1"/>
      </rPr>
      <t xml:space="preserve">(N1 thì ~ hơn N2.)
   Ví dụ: </t>
    </r>
    <r>
      <rPr>
        <sz val="10"/>
        <rFont val="Noto Sans CJK SC"/>
        <family val="2"/>
      </rPr>
      <t xml:space="preserve">この 車は あの 車より 高いです。  </t>
    </r>
    <r>
      <rPr>
        <sz val="10"/>
        <rFont val="Arial"/>
        <family val="0"/>
        <charset val="1"/>
      </rPr>
      <t xml:space="preserve">= Chiếc xe này đắt hơn chiếc xe kia.
→ Làm </t>
    </r>
    <r>
      <rPr>
        <sz val="10"/>
        <rFont val="Noto Sans CJK SC"/>
        <family val="2"/>
      </rPr>
      <t xml:space="preserve">練習</t>
    </r>
    <r>
      <rPr>
        <sz val="10"/>
        <rFont val="Arial"/>
        <family val="0"/>
        <charset val="1"/>
      </rPr>
      <t xml:space="preserve">A của bài 12 trong sách, mỗi mẫu tự đặt 3 câu.</t>
    </r>
  </si>
  <si>
    <r>
      <rPr>
        <sz val="10"/>
        <rFont val="Arial"/>
        <family val="0"/>
        <charset val="1"/>
      </rPr>
      <t xml:space="preserve">Từ mới Minna bài 12:
• </t>
    </r>
    <r>
      <rPr>
        <sz val="10"/>
        <rFont val="Noto Sans CJK SC"/>
        <family val="2"/>
      </rPr>
      <t xml:space="preserve">さむい（寒い） </t>
    </r>
    <r>
      <rPr>
        <sz val="10"/>
        <rFont val="Arial"/>
        <family val="0"/>
        <charset val="1"/>
      </rPr>
      <t xml:space="preserve">= Lạnh
   Mẹo: </t>
    </r>
    <r>
      <rPr>
        <sz val="10"/>
        <rFont val="Noto Sans CJK SC"/>
        <family val="2"/>
      </rPr>
      <t xml:space="preserve">寒 </t>
    </r>
    <r>
      <rPr>
        <sz val="10"/>
        <rFont val="Arial"/>
        <family val="0"/>
        <charset val="1"/>
      </rPr>
      <t xml:space="preserve">có </t>
    </r>
    <r>
      <rPr>
        <sz val="10"/>
        <rFont val="Noto Sans CJK SC"/>
        <family val="2"/>
      </rPr>
      <t xml:space="preserve">冫 </t>
    </r>
    <r>
      <rPr>
        <sz val="10"/>
        <rFont val="Arial"/>
        <family val="0"/>
        <charset val="1"/>
      </rPr>
      <t xml:space="preserve">(băng) hai chấm ở dưới → đóng băng vì LẠNH.
• </t>
    </r>
    <r>
      <rPr>
        <sz val="10"/>
        <rFont val="Noto Sans CJK SC"/>
        <family val="2"/>
      </rPr>
      <t xml:space="preserve">あつい（暑い </t>
    </r>
    <r>
      <rPr>
        <sz val="10"/>
        <rFont val="Arial"/>
        <family val="0"/>
        <charset val="1"/>
      </rPr>
      <t xml:space="preserve">/ </t>
    </r>
    <r>
      <rPr>
        <sz val="10"/>
        <rFont val="Noto Sans CJK SC"/>
        <family val="2"/>
      </rPr>
      <t xml:space="preserve">熱い） </t>
    </r>
    <r>
      <rPr>
        <sz val="10"/>
        <rFont val="Arial"/>
        <family val="0"/>
        <charset val="1"/>
      </rPr>
      <t xml:space="preserve">= Nóng (trời) / nóng (vật)
   Mẹo: </t>
    </r>
    <r>
      <rPr>
        <sz val="10"/>
        <rFont val="Noto Sans CJK SC"/>
        <family val="2"/>
      </rPr>
      <t xml:space="preserve">暑 </t>
    </r>
    <r>
      <rPr>
        <sz val="10"/>
        <rFont val="Arial"/>
        <family val="0"/>
        <charset val="1"/>
      </rPr>
      <t xml:space="preserve">có </t>
    </r>
    <r>
      <rPr>
        <sz val="10"/>
        <rFont val="Noto Sans CJK SC"/>
        <family val="2"/>
      </rPr>
      <t xml:space="preserve">日 </t>
    </r>
    <r>
      <rPr>
        <sz val="10"/>
        <rFont val="Arial"/>
        <family val="0"/>
        <charset val="1"/>
      </rPr>
      <t xml:space="preserve">(mặt trời) → trời nóng. </t>
    </r>
    <r>
      <rPr>
        <sz val="10"/>
        <rFont val="Noto Sans CJK SC"/>
        <family val="2"/>
      </rPr>
      <t xml:space="preserve">熱 </t>
    </r>
    <r>
      <rPr>
        <sz val="10"/>
        <rFont val="Arial"/>
        <family val="0"/>
        <charset val="1"/>
      </rPr>
      <t xml:space="preserve">có </t>
    </r>
    <r>
      <rPr>
        <sz val="10"/>
        <rFont val="Noto Sans CJK SC"/>
        <family val="2"/>
      </rPr>
      <t xml:space="preserve">灬 </t>
    </r>
    <r>
      <rPr>
        <sz val="10"/>
        <rFont val="Arial"/>
        <family val="0"/>
        <charset val="1"/>
      </rPr>
      <t xml:space="preserve">(lửa) → vật nóng.
• </t>
    </r>
    <r>
      <rPr>
        <sz val="10"/>
        <rFont val="Noto Sans CJK SC"/>
        <family val="2"/>
      </rPr>
      <t xml:space="preserve">すずしい（涼しい） </t>
    </r>
    <r>
      <rPr>
        <sz val="10"/>
        <rFont val="Arial"/>
        <family val="0"/>
        <charset val="1"/>
      </rPr>
      <t xml:space="preserve">= Mát mẻ
   Mẹo: </t>
    </r>
    <r>
      <rPr>
        <sz val="10"/>
        <rFont val="Noto Sans CJK SC"/>
        <family val="2"/>
      </rPr>
      <t xml:space="preserve">涼 </t>
    </r>
    <r>
      <rPr>
        <sz val="10"/>
        <rFont val="Arial"/>
        <family val="0"/>
        <charset val="1"/>
      </rPr>
      <t xml:space="preserve">có </t>
    </r>
    <r>
      <rPr>
        <sz val="10"/>
        <rFont val="Noto Sans CJK SC"/>
        <family val="2"/>
      </rPr>
      <t xml:space="preserve">氵 </t>
    </r>
    <r>
      <rPr>
        <sz val="10"/>
        <rFont val="Arial"/>
        <family val="0"/>
        <charset val="1"/>
      </rPr>
      <t xml:space="preserve">(nước) → có nước nên mát.
• </t>
    </r>
    <r>
      <rPr>
        <sz val="10"/>
        <rFont val="Noto Sans CJK SC"/>
        <family val="2"/>
      </rPr>
      <t xml:space="preserve">あたたかい（暖かい） </t>
    </r>
    <r>
      <rPr>
        <sz val="10"/>
        <rFont val="Arial"/>
        <family val="0"/>
        <charset val="1"/>
      </rPr>
      <t xml:space="preserve">= Ấm áp
   Mẹo: </t>
    </r>
    <r>
      <rPr>
        <sz val="10"/>
        <rFont val="Noto Sans CJK SC"/>
        <family val="2"/>
      </rPr>
      <t xml:space="preserve">暖 </t>
    </r>
    <r>
      <rPr>
        <sz val="10"/>
        <rFont val="Arial"/>
        <family val="0"/>
        <charset val="1"/>
      </rPr>
      <t xml:space="preserve">có </t>
    </r>
    <r>
      <rPr>
        <sz val="10"/>
        <rFont val="Noto Sans CJK SC"/>
        <family val="2"/>
      </rPr>
      <t xml:space="preserve">日 </t>
    </r>
    <r>
      <rPr>
        <sz val="10"/>
        <rFont val="Arial"/>
        <family val="0"/>
        <charset val="1"/>
      </rPr>
      <t xml:space="preserve">(mặt trời) → nắng ấm.
• </t>
    </r>
    <r>
      <rPr>
        <sz val="10"/>
        <rFont val="Noto Sans CJK SC"/>
        <family val="2"/>
      </rPr>
      <t xml:space="preserve">てんき（天気） </t>
    </r>
    <r>
      <rPr>
        <sz val="10"/>
        <rFont val="Arial"/>
        <family val="0"/>
        <charset val="1"/>
      </rPr>
      <t xml:space="preserve">= Thời tiết
   Mẹo: THIÊN KHÍ = khí trời.
• </t>
    </r>
    <r>
      <rPr>
        <sz val="10"/>
        <rFont val="Noto Sans CJK SC"/>
        <family val="2"/>
      </rPr>
      <t xml:space="preserve">あめ（雨） </t>
    </r>
    <r>
      <rPr>
        <sz val="10"/>
        <rFont val="Arial"/>
        <family val="0"/>
        <charset val="1"/>
      </rPr>
      <t xml:space="preserve">= Mưa
   Mẹo: </t>
    </r>
    <r>
      <rPr>
        <sz val="10"/>
        <rFont val="Noto Sans CJK SC"/>
        <family val="2"/>
      </rPr>
      <t xml:space="preserve">雨 </t>
    </r>
    <r>
      <rPr>
        <sz val="10"/>
        <rFont val="Arial"/>
        <family val="0"/>
        <charset val="1"/>
      </rPr>
      <t xml:space="preserve">= mây bên trên, bốn giọt nước rơi bên dưới.
• </t>
    </r>
    <r>
      <rPr>
        <sz val="10"/>
        <rFont val="Noto Sans CJK SC"/>
        <family val="2"/>
      </rPr>
      <t xml:space="preserve">ゆき（雪） </t>
    </r>
    <r>
      <rPr>
        <sz val="10"/>
        <rFont val="Arial"/>
        <family val="0"/>
        <charset val="1"/>
      </rPr>
      <t xml:space="preserve">= Tuyết
   Mẹo: </t>
    </r>
    <r>
      <rPr>
        <sz val="10"/>
        <rFont val="Noto Sans CJK SC"/>
        <family val="2"/>
      </rPr>
      <t xml:space="preserve">雪 </t>
    </r>
    <r>
      <rPr>
        <sz val="10"/>
        <rFont val="Arial"/>
        <family val="0"/>
        <charset val="1"/>
      </rPr>
      <t xml:space="preserve">có bộ </t>
    </r>
    <r>
      <rPr>
        <sz val="10"/>
        <rFont val="Noto Sans CJK SC"/>
        <family val="2"/>
      </rPr>
      <t xml:space="preserve">雨 </t>
    </r>
    <r>
      <rPr>
        <sz val="10"/>
        <rFont val="Arial"/>
        <family val="0"/>
        <charset val="1"/>
      </rPr>
      <t xml:space="preserve">(mưa) → mưa đông cứng lại thành TUYẾT.
→ Đối chiếu thêm với mục </t>
    </r>
    <r>
      <rPr>
        <sz val="10"/>
        <rFont val="Noto Sans CJK SC"/>
        <family val="2"/>
      </rPr>
      <t xml:space="preserve">語彙 </t>
    </r>
    <r>
      <rPr>
        <sz val="10"/>
        <rFont val="Arial"/>
        <family val="0"/>
        <charset val="1"/>
      </rPr>
      <t xml:space="preserve">của bài 12 trong sách để bổ sung.</t>
    </r>
  </si>
  <si>
    <r>
      <rPr>
        <b val="true"/>
        <sz val="12"/>
        <color rgb="FF1F3864"/>
        <rFont val="Arial"/>
        <family val="0"/>
        <charset val="1"/>
      </rPr>
      <t xml:space="preserve">NGÀY 41  ·  Tuần 6  ·  Minna Bài 12 (2/2)  ·  Quá khứ của tính từ &amp; So sánh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</si>
  <si>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川 </t>
    </r>
    <r>
      <rPr>
        <sz val="10"/>
        <rFont val="Arial"/>
        <family val="0"/>
        <charset val="1"/>
      </rPr>
      <t xml:space="preserve">/ </t>
    </r>
    <r>
      <rPr>
        <sz val="10"/>
        <rFont val="Noto Sans CJK SC"/>
        <family val="2"/>
      </rPr>
      <t xml:space="preserve">巛 </t>
    </r>
    <r>
      <rPr>
        <sz val="10"/>
        <rFont val="Arial"/>
        <family val="0"/>
        <charset val="1"/>
      </rPr>
      <t xml:space="preserve">(</t>
    </r>
    <r>
      <rPr>
        <sz val="10"/>
        <rFont val="Noto Sans CJK SC"/>
        <family val="2"/>
      </rPr>
      <t xml:space="preserve">かわ</t>
    </r>
    <r>
      <rPr>
        <sz val="10"/>
        <rFont val="Arial"/>
        <family val="0"/>
        <charset val="1"/>
      </rPr>
      <t xml:space="preserve">) = Sông, dòng chảy
   Mẹo nhớ: Ba dòng nước chảy song song
   Kanji chứa bộ này: </t>
    </r>
    <r>
      <rPr>
        <sz val="10"/>
        <rFont val="Noto Sans CJK SC"/>
        <family val="2"/>
      </rPr>
      <t xml:space="preserve">川・州・巡</t>
    </r>
  </si>
  <si>
    <r>
      <rPr>
        <sz val="10"/>
        <rFont val="Arial"/>
        <family val="0"/>
        <charset val="1"/>
      </rPr>
      <t xml:space="preserve">Học 2 chữ. Mỗi chữ viết tay 10 lần đúng thứ tự nét.
• </t>
    </r>
    <r>
      <rPr>
        <sz val="10"/>
        <rFont val="Noto Sans CJK SC"/>
        <family val="2"/>
      </rPr>
      <t xml:space="preserve">気 </t>
    </r>
    <r>
      <rPr>
        <sz val="10"/>
        <rFont val="Arial"/>
        <family val="0"/>
        <charset val="1"/>
      </rPr>
      <t xml:space="preserve">[KHÍ] Khí, tinh thần, tâm trạng — On: </t>
    </r>
    <r>
      <rPr>
        <sz val="10"/>
        <rFont val="Noto Sans CJK SC"/>
        <family val="2"/>
      </rPr>
      <t xml:space="preserve">キ・ケ </t>
    </r>
    <r>
      <rPr>
        <sz val="10"/>
        <rFont val="Arial"/>
        <family val="0"/>
        <charset val="1"/>
      </rPr>
      <t xml:space="preserve">/ Kun: — (6 nét)
   Từ ghép: </t>
    </r>
    <r>
      <rPr>
        <sz val="10"/>
        <rFont val="Noto Sans CJK SC"/>
        <family val="2"/>
      </rPr>
      <t xml:space="preserve">元気 </t>
    </r>
    <r>
      <rPr>
        <sz val="10"/>
        <rFont val="Arial"/>
        <family val="0"/>
        <charset val="1"/>
      </rPr>
      <t xml:space="preserve">(</t>
    </r>
    <r>
      <rPr>
        <sz val="10"/>
        <rFont val="Noto Sans CJK SC"/>
        <family val="2"/>
      </rPr>
      <t xml:space="preserve">げんき</t>
    </r>
    <r>
      <rPr>
        <sz val="10"/>
        <rFont val="Arial"/>
        <family val="0"/>
        <charset val="1"/>
      </rPr>
      <t xml:space="preserve">) khỏe </t>
    </r>
    <r>
      <rPr>
        <sz val="10"/>
        <rFont val="Noto Sans CJK SC"/>
        <family val="2"/>
      </rPr>
      <t xml:space="preserve">・ 天気 </t>
    </r>
    <r>
      <rPr>
        <sz val="10"/>
        <rFont val="Arial"/>
        <family val="0"/>
        <charset val="1"/>
      </rPr>
      <t xml:space="preserve">(</t>
    </r>
    <r>
      <rPr>
        <sz val="10"/>
        <rFont val="Noto Sans CJK SC"/>
        <family val="2"/>
      </rPr>
      <t xml:space="preserve">てんき</t>
    </r>
    <r>
      <rPr>
        <sz val="10"/>
        <rFont val="Arial"/>
        <family val="0"/>
        <charset val="1"/>
      </rPr>
      <t xml:space="preserve">) thời tiết </t>
    </r>
    <r>
      <rPr>
        <sz val="10"/>
        <rFont val="Noto Sans CJK SC"/>
        <family val="2"/>
      </rPr>
      <t xml:space="preserve">・ 電気 </t>
    </r>
    <r>
      <rPr>
        <sz val="10"/>
        <rFont val="Arial"/>
        <family val="0"/>
        <charset val="1"/>
      </rPr>
      <t xml:space="preserve">(</t>
    </r>
    <r>
      <rPr>
        <sz val="10"/>
        <rFont val="Noto Sans CJK SC"/>
        <family val="2"/>
      </rPr>
      <t xml:space="preserve">でんき</t>
    </r>
    <r>
      <rPr>
        <sz val="10"/>
        <rFont val="Arial"/>
        <family val="0"/>
        <charset val="1"/>
      </rPr>
      <t xml:space="preserve">) điện
   Mẹo: Hơi nước bốc lên từ nồi cơm = KHÍ. Khí trong người = tinh thần, khí ngoài trời = thời tiết.
• </t>
    </r>
    <r>
      <rPr>
        <sz val="10"/>
        <rFont val="Noto Sans CJK SC"/>
        <family val="2"/>
      </rPr>
      <t xml:space="preserve">小 </t>
    </r>
    <r>
      <rPr>
        <sz val="10"/>
        <rFont val="Arial"/>
        <family val="0"/>
        <charset val="1"/>
      </rPr>
      <t xml:space="preserve">[TIỂU] Nhỏ — On: </t>
    </r>
    <r>
      <rPr>
        <sz val="10"/>
        <rFont val="Noto Sans CJK SC"/>
        <family val="2"/>
      </rPr>
      <t xml:space="preserve">ショウ </t>
    </r>
    <r>
      <rPr>
        <sz val="10"/>
        <rFont val="Arial"/>
        <family val="0"/>
        <charset val="1"/>
      </rPr>
      <t xml:space="preserve">/ Kun: </t>
    </r>
    <r>
      <rPr>
        <sz val="10"/>
        <rFont val="Noto Sans CJK SC"/>
        <family val="2"/>
      </rPr>
      <t xml:space="preserve">ちい</t>
    </r>
    <r>
      <rPr>
        <sz val="10"/>
        <rFont val="Arial"/>
        <family val="0"/>
        <charset val="1"/>
      </rPr>
      <t xml:space="preserve">(</t>
    </r>
    <r>
      <rPr>
        <sz val="10"/>
        <rFont val="Noto Sans CJK SC"/>
        <family val="2"/>
      </rPr>
      <t xml:space="preserve">さい</t>
    </r>
    <r>
      <rPr>
        <sz val="10"/>
        <rFont val="Arial"/>
        <family val="0"/>
        <charset val="1"/>
      </rPr>
      <t xml:space="preserve">)</t>
    </r>
    <r>
      <rPr>
        <sz val="10"/>
        <rFont val="Noto Sans CJK SC"/>
        <family val="2"/>
      </rPr>
      <t xml:space="preserve">・こ </t>
    </r>
    <r>
      <rPr>
        <sz val="10"/>
        <rFont val="Arial"/>
        <family val="0"/>
        <charset val="1"/>
      </rPr>
      <t xml:space="preserve">(3 nét)
   Từ ghép: </t>
    </r>
    <r>
      <rPr>
        <sz val="10"/>
        <rFont val="Noto Sans CJK SC"/>
        <family val="2"/>
      </rPr>
      <t xml:space="preserve">小さい </t>
    </r>
    <r>
      <rPr>
        <sz val="10"/>
        <rFont val="Arial"/>
        <family val="0"/>
        <charset val="1"/>
      </rPr>
      <t xml:space="preserve">(</t>
    </r>
    <r>
      <rPr>
        <sz val="10"/>
        <rFont val="Noto Sans CJK SC"/>
        <family val="2"/>
      </rPr>
      <t xml:space="preserve">ちいさい</t>
    </r>
    <r>
      <rPr>
        <sz val="10"/>
        <rFont val="Arial"/>
        <family val="0"/>
        <charset val="1"/>
      </rPr>
      <t xml:space="preserve">) nhỏ </t>
    </r>
    <r>
      <rPr>
        <sz val="10"/>
        <rFont val="Noto Sans CJK SC"/>
        <family val="2"/>
      </rPr>
      <t xml:space="preserve">・ 小学校 </t>
    </r>
    <r>
      <rPr>
        <sz val="10"/>
        <rFont val="Arial"/>
        <family val="0"/>
        <charset val="1"/>
      </rPr>
      <t xml:space="preserve">(</t>
    </r>
    <r>
      <rPr>
        <sz val="10"/>
        <rFont val="Noto Sans CJK SC"/>
        <family val="2"/>
      </rPr>
      <t xml:space="preserve">しょうがっこう</t>
    </r>
    <r>
      <rPr>
        <sz val="10"/>
        <rFont val="Arial"/>
        <family val="0"/>
        <charset val="1"/>
      </rPr>
      <t xml:space="preserve">) trường tiểu học </t>
    </r>
    <r>
      <rPr>
        <sz val="10"/>
        <rFont val="Noto Sans CJK SC"/>
        <family val="2"/>
      </rPr>
      <t xml:space="preserve">・ 小説 </t>
    </r>
    <r>
      <rPr>
        <sz val="10"/>
        <rFont val="Arial"/>
        <family val="0"/>
        <charset val="1"/>
      </rPr>
      <t xml:space="preserve">(</t>
    </r>
    <r>
      <rPr>
        <sz val="10"/>
        <rFont val="Noto Sans CJK SC"/>
        <family val="2"/>
      </rPr>
      <t xml:space="preserve">しょうせつ</t>
    </r>
    <r>
      <rPr>
        <sz val="10"/>
        <rFont val="Arial"/>
        <family val="0"/>
        <charset val="1"/>
      </rPr>
      <t xml:space="preserve">) tiểu thuyết
   Mẹo: Ba chấm bé xíu chụm lại. Ngược với </t>
    </r>
    <r>
      <rPr>
        <sz val="10"/>
        <rFont val="Noto Sans CJK SC"/>
        <family val="2"/>
      </rPr>
      <t xml:space="preserve">大</t>
    </r>
    <r>
      <rPr>
        <sz val="10"/>
        <rFont val="Arial"/>
        <family val="0"/>
        <charset val="1"/>
      </rPr>
      <t xml:space="preserve">.</t>
    </r>
  </si>
  <si>
    <r>
      <rPr>
        <sz val="10"/>
        <rFont val="Arial"/>
        <family val="0"/>
        <charset val="1"/>
      </rPr>
      <t xml:space="preserve">Minna bài 12 (2/2) — Quá khứ của tính từ &amp; So sánh
• N1 </t>
    </r>
    <r>
      <rPr>
        <sz val="10"/>
        <rFont val="Noto Sans CJK SC"/>
        <family val="2"/>
      </rPr>
      <t xml:space="preserve">と </t>
    </r>
    <r>
      <rPr>
        <sz val="10"/>
        <rFont val="Arial"/>
        <family val="0"/>
        <charset val="1"/>
      </rPr>
      <t xml:space="preserve">N2 </t>
    </r>
    <r>
      <rPr>
        <sz val="10"/>
        <rFont val="Noto Sans CJK SC"/>
        <family val="2"/>
      </rPr>
      <t xml:space="preserve">と どちらが </t>
    </r>
    <r>
      <rPr>
        <sz val="10"/>
        <rFont val="Arial"/>
        <family val="0"/>
        <charset val="1"/>
      </rPr>
      <t xml:space="preserve">Adj </t>
    </r>
    <r>
      <rPr>
        <sz val="10"/>
        <rFont val="Noto Sans CJK SC"/>
        <family val="2"/>
      </rPr>
      <t xml:space="preserve">ですか  </t>
    </r>
    <r>
      <rPr>
        <sz val="10"/>
        <rFont val="Arial"/>
        <family val="0"/>
        <charset val="1"/>
      </rPr>
      <t xml:space="preserve">(Giữa N1 và N2, cái nào ~ hơn?)
   Ví dụ: </t>
    </r>
    <r>
      <rPr>
        <sz val="10"/>
        <rFont val="Noto Sans CJK SC"/>
        <family val="2"/>
      </rPr>
      <t xml:space="preserve">肉と 魚と どちらが 好きですか。  </t>
    </r>
    <r>
      <rPr>
        <sz val="10"/>
        <rFont val="Arial"/>
        <family val="0"/>
        <charset val="1"/>
      </rPr>
      <t xml:space="preserve">= Bạn thích thịt hay cá hơn?
• N1 [</t>
    </r>
    <r>
      <rPr>
        <sz val="10"/>
        <rFont val="Noto Sans CJK SC"/>
        <family val="2"/>
      </rPr>
      <t xml:space="preserve">の中</t>
    </r>
    <r>
      <rPr>
        <sz val="10"/>
        <rFont val="Arial"/>
        <family val="0"/>
        <charset val="1"/>
      </rPr>
      <t xml:space="preserve">] </t>
    </r>
    <r>
      <rPr>
        <sz val="10"/>
        <rFont val="Noto Sans CJK SC"/>
        <family val="2"/>
      </rPr>
      <t xml:space="preserve">で 何</t>
    </r>
    <r>
      <rPr>
        <sz val="10"/>
        <rFont val="Arial"/>
        <family val="0"/>
        <charset val="1"/>
      </rPr>
      <t xml:space="preserve">/</t>
    </r>
    <r>
      <rPr>
        <sz val="10"/>
        <rFont val="Noto Sans CJK SC"/>
        <family val="2"/>
      </rPr>
      <t xml:space="preserve">どこ</t>
    </r>
    <r>
      <rPr>
        <sz val="10"/>
        <rFont val="Arial"/>
        <family val="0"/>
        <charset val="1"/>
      </rPr>
      <t xml:space="preserve">/</t>
    </r>
    <r>
      <rPr>
        <sz val="10"/>
        <rFont val="Noto Sans CJK SC"/>
        <family val="2"/>
      </rPr>
      <t xml:space="preserve">だれ が いちばん </t>
    </r>
    <r>
      <rPr>
        <sz val="10"/>
        <rFont val="Arial"/>
        <family val="0"/>
        <charset val="1"/>
      </rPr>
      <t xml:space="preserve">Adj </t>
    </r>
    <r>
      <rPr>
        <sz val="10"/>
        <rFont val="Noto Sans CJK SC"/>
        <family val="2"/>
      </rPr>
      <t xml:space="preserve">ですか  </t>
    </r>
    <r>
      <rPr>
        <sz val="10"/>
        <rFont val="Arial"/>
        <family val="0"/>
        <charset val="1"/>
      </rPr>
      <t xml:space="preserve">(Trong nhóm N1, cái/nơi/ai nhất?)
   Ví dụ: </t>
    </r>
    <r>
      <rPr>
        <sz val="10"/>
        <rFont val="Noto Sans CJK SC"/>
        <family val="2"/>
      </rPr>
      <t xml:space="preserve">日本料理で 何が いちばん おいしいですか。  </t>
    </r>
    <r>
      <rPr>
        <sz val="10"/>
        <rFont val="Arial"/>
        <family val="0"/>
        <charset val="1"/>
      </rPr>
      <t xml:space="preserve">= Trong món Nhật, món nào ngon nhất?
→ Làm </t>
    </r>
    <r>
      <rPr>
        <sz val="10"/>
        <rFont val="Noto Sans CJK SC"/>
        <family val="2"/>
      </rPr>
      <t xml:space="preserve">練習</t>
    </r>
    <r>
      <rPr>
        <sz val="10"/>
        <rFont val="Arial"/>
        <family val="0"/>
        <charset val="1"/>
      </rPr>
      <t xml:space="preserve">A của bài 12 trong sách, mỗi mẫu tự đặt 3 câu.</t>
    </r>
  </si>
  <si>
    <r>
      <rPr>
        <sz val="10"/>
        <rFont val="Arial"/>
        <family val="0"/>
        <charset val="1"/>
      </rPr>
      <t xml:space="preserve">Từ mới Minna bài 12:
• </t>
    </r>
    <r>
      <rPr>
        <sz val="10"/>
        <rFont val="Noto Sans CJK SC"/>
        <family val="2"/>
      </rPr>
      <t xml:space="preserve">くもり（曇り） </t>
    </r>
    <r>
      <rPr>
        <sz val="10"/>
        <rFont val="Arial"/>
        <family val="0"/>
        <charset val="1"/>
      </rPr>
      <t xml:space="preserve">= Trời nhiều mây
   Mẹo: </t>
    </r>
    <r>
      <rPr>
        <sz val="10"/>
        <rFont val="Noto Sans CJK SC"/>
        <family val="2"/>
      </rPr>
      <t xml:space="preserve">曇 </t>
    </r>
    <r>
      <rPr>
        <sz val="10"/>
        <rFont val="Arial"/>
        <family val="0"/>
        <charset val="1"/>
      </rPr>
      <t xml:space="preserve">= </t>
    </r>
    <r>
      <rPr>
        <sz val="10"/>
        <rFont val="Noto Sans CJK SC"/>
        <family val="2"/>
      </rPr>
      <t xml:space="preserve">日 </t>
    </r>
    <r>
      <rPr>
        <sz val="10"/>
        <rFont val="Arial"/>
        <family val="0"/>
        <charset val="1"/>
      </rPr>
      <t xml:space="preserve">(mặt trời) bị </t>
    </r>
    <r>
      <rPr>
        <sz val="10"/>
        <rFont val="Noto Sans CJK SC"/>
        <family val="2"/>
      </rPr>
      <t xml:space="preserve">雲 </t>
    </r>
    <r>
      <rPr>
        <sz val="10"/>
        <rFont val="Arial"/>
        <family val="0"/>
        <charset val="1"/>
      </rPr>
      <t xml:space="preserve">(mây) che.
• </t>
    </r>
    <r>
      <rPr>
        <sz val="10"/>
        <rFont val="Noto Sans CJK SC"/>
        <family val="2"/>
      </rPr>
      <t xml:space="preserve">はれ（晴れ） </t>
    </r>
    <r>
      <rPr>
        <sz val="10"/>
        <rFont val="Arial"/>
        <family val="0"/>
        <charset val="1"/>
      </rPr>
      <t xml:space="preserve">= Trời nắng
   Mẹo: </t>
    </r>
    <r>
      <rPr>
        <sz val="10"/>
        <rFont val="Noto Sans CJK SC"/>
        <family val="2"/>
      </rPr>
      <t xml:space="preserve">晴 </t>
    </r>
    <r>
      <rPr>
        <sz val="10"/>
        <rFont val="Arial"/>
        <family val="0"/>
        <charset val="1"/>
      </rPr>
      <t xml:space="preserve">= </t>
    </r>
    <r>
      <rPr>
        <sz val="10"/>
        <rFont val="Noto Sans CJK SC"/>
        <family val="2"/>
      </rPr>
      <t xml:space="preserve">日 </t>
    </r>
    <r>
      <rPr>
        <sz val="10"/>
        <rFont val="Arial"/>
        <family val="0"/>
        <charset val="1"/>
      </rPr>
      <t xml:space="preserve">(mặt trời) + </t>
    </r>
    <r>
      <rPr>
        <sz val="10"/>
        <rFont val="Noto Sans CJK SC"/>
        <family val="2"/>
      </rPr>
      <t xml:space="preserve">青 </t>
    </r>
    <r>
      <rPr>
        <sz val="10"/>
        <rFont val="Arial"/>
        <family val="0"/>
        <charset val="1"/>
      </rPr>
      <t xml:space="preserve">(xanh) → trời xanh có nắng.
• </t>
    </r>
    <r>
      <rPr>
        <sz val="10"/>
        <rFont val="Noto Sans CJK SC"/>
        <family val="2"/>
      </rPr>
      <t xml:space="preserve">いちばん（一番） </t>
    </r>
    <r>
      <rPr>
        <sz val="10"/>
        <rFont val="Arial"/>
        <family val="0"/>
        <charset val="1"/>
      </rPr>
      <t xml:space="preserve">= Nhất
   Mẹo: NHẤT PHIÊN = số một. </t>
    </r>
    <r>
      <rPr>
        <sz val="10"/>
        <rFont val="Noto Sans CJK SC"/>
        <family val="2"/>
      </rPr>
      <t xml:space="preserve">番 </t>
    </r>
    <r>
      <rPr>
        <sz val="10"/>
        <rFont val="Arial"/>
        <family val="0"/>
        <charset val="1"/>
      </rPr>
      <t xml:space="preserve">(phiên) = thứ tự.
• </t>
    </r>
    <r>
      <rPr>
        <sz val="10"/>
        <rFont val="Noto Sans CJK SC"/>
        <family val="2"/>
      </rPr>
      <t xml:space="preserve">どちら </t>
    </r>
    <r>
      <rPr>
        <sz val="10"/>
        <rFont val="Arial"/>
        <family val="0"/>
        <charset val="1"/>
      </rPr>
      <t xml:space="preserve">= Cái nào (trong hai)
   Mẹo: Chỉ dùng khi so sánh ĐÚNG HAI thứ. Ba thứ trở lên dùng </t>
    </r>
    <r>
      <rPr>
        <sz val="10"/>
        <rFont val="Noto Sans CJK SC"/>
        <family val="2"/>
      </rPr>
      <t xml:space="preserve">どれ</t>
    </r>
    <r>
      <rPr>
        <sz val="10"/>
        <rFont val="Arial"/>
        <family val="0"/>
        <charset val="1"/>
      </rPr>
      <t xml:space="preserve">.
• </t>
    </r>
    <r>
      <rPr>
        <sz val="10"/>
        <rFont val="Noto Sans CJK SC"/>
        <family val="2"/>
      </rPr>
      <t xml:space="preserve">きせつ（季節） </t>
    </r>
    <r>
      <rPr>
        <sz val="10"/>
        <rFont val="Arial"/>
        <family val="0"/>
        <charset val="1"/>
      </rPr>
      <t xml:space="preserve">= Mùa
   Mẹo: QUÝ TIẾT = mùa trong năm.
• </t>
    </r>
    <r>
      <rPr>
        <sz val="10"/>
        <rFont val="Noto Sans CJK SC"/>
        <family val="2"/>
      </rPr>
      <t xml:space="preserve">なつ </t>
    </r>
    <r>
      <rPr>
        <sz val="10"/>
        <rFont val="Arial"/>
        <family val="0"/>
        <charset val="1"/>
      </rPr>
      <t xml:space="preserve">/ </t>
    </r>
    <r>
      <rPr>
        <sz val="10"/>
        <rFont val="Noto Sans CJK SC"/>
        <family val="2"/>
      </rPr>
      <t xml:space="preserve">ふゆ（夏 </t>
    </r>
    <r>
      <rPr>
        <sz val="10"/>
        <rFont val="Arial"/>
        <family val="0"/>
        <charset val="1"/>
      </rPr>
      <t xml:space="preserve">/ </t>
    </r>
    <r>
      <rPr>
        <sz val="10"/>
        <rFont val="Noto Sans CJK SC"/>
        <family val="2"/>
      </rPr>
      <t xml:space="preserve">冬） </t>
    </r>
    <r>
      <rPr>
        <sz val="10"/>
        <rFont val="Arial"/>
        <family val="0"/>
        <charset val="1"/>
      </rPr>
      <t xml:space="preserve">= Mùa hè / mùa đông
   Mẹo: </t>
    </r>
    <r>
      <rPr>
        <sz val="10"/>
        <rFont val="Noto Sans CJK SC"/>
        <family val="2"/>
      </rPr>
      <t xml:space="preserve">夏 </t>
    </r>
    <r>
      <rPr>
        <sz val="10"/>
        <rFont val="Arial"/>
        <family val="0"/>
        <charset val="1"/>
      </rPr>
      <t xml:space="preserve">(HẠ) và </t>
    </r>
    <r>
      <rPr>
        <sz val="10"/>
        <rFont val="Noto Sans CJK SC"/>
        <family val="2"/>
      </rPr>
      <t xml:space="preserve">冬 </t>
    </r>
    <r>
      <rPr>
        <sz val="10"/>
        <rFont val="Arial"/>
        <family val="0"/>
        <charset val="1"/>
      </rPr>
      <t xml:space="preserve">(ĐÔNG). </t>
    </r>
    <r>
      <rPr>
        <sz val="10"/>
        <rFont val="Noto Sans CJK SC"/>
        <family val="2"/>
      </rPr>
      <t xml:space="preserve">冬 </t>
    </r>
    <r>
      <rPr>
        <sz val="10"/>
        <rFont val="Arial"/>
        <family val="0"/>
        <charset val="1"/>
      </rPr>
      <t xml:space="preserve">có hai chấm băng ở dưới.
• </t>
    </r>
    <r>
      <rPr>
        <sz val="10"/>
        <rFont val="Noto Sans CJK SC"/>
        <family val="2"/>
      </rPr>
      <t xml:space="preserve">はる </t>
    </r>
    <r>
      <rPr>
        <sz val="10"/>
        <rFont val="Arial"/>
        <family val="0"/>
        <charset val="1"/>
      </rPr>
      <t xml:space="preserve">/ </t>
    </r>
    <r>
      <rPr>
        <sz val="10"/>
        <rFont val="Noto Sans CJK SC"/>
        <family val="2"/>
      </rPr>
      <t xml:space="preserve">あき（春 </t>
    </r>
    <r>
      <rPr>
        <sz val="10"/>
        <rFont val="Arial"/>
        <family val="0"/>
        <charset val="1"/>
      </rPr>
      <t xml:space="preserve">/ </t>
    </r>
    <r>
      <rPr>
        <sz val="10"/>
        <rFont val="Noto Sans CJK SC"/>
        <family val="2"/>
      </rPr>
      <t xml:space="preserve">秋） </t>
    </r>
    <r>
      <rPr>
        <sz val="10"/>
        <rFont val="Arial"/>
        <family val="0"/>
        <charset val="1"/>
      </rPr>
      <t xml:space="preserve">= Mùa xuân / mùa thu
   Mẹo: </t>
    </r>
    <r>
      <rPr>
        <sz val="10"/>
        <rFont val="Noto Sans CJK SC"/>
        <family val="2"/>
      </rPr>
      <t xml:space="preserve">春 </t>
    </r>
    <r>
      <rPr>
        <sz val="10"/>
        <rFont val="Arial"/>
        <family val="0"/>
        <charset val="1"/>
      </rPr>
      <t xml:space="preserve">(XUÂN) có </t>
    </r>
    <r>
      <rPr>
        <sz val="10"/>
        <rFont val="Noto Sans CJK SC"/>
        <family val="2"/>
      </rPr>
      <t xml:space="preserve">日 </t>
    </r>
    <r>
      <rPr>
        <sz val="10"/>
        <rFont val="Arial"/>
        <family val="0"/>
        <charset val="1"/>
      </rPr>
      <t xml:space="preserve">ở dưới. </t>
    </r>
    <r>
      <rPr>
        <sz val="10"/>
        <rFont val="Noto Sans CJK SC"/>
        <family val="2"/>
      </rPr>
      <t xml:space="preserve">秋 </t>
    </r>
    <r>
      <rPr>
        <sz val="10"/>
        <rFont val="Arial"/>
        <family val="0"/>
        <charset val="1"/>
      </rPr>
      <t xml:space="preserve">= </t>
    </r>
    <r>
      <rPr>
        <sz val="10"/>
        <rFont val="Noto Sans CJK SC"/>
        <family val="2"/>
      </rPr>
      <t xml:space="preserve">禾 </t>
    </r>
    <r>
      <rPr>
        <sz val="10"/>
        <rFont val="Arial"/>
        <family val="0"/>
        <charset val="1"/>
      </rPr>
      <t xml:space="preserve">(lúa) + </t>
    </r>
    <r>
      <rPr>
        <sz val="10"/>
        <rFont val="Noto Sans CJK SC"/>
        <family val="2"/>
      </rPr>
      <t xml:space="preserve">火 </t>
    </r>
    <r>
      <rPr>
        <sz val="10"/>
        <rFont val="Arial"/>
        <family val="0"/>
        <charset val="1"/>
      </rPr>
      <t xml:space="preserve">(lửa) → lúa chín vàng như lửa.
→ Đối chiếu thêm với mục </t>
    </r>
    <r>
      <rPr>
        <sz val="10"/>
        <rFont val="Noto Sans CJK SC"/>
        <family val="2"/>
      </rPr>
      <t xml:space="preserve">語彙 </t>
    </r>
    <r>
      <rPr>
        <sz val="10"/>
        <rFont val="Arial"/>
        <family val="0"/>
        <charset val="1"/>
      </rPr>
      <t xml:space="preserve">của bài 12 trong sách để bổ sung.</t>
    </r>
  </si>
  <si>
    <r>
      <rPr>
        <b val="true"/>
        <sz val="12"/>
        <color rgb="FF1F3864"/>
        <rFont val="Arial"/>
        <family val="0"/>
        <charset val="1"/>
      </rPr>
      <t xml:space="preserve">NGÀY 42  ·  Tuần 6  ·  Minna Ôn bài 10–12  ·  Ôn tập tuần 6 — Minna bài 10–12      </t>
    </r>
    <r>
      <rPr>
        <b val="true"/>
        <sz val="12"/>
        <color rgb="FF1F3864"/>
        <rFont val="Noto Sans CJK SC"/>
        <family val="2"/>
      </rPr>
      <t xml:space="preserve">〔</t>
    </r>
    <r>
      <rPr>
        <b val="true"/>
        <sz val="12"/>
        <color rgb="FF1F3864"/>
        <rFont val="Arial"/>
        <family val="0"/>
        <charset val="1"/>
      </rPr>
      <t xml:space="preserve">105 phút · 5 việc</t>
    </r>
    <r>
      <rPr>
        <b val="true"/>
        <sz val="12"/>
        <color rgb="FF1F3864"/>
        <rFont val="Noto Sans CJK SC"/>
        <family val="2"/>
      </rPr>
      <t xml:space="preserve">〕</t>
    </r>
  </si>
  <si>
    <r>
      <rPr>
        <sz val="10"/>
        <rFont val="Arial"/>
        <family val="0"/>
        <charset val="1"/>
      </rPr>
      <t xml:space="preserve">Làm phần </t>
    </r>
    <r>
      <rPr>
        <sz val="10"/>
        <rFont val="Noto Sans CJK SC"/>
        <family val="2"/>
      </rPr>
      <t xml:space="preserve">練習</t>
    </r>
    <r>
      <rPr>
        <sz val="10"/>
        <rFont val="Arial"/>
        <family val="0"/>
        <charset val="1"/>
      </rPr>
      <t xml:space="preserve">B và </t>
    </r>
    <r>
      <rPr>
        <sz val="10"/>
        <rFont val="Noto Sans CJK SC"/>
        <family val="2"/>
      </rPr>
      <t xml:space="preserve">練習</t>
    </r>
    <r>
      <rPr>
        <sz val="10"/>
        <rFont val="Arial"/>
        <family val="0"/>
        <charset val="1"/>
      </rPr>
      <t xml:space="preserve">C trong Minna bài 10–12. Sau đó tự đặt 5 câu mới.</t>
    </r>
  </si>
  <si>
    <t xml:space="preserve">Kiểm tra lại toàn bộ từ vựng Minna bài 10–12. Từ nào quên đánh dấu 'Đang học'.</t>
  </si>
  <si>
    <r>
      <rPr>
        <sz val="10"/>
        <rFont val="Arial"/>
        <family val="0"/>
        <charset val="1"/>
      </rPr>
      <t xml:space="preserve">Làm phần </t>
    </r>
    <r>
      <rPr>
        <sz val="10"/>
        <rFont val="Noto Sans CJK SC"/>
        <family val="2"/>
      </rPr>
      <t xml:space="preserve">問題 </t>
    </r>
    <r>
      <rPr>
        <sz val="10"/>
        <rFont val="Arial"/>
        <family val="0"/>
        <charset val="1"/>
      </rPr>
      <t xml:space="preserve">(nghe + đọc) cuối mỗi bài trong Minna bài 10–12. Ghi lỗi sai vào cột Ghi chú.</t>
    </r>
  </si>
  <si>
    <r>
      <rPr>
        <b val="true"/>
        <sz val="12"/>
        <color rgb="FF1F3864"/>
        <rFont val="Arial"/>
        <family val="0"/>
        <charset val="1"/>
      </rPr>
      <t xml:space="preserve">NGÀY 43  ·  Tuần 7  ·  Minna Bài 13 (1/2)  ·  Mong muốn — </t>
    </r>
    <r>
      <rPr>
        <b val="true"/>
        <sz val="12"/>
        <color rgb="FF1F3864"/>
        <rFont val="Noto Sans CJK SC"/>
        <family val="2"/>
      </rPr>
      <t xml:space="preserve">たい </t>
    </r>
    <r>
      <rPr>
        <b val="true"/>
        <sz val="12"/>
        <color rgb="FF1F3864"/>
        <rFont val="Arial"/>
        <family val="0"/>
        <charset val="1"/>
      </rPr>
      <t xml:space="preserve">&amp; </t>
    </r>
    <r>
      <rPr>
        <b val="true"/>
        <sz val="12"/>
        <color rgb="FF1F3864"/>
        <rFont val="Noto Sans CJK SC"/>
        <family val="2"/>
      </rPr>
      <t xml:space="preserve">ほしい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</si>
  <si>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田 </t>
    </r>
    <r>
      <rPr>
        <sz val="10"/>
        <rFont val="Arial"/>
        <family val="0"/>
        <charset val="1"/>
      </rPr>
      <t xml:space="preserve">(</t>
    </r>
    <r>
      <rPr>
        <sz val="10"/>
        <rFont val="Noto Sans CJK SC"/>
        <family val="2"/>
      </rPr>
      <t xml:space="preserve">た </t>
    </r>
    <r>
      <rPr>
        <sz val="10"/>
        <rFont val="Arial"/>
        <family val="0"/>
        <charset val="1"/>
      </rPr>
      <t xml:space="preserve">/ </t>
    </r>
    <r>
      <rPr>
        <sz val="10"/>
        <rFont val="Noto Sans CJK SC"/>
        <family val="2"/>
      </rPr>
      <t xml:space="preserve">たへん</t>
    </r>
    <r>
      <rPr>
        <sz val="10"/>
        <rFont val="Arial"/>
        <family val="0"/>
        <charset val="1"/>
      </rPr>
      <t xml:space="preserve">) = Ruộng đồng
   Mẹo nhớ: Thửa ruộng chia bốn ô
   Kanji chứa bộ này: </t>
    </r>
    <r>
      <rPr>
        <sz val="10"/>
        <rFont val="Noto Sans CJK SC"/>
        <family val="2"/>
      </rPr>
      <t xml:space="preserve">田・男・町・界</t>
    </r>
  </si>
  <si>
    <r>
      <rPr>
        <sz val="10"/>
        <rFont val="Arial"/>
        <family val="0"/>
        <charset val="1"/>
      </rPr>
      <t xml:space="preserve">Học 2 chữ. Mỗi chữ viết tay 10 lần đúng thứ tự nét.
• </t>
    </r>
    <r>
      <rPr>
        <sz val="10"/>
        <rFont val="Noto Sans CJK SC"/>
        <family val="2"/>
      </rPr>
      <t xml:space="preserve">七 </t>
    </r>
    <r>
      <rPr>
        <sz val="10"/>
        <rFont val="Arial"/>
        <family val="0"/>
        <charset val="1"/>
      </rPr>
      <t xml:space="preserve">[THẤT] Bảy — On: </t>
    </r>
    <r>
      <rPr>
        <sz val="10"/>
        <rFont val="Noto Sans CJK SC"/>
        <family val="2"/>
      </rPr>
      <t xml:space="preserve">シチ </t>
    </r>
    <r>
      <rPr>
        <sz val="10"/>
        <rFont val="Arial"/>
        <family val="0"/>
        <charset val="1"/>
      </rPr>
      <t xml:space="preserve">/ Kun: </t>
    </r>
    <r>
      <rPr>
        <sz val="10"/>
        <rFont val="Noto Sans CJK SC"/>
        <family val="2"/>
      </rPr>
      <t xml:space="preserve">なな</t>
    </r>
    <r>
      <rPr>
        <sz val="10"/>
        <rFont val="Arial"/>
        <family val="0"/>
        <charset val="1"/>
      </rPr>
      <t xml:space="preserve">(</t>
    </r>
    <r>
      <rPr>
        <sz val="10"/>
        <rFont val="Noto Sans CJK SC"/>
        <family val="2"/>
      </rPr>
      <t xml:space="preserve">つ</t>
    </r>
    <r>
      <rPr>
        <sz val="10"/>
        <rFont val="Arial"/>
        <family val="0"/>
        <charset val="1"/>
      </rPr>
      <t xml:space="preserve">) (2 nét)
   Từ ghép: </t>
    </r>
    <r>
      <rPr>
        <sz val="10"/>
        <rFont val="Noto Sans CJK SC"/>
        <family val="2"/>
      </rPr>
      <t xml:space="preserve">七つ </t>
    </r>
    <r>
      <rPr>
        <sz val="10"/>
        <rFont val="Arial"/>
        <family val="0"/>
        <charset val="1"/>
      </rPr>
      <t xml:space="preserve">(</t>
    </r>
    <r>
      <rPr>
        <sz val="10"/>
        <rFont val="Noto Sans CJK SC"/>
        <family val="2"/>
      </rPr>
      <t xml:space="preserve">ななつ</t>
    </r>
    <r>
      <rPr>
        <sz val="10"/>
        <rFont val="Arial"/>
        <family val="0"/>
        <charset val="1"/>
      </rPr>
      <t xml:space="preserve">) bảy cái </t>
    </r>
    <r>
      <rPr>
        <sz val="10"/>
        <rFont val="Noto Sans CJK SC"/>
        <family val="2"/>
      </rPr>
      <t xml:space="preserve">・ 七月 </t>
    </r>
    <r>
      <rPr>
        <sz val="10"/>
        <rFont val="Arial"/>
        <family val="0"/>
        <charset val="1"/>
      </rPr>
      <t xml:space="preserve">(</t>
    </r>
    <r>
      <rPr>
        <sz val="10"/>
        <rFont val="Noto Sans CJK SC"/>
        <family val="2"/>
      </rPr>
      <t xml:space="preserve">しちがつ</t>
    </r>
    <r>
      <rPr>
        <sz val="10"/>
        <rFont val="Arial"/>
        <family val="0"/>
        <charset val="1"/>
      </rPr>
      <t xml:space="preserve">) tháng Bảy </t>
    </r>
    <r>
      <rPr>
        <sz val="10"/>
        <rFont val="Noto Sans CJK SC"/>
        <family val="2"/>
      </rPr>
      <t xml:space="preserve">・ 七時 </t>
    </r>
    <r>
      <rPr>
        <sz val="10"/>
        <rFont val="Arial"/>
        <family val="0"/>
        <charset val="1"/>
      </rPr>
      <t xml:space="preserve">(</t>
    </r>
    <r>
      <rPr>
        <sz val="10"/>
        <rFont val="Noto Sans CJK SC"/>
        <family val="2"/>
      </rPr>
      <t xml:space="preserve">しちじ</t>
    </r>
    <r>
      <rPr>
        <sz val="10"/>
        <rFont val="Arial"/>
        <family val="0"/>
        <charset val="1"/>
      </rPr>
      <t xml:space="preserve">) bảy giờ
   Mẹo: Giống số 7 viết ngược. Đọc là </t>
    </r>
    <r>
      <rPr>
        <sz val="10"/>
        <rFont val="Noto Sans CJK SC"/>
        <family val="2"/>
      </rPr>
      <t xml:space="preserve">なな </t>
    </r>
    <r>
      <rPr>
        <sz val="10"/>
        <rFont val="Arial"/>
        <family val="0"/>
        <charset val="1"/>
      </rPr>
      <t xml:space="preserve">hoặc </t>
    </r>
    <r>
      <rPr>
        <sz val="10"/>
        <rFont val="Noto Sans CJK SC"/>
        <family val="2"/>
      </rPr>
      <t xml:space="preserve">しち — </t>
    </r>
    <r>
      <rPr>
        <sz val="10"/>
        <rFont val="Arial"/>
        <family val="0"/>
        <charset val="1"/>
      </rPr>
      <t xml:space="preserve">trong đề thi hay hỏi </t>
    </r>
    <r>
      <rPr>
        <sz val="10"/>
        <rFont val="Noto Sans CJK SC"/>
        <family val="2"/>
      </rPr>
      <t xml:space="preserve">七時 </t>
    </r>
    <r>
      <rPr>
        <sz val="10"/>
        <rFont val="Arial"/>
        <family val="0"/>
        <charset val="1"/>
      </rPr>
      <t xml:space="preserve">(</t>
    </r>
    <r>
      <rPr>
        <sz val="10"/>
        <rFont val="Noto Sans CJK SC"/>
        <family val="2"/>
      </rPr>
      <t xml:space="preserve">しちじ</t>
    </r>
    <r>
      <rPr>
        <sz val="10"/>
        <rFont val="Arial"/>
        <family val="0"/>
        <charset val="1"/>
      </rPr>
      <t xml:space="preserve">).
• </t>
    </r>
    <r>
      <rPr>
        <sz val="10"/>
        <rFont val="Noto Sans CJK SC"/>
        <family val="2"/>
      </rPr>
      <t xml:space="preserve">山 </t>
    </r>
    <r>
      <rPr>
        <sz val="10"/>
        <rFont val="Arial"/>
        <family val="0"/>
        <charset val="1"/>
      </rPr>
      <t xml:space="preserve">[SƠN] Núi — On: </t>
    </r>
    <r>
      <rPr>
        <sz val="10"/>
        <rFont val="Noto Sans CJK SC"/>
        <family val="2"/>
      </rPr>
      <t xml:space="preserve">サン </t>
    </r>
    <r>
      <rPr>
        <sz val="10"/>
        <rFont val="Arial"/>
        <family val="0"/>
        <charset val="1"/>
      </rPr>
      <t xml:space="preserve">/ Kun: </t>
    </r>
    <r>
      <rPr>
        <sz val="10"/>
        <rFont val="Noto Sans CJK SC"/>
        <family val="2"/>
      </rPr>
      <t xml:space="preserve">やま </t>
    </r>
    <r>
      <rPr>
        <sz val="10"/>
        <rFont val="Arial"/>
        <family val="0"/>
        <charset val="1"/>
      </rPr>
      <t xml:space="preserve">(3 nét)
   Từ ghép: </t>
    </r>
    <r>
      <rPr>
        <sz val="10"/>
        <rFont val="Noto Sans CJK SC"/>
        <family val="2"/>
      </rPr>
      <t xml:space="preserve">山 </t>
    </r>
    <r>
      <rPr>
        <sz val="10"/>
        <rFont val="Arial"/>
        <family val="0"/>
        <charset val="1"/>
      </rPr>
      <t xml:space="preserve">(</t>
    </r>
    <r>
      <rPr>
        <sz val="10"/>
        <rFont val="Noto Sans CJK SC"/>
        <family val="2"/>
      </rPr>
      <t xml:space="preserve">やま</t>
    </r>
    <r>
      <rPr>
        <sz val="10"/>
        <rFont val="Arial"/>
        <family val="0"/>
        <charset val="1"/>
      </rPr>
      <t xml:space="preserve">) núi </t>
    </r>
    <r>
      <rPr>
        <sz val="10"/>
        <rFont val="Noto Sans CJK SC"/>
        <family val="2"/>
      </rPr>
      <t xml:space="preserve">・ 富士山 </t>
    </r>
    <r>
      <rPr>
        <sz val="10"/>
        <rFont val="Arial"/>
        <family val="0"/>
        <charset val="1"/>
      </rPr>
      <t xml:space="preserve">(</t>
    </r>
    <r>
      <rPr>
        <sz val="10"/>
        <rFont val="Noto Sans CJK SC"/>
        <family val="2"/>
      </rPr>
      <t xml:space="preserve">ふじさん</t>
    </r>
    <r>
      <rPr>
        <sz val="10"/>
        <rFont val="Arial"/>
        <family val="0"/>
        <charset val="1"/>
      </rPr>
      <t xml:space="preserve">) núi Phú Sĩ </t>
    </r>
    <r>
      <rPr>
        <sz val="10"/>
        <rFont val="Noto Sans CJK SC"/>
        <family val="2"/>
      </rPr>
      <t xml:space="preserve">・ 火山 </t>
    </r>
    <r>
      <rPr>
        <sz val="10"/>
        <rFont val="Arial"/>
        <family val="0"/>
        <charset val="1"/>
      </rPr>
      <t xml:space="preserve">(</t>
    </r>
    <r>
      <rPr>
        <sz val="10"/>
        <rFont val="Noto Sans CJK SC"/>
        <family val="2"/>
      </rPr>
      <t xml:space="preserve">かざん</t>
    </r>
    <r>
      <rPr>
        <sz val="10"/>
        <rFont val="Arial"/>
        <family val="0"/>
        <charset val="1"/>
      </rPr>
      <t xml:space="preserve">) núi lửa
   Mẹo: Ba đỉnh NÚI nhô lên khỏi mặt đất, đỉnh giữa cao nhất.</t>
    </r>
  </si>
  <si>
    <r>
      <rPr>
        <sz val="10"/>
        <rFont val="Arial"/>
        <family val="0"/>
        <charset val="1"/>
      </rPr>
      <t xml:space="preserve">Minna bài 13 (1/2) — Mong muốn — </t>
    </r>
    <r>
      <rPr>
        <sz val="10"/>
        <rFont val="Noto Sans CJK SC"/>
        <family val="2"/>
      </rPr>
      <t xml:space="preserve">たい </t>
    </r>
    <r>
      <rPr>
        <sz val="10"/>
        <rFont val="Arial"/>
        <family val="0"/>
        <charset val="1"/>
      </rPr>
      <t xml:space="preserve">&amp; </t>
    </r>
    <r>
      <rPr>
        <sz val="10"/>
        <rFont val="Noto Sans CJK SC"/>
        <family val="2"/>
      </rPr>
      <t xml:space="preserve">ほしい
• </t>
    </r>
    <r>
      <rPr>
        <sz val="10"/>
        <rFont val="Arial"/>
        <family val="0"/>
        <charset val="1"/>
      </rPr>
      <t xml:space="preserve">N </t>
    </r>
    <r>
      <rPr>
        <sz val="10"/>
        <rFont val="Noto Sans CJK SC"/>
        <family val="2"/>
      </rPr>
      <t xml:space="preserve">が ほしいです  </t>
    </r>
    <r>
      <rPr>
        <sz val="10"/>
        <rFont val="Arial"/>
        <family val="0"/>
        <charset val="1"/>
      </rPr>
      <t xml:space="preserve">(Muốn có N (đồ vật). Chỉ dùng cho ngôi thứ nhất và câu hỏi ngôi thứ hai.)
   Ví dụ: </t>
    </r>
    <r>
      <rPr>
        <sz val="10"/>
        <rFont val="Noto Sans CJK SC"/>
        <family val="2"/>
      </rPr>
      <t xml:space="preserve">新しい 車が ほしいです。  </t>
    </r>
    <r>
      <rPr>
        <sz val="10"/>
        <rFont val="Arial"/>
        <family val="0"/>
        <charset val="1"/>
      </rPr>
      <t xml:space="preserve">= Tôi muốn có một chiếc xe mới.
• V </t>
    </r>
    <r>
      <rPr>
        <sz val="10"/>
        <rFont val="Noto Sans CJK SC"/>
        <family val="2"/>
      </rPr>
      <t xml:space="preserve">ます</t>
    </r>
    <r>
      <rPr>
        <sz val="10"/>
        <rFont val="Arial"/>
        <family val="0"/>
        <charset val="1"/>
      </rPr>
      <t xml:space="preserve">-stem + </t>
    </r>
    <r>
      <rPr>
        <sz val="10"/>
        <rFont val="Noto Sans CJK SC"/>
        <family val="2"/>
      </rPr>
      <t xml:space="preserve">たいです  </t>
    </r>
    <r>
      <rPr>
        <sz val="10"/>
        <rFont val="Arial"/>
        <family val="0"/>
        <charset val="1"/>
      </rPr>
      <t xml:space="preserve">(Muốn làm gì. Tân ngữ có thể dùng </t>
    </r>
    <r>
      <rPr>
        <sz val="10"/>
        <rFont val="Noto Sans CJK SC"/>
        <family val="2"/>
      </rPr>
      <t xml:space="preserve">を </t>
    </r>
    <r>
      <rPr>
        <sz val="10"/>
        <rFont val="Arial"/>
        <family val="0"/>
        <charset val="1"/>
      </rPr>
      <t xml:space="preserve">hoặc </t>
    </r>
    <r>
      <rPr>
        <sz val="10"/>
        <rFont val="Noto Sans CJK SC"/>
        <family val="2"/>
      </rPr>
      <t xml:space="preserve">が</t>
    </r>
    <r>
      <rPr>
        <sz val="10"/>
        <rFont val="Arial"/>
        <family val="0"/>
        <charset val="1"/>
      </rPr>
      <t xml:space="preserve">.)
   Ví dụ: </t>
    </r>
    <r>
      <rPr>
        <sz val="10"/>
        <rFont val="Noto Sans CJK SC"/>
        <family val="2"/>
      </rPr>
      <t xml:space="preserve">日本へ 行きたいです。  </t>
    </r>
    <r>
      <rPr>
        <sz val="10"/>
        <rFont val="Arial"/>
        <family val="0"/>
        <charset val="1"/>
      </rPr>
      <t xml:space="preserve">= Tôi muốn đi Nhật.
→ Làm </t>
    </r>
    <r>
      <rPr>
        <sz val="10"/>
        <rFont val="Noto Sans CJK SC"/>
        <family val="2"/>
      </rPr>
      <t xml:space="preserve">練習</t>
    </r>
    <r>
      <rPr>
        <sz val="10"/>
        <rFont val="Arial"/>
        <family val="0"/>
        <charset val="1"/>
      </rPr>
      <t xml:space="preserve">A của bài 13 trong sách, mỗi mẫu tự đặt 3 câu.</t>
    </r>
  </si>
  <si>
    <r>
      <rPr>
        <sz val="10"/>
        <rFont val="Arial"/>
        <family val="0"/>
        <charset val="1"/>
      </rPr>
      <t xml:space="preserve">Từ mới Minna bài 13:
• </t>
    </r>
    <r>
      <rPr>
        <sz val="10"/>
        <rFont val="Noto Sans CJK SC"/>
        <family val="2"/>
      </rPr>
      <t xml:space="preserve">ほしい </t>
    </r>
    <r>
      <rPr>
        <sz val="10"/>
        <rFont val="Arial"/>
        <family val="0"/>
        <charset val="1"/>
      </rPr>
      <t xml:space="preserve">= Muốn có
   Mẹo: Là TÍNH TỪ đuôi </t>
    </r>
    <r>
      <rPr>
        <sz val="10"/>
        <rFont val="Noto Sans CJK SC"/>
        <family val="2"/>
      </rPr>
      <t xml:space="preserve">い</t>
    </r>
    <r>
      <rPr>
        <sz val="10"/>
        <rFont val="Arial"/>
        <family val="0"/>
        <charset val="1"/>
      </rPr>
      <t xml:space="preserve">, không phải động từ. Phủ định: </t>
    </r>
    <r>
      <rPr>
        <sz val="10"/>
        <rFont val="Noto Sans CJK SC"/>
        <family val="2"/>
      </rPr>
      <t xml:space="preserve">ほしくないです</t>
    </r>
    <r>
      <rPr>
        <sz val="10"/>
        <rFont val="Arial"/>
        <family val="0"/>
        <charset val="1"/>
      </rPr>
      <t xml:space="preserve">.
• </t>
    </r>
    <r>
      <rPr>
        <sz val="10"/>
        <rFont val="Noto Sans CJK SC"/>
        <family val="2"/>
      </rPr>
      <t xml:space="preserve">〜たい </t>
    </r>
    <r>
      <rPr>
        <sz val="10"/>
        <rFont val="Arial"/>
        <family val="0"/>
        <charset val="1"/>
      </rPr>
      <t xml:space="preserve">= Muốn làm
   Mẹo: Bỏ </t>
    </r>
    <r>
      <rPr>
        <sz val="10"/>
        <rFont val="Noto Sans CJK SC"/>
        <family val="2"/>
      </rPr>
      <t xml:space="preserve">ます </t>
    </r>
    <r>
      <rPr>
        <sz val="10"/>
        <rFont val="Arial"/>
        <family val="0"/>
        <charset val="1"/>
      </rPr>
      <t xml:space="preserve">thêm </t>
    </r>
    <r>
      <rPr>
        <sz val="10"/>
        <rFont val="Noto Sans CJK SC"/>
        <family val="2"/>
      </rPr>
      <t xml:space="preserve">たい</t>
    </r>
    <r>
      <rPr>
        <sz val="10"/>
        <rFont val="Arial"/>
        <family val="0"/>
        <charset val="1"/>
      </rPr>
      <t xml:space="preserve">. Chia như tính từ </t>
    </r>
    <r>
      <rPr>
        <sz val="10"/>
        <rFont val="Noto Sans CJK SC"/>
        <family val="2"/>
      </rPr>
      <t xml:space="preserve">い</t>
    </r>
    <r>
      <rPr>
        <sz val="10"/>
        <rFont val="Arial"/>
        <family val="0"/>
        <charset val="1"/>
      </rPr>
      <t xml:space="preserve">: </t>
    </r>
    <r>
      <rPr>
        <sz val="10"/>
        <rFont val="Noto Sans CJK SC"/>
        <family val="2"/>
      </rPr>
      <t xml:space="preserve">行きたくないです</t>
    </r>
    <r>
      <rPr>
        <sz val="10"/>
        <rFont val="Arial"/>
        <family val="0"/>
        <charset val="1"/>
      </rPr>
      <t xml:space="preserve">.
• </t>
    </r>
    <r>
      <rPr>
        <sz val="10"/>
        <rFont val="Noto Sans CJK SC"/>
        <family val="2"/>
      </rPr>
      <t xml:space="preserve">かいもの（買い物） </t>
    </r>
    <r>
      <rPr>
        <sz val="10"/>
        <rFont val="Arial"/>
        <family val="0"/>
        <charset val="1"/>
      </rPr>
      <t xml:space="preserve">= Việc mua sắm
   Mẹo: MÃI VẬT = mua đồ vật. </t>
    </r>
    <r>
      <rPr>
        <sz val="10"/>
        <rFont val="Noto Sans CJK SC"/>
        <family val="2"/>
      </rPr>
      <t xml:space="preserve">〜物 </t>
    </r>
    <r>
      <rPr>
        <sz val="10"/>
        <rFont val="Arial"/>
        <family val="0"/>
        <charset val="1"/>
      </rPr>
      <t xml:space="preserve">gặp lại ở </t>
    </r>
    <r>
      <rPr>
        <sz val="10"/>
        <rFont val="Noto Sans CJK SC"/>
        <family val="2"/>
      </rPr>
      <t xml:space="preserve">飲み物</t>
    </r>
    <r>
      <rPr>
        <sz val="10"/>
        <rFont val="Arial"/>
        <family val="0"/>
        <charset val="1"/>
      </rPr>
      <t xml:space="preserve">, </t>
    </r>
    <r>
      <rPr>
        <sz val="10"/>
        <rFont val="Noto Sans CJK SC"/>
        <family val="2"/>
      </rPr>
      <t xml:space="preserve">食べ物</t>
    </r>
    <r>
      <rPr>
        <sz val="10"/>
        <rFont val="Arial"/>
        <family val="0"/>
        <charset val="1"/>
      </rPr>
      <t xml:space="preserve">.
• </t>
    </r>
    <r>
      <rPr>
        <sz val="10"/>
        <rFont val="Noto Sans CJK SC"/>
        <family val="2"/>
      </rPr>
      <t xml:space="preserve">しょくじ（食事） </t>
    </r>
    <r>
      <rPr>
        <sz val="10"/>
        <rFont val="Arial"/>
        <family val="0"/>
        <charset val="1"/>
      </rPr>
      <t xml:space="preserve">= Bữa ăn
   Mẹo: THỰC SỰ = việc ăn uống.
• </t>
    </r>
    <r>
      <rPr>
        <sz val="10"/>
        <rFont val="Noto Sans CJK SC"/>
        <family val="2"/>
      </rPr>
      <t xml:space="preserve">さんぽ（散歩） </t>
    </r>
    <r>
      <rPr>
        <sz val="10"/>
        <rFont val="Arial"/>
        <family val="0"/>
        <charset val="1"/>
      </rPr>
      <t xml:space="preserve">= Đi dạo
   Mẹo: TÁN BỘ = bước chân thong dong. </t>
    </r>
    <r>
      <rPr>
        <sz val="10"/>
        <rFont val="Noto Sans CJK SC"/>
        <family val="2"/>
      </rPr>
      <t xml:space="preserve">散歩します。
• けっこん（結婚） </t>
    </r>
    <r>
      <rPr>
        <sz val="10"/>
        <rFont val="Arial"/>
        <family val="0"/>
        <charset val="1"/>
      </rPr>
      <t xml:space="preserve">= Kết hôn
   Mẹo: KẾT HÔN — âm Hán Việt y hệt tiếng Việt.
• </t>
    </r>
    <r>
      <rPr>
        <sz val="10"/>
        <rFont val="Noto Sans CJK SC"/>
        <family val="2"/>
      </rPr>
      <t xml:space="preserve">つかれます（疲れます） </t>
    </r>
    <r>
      <rPr>
        <sz val="10"/>
        <rFont val="Arial"/>
        <family val="0"/>
        <charset val="1"/>
      </rPr>
      <t xml:space="preserve">= Mệt
   Mẹo: </t>
    </r>
    <r>
      <rPr>
        <sz val="10"/>
        <rFont val="Noto Sans CJK SC"/>
        <family val="2"/>
      </rPr>
      <t xml:space="preserve">疲 </t>
    </r>
    <r>
      <rPr>
        <sz val="10"/>
        <rFont val="Arial"/>
        <family val="0"/>
        <charset val="1"/>
      </rPr>
      <t xml:space="preserve">có bộ </t>
    </r>
    <r>
      <rPr>
        <sz val="10"/>
        <rFont val="Noto Sans CJK SC"/>
        <family val="2"/>
      </rPr>
      <t xml:space="preserve">疒 </t>
    </r>
    <r>
      <rPr>
        <sz val="10"/>
        <rFont val="Arial"/>
        <family val="0"/>
        <charset val="1"/>
      </rPr>
      <t xml:space="preserve">(bệnh tật) → mệt gần như ốm.
→ Đối chiếu thêm với mục </t>
    </r>
    <r>
      <rPr>
        <sz val="10"/>
        <rFont val="Noto Sans CJK SC"/>
        <family val="2"/>
      </rPr>
      <t xml:space="preserve">語彙 </t>
    </r>
    <r>
      <rPr>
        <sz val="10"/>
        <rFont val="Arial"/>
        <family val="0"/>
        <charset val="1"/>
      </rPr>
      <t xml:space="preserve">của bài 13 trong sách để bổ sung.</t>
    </r>
  </si>
  <si>
    <r>
      <rPr>
        <b val="true"/>
        <sz val="12"/>
        <color rgb="FF1F3864"/>
        <rFont val="Arial"/>
        <family val="0"/>
        <charset val="1"/>
      </rPr>
      <t xml:space="preserve">NGÀY 44  ·  Tuần 7  ·  Minna Bài 13 (2/2)  ·  Mong muốn — </t>
    </r>
    <r>
      <rPr>
        <b val="true"/>
        <sz val="12"/>
        <color rgb="FF1F3864"/>
        <rFont val="Noto Sans CJK SC"/>
        <family val="2"/>
      </rPr>
      <t xml:space="preserve">たい </t>
    </r>
    <r>
      <rPr>
        <b val="true"/>
        <sz val="12"/>
        <color rgb="FF1F3864"/>
        <rFont val="Arial"/>
        <family val="0"/>
        <charset val="1"/>
      </rPr>
      <t xml:space="preserve">&amp; </t>
    </r>
    <r>
      <rPr>
        <b val="true"/>
        <sz val="12"/>
        <color rgb="FF1F3864"/>
        <rFont val="Noto Sans CJK SC"/>
        <family val="2"/>
      </rPr>
      <t xml:space="preserve">ほしい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</si>
  <si>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力 </t>
    </r>
    <r>
      <rPr>
        <sz val="10"/>
        <rFont val="Arial"/>
        <family val="0"/>
        <charset val="1"/>
      </rPr>
      <t xml:space="preserve">(</t>
    </r>
    <r>
      <rPr>
        <sz val="10"/>
        <rFont val="Noto Sans CJK SC"/>
        <family val="2"/>
      </rPr>
      <t xml:space="preserve">ちから</t>
    </r>
    <r>
      <rPr>
        <sz val="10"/>
        <rFont val="Arial"/>
        <family val="0"/>
        <charset val="1"/>
      </rPr>
      <t xml:space="preserve">) = Sức mạnh, nỗ lực
   Mẹo nhớ: Cánh tay đang gồng cơ
   Kanji chứa bộ này: </t>
    </r>
    <r>
      <rPr>
        <sz val="10"/>
        <rFont val="Noto Sans CJK SC"/>
        <family val="2"/>
      </rPr>
      <t xml:space="preserve">力・男・動・助</t>
    </r>
  </si>
  <si>
    <r>
      <rPr>
        <sz val="10"/>
        <rFont val="Arial"/>
        <family val="0"/>
        <charset val="1"/>
      </rPr>
      <t xml:space="preserve">Học 2 chữ. Mỗi chữ viết tay 10 lần đúng thứ tự nét.
• </t>
    </r>
    <r>
      <rPr>
        <sz val="10"/>
        <rFont val="Noto Sans CJK SC"/>
        <family val="2"/>
      </rPr>
      <t xml:space="preserve">話 </t>
    </r>
    <r>
      <rPr>
        <sz val="10"/>
        <rFont val="Arial"/>
        <family val="0"/>
        <charset val="1"/>
      </rPr>
      <t xml:space="preserve">[THOẠI] Nói chuyện, câu chuyện — On: </t>
    </r>
    <r>
      <rPr>
        <sz val="10"/>
        <rFont val="Noto Sans CJK SC"/>
        <family val="2"/>
      </rPr>
      <t xml:space="preserve">ワ </t>
    </r>
    <r>
      <rPr>
        <sz val="10"/>
        <rFont val="Arial"/>
        <family val="0"/>
        <charset val="1"/>
      </rPr>
      <t xml:space="preserve">/ Kun: </t>
    </r>
    <r>
      <rPr>
        <sz val="10"/>
        <rFont val="Noto Sans CJK SC"/>
        <family val="2"/>
      </rPr>
      <t xml:space="preserve">はな</t>
    </r>
    <r>
      <rPr>
        <sz val="10"/>
        <rFont val="Arial"/>
        <family val="0"/>
        <charset val="1"/>
      </rPr>
      <t xml:space="preserve">(</t>
    </r>
    <r>
      <rPr>
        <sz val="10"/>
        <rFont val="Noto Sans CJK SC"/>
        <family val="2"/>
      </rPr>
      <t xml:space="preserve">す</t>
    </r>
    <r>
      <rPr>
        <sz val="10"/>
        <rFont val="Arial"/>
        <family val="0"/>
        <charset val="1"/>
      </rPr>
      <t xml:space="preserve">)</t>
    </r>
    <r>
      <rPr>
        <sz val="10"/>
        <rFont val="Noto Sans CJK SC"/>
        <family val="2"/>
      </rPr>
      <t xml:space="preserve">・はなし </t>
    </r>
    <r>
      <rPr>
        <sz val="10"/>
        <rFont val="Arial"/>
        <family val="0"/>
        <charset val="1"/>
      </rPr>
      <t xml:space="preserve">(13 nét)
   Từ ghép: </t>
    </r>
    <r>
      <rPr>
        <sz val="10"/>
        <rFont val="Noto Sans CJK SC"/>
        <family val="2"/>
      </rPr>
      <t xml:space="preserve">話します </t>
    </r>
    <r>
      <rPr>
        <sz val="10"/>
        <rFont val="Arial"/>
        <family val="0"/>
        <charset val="1"/>
      </rPr>
      <t xml:space="preserve">(</t>
    </r>
    <r>
      <rPr>
        <sz val="10"/>
        <rFont val="Noto Sans CJK SC"/>
        <family val="2"/>
      </rPr>
      <t xml:space="preserve">はなします</t>
    </r>
    <r>
      <rPr>
        <sz val="10"/>
        <rFont val="Arial"/>
        <family val="0"/>
        <charset val="1"/>
      </rPr>
      <t xml:space="preserve">) nói </t>
    </r>
    <r>
      <rPr>
        <sz val="10"/>
        <rFont val="Noto Sans CJK SC"/>
        <family val="2"/>
      </rPr>
      <t xml:space="preserve">・ 電話 </t>
    </r>
    <r>
      <rPr>
        <sz val="10"/>
        <rFont val="Arial"/>
        <family val="0"/>
        <charset val="1"/>
      </rPr>
      <t xml:space="preserve">(</t>
    </r>
    <r>
      <rPr>
        <sz val="10"/>
        <rFont val="Noto Sans CJK SC"/>
        <family val="2"/>
      </rPr>
      <t xml:space="preserve">でんわ</t>
    </r>
    <r>
      <rPr>
        <sz val="10"/>
        <rFont val="Arial"/>
        <family val="0"/>
        <charset val="1"/>
      </rPr>
      <t xml:space="preserve">) điện thoại </t>
    </r>
    <r>
      <rPr>
        <sz val="10"/>
        <rFont val="Noto Sans CJK SC"/>
        <family val="2"/>
      </rPr>
      <t xml:space="preserve">・ 会話 </t>
    </r>
    <r>
      <rPr>
        <sz val="10"/>
        <rFont val="Arial"/>
        <family val="0"/>
        <charset val="1"/>
      </rPr>
      <t xml:space="preserve">(</t>
    </r>
    <r>
      <rPr>
        <sz val="10"/>
        <rFont val="Noto Sans CJK SC"/>
        <family val="2"/>
      </rPr>
      <t xml:space="preserve">かいわ</t>
    </r>
    <r>
      <rPr>
        <sz val="10"/>
        <rFont val="Arial"/>
        <family val="0"/>
        <charset val="1"/>
      </rPr>
      <t xml:space="preserve">) hội thoại
   Mẹo: </t>
    </r>
    <r>
      <rPr>
        <sz val="10"/>
        <rFont val="Noto Sans CJK SC"/>
        <family val="2"/>
      </rPr>
      <t xml:space="preserve">言 </t>
    </r>
    <r>
      <rPr>
        <sz val="10"/>
        <rFont val="Arial"/>
        <family val="0"/>
        <charset val="1"/>
      </rPr>
      <t xml:space="preserve">(lời nói) + </t>
    </r>
    <r>
      <rPr>
        <sz val="10"/>
        <rFont val="Noto Sans CJK SC"/>
        <family val="2"/>
      </rPr>
      <t xml:space="preserve">舌 </t>
    </r>
    <r>
      <rPr>
        <sz val="10"/>
        <rFont val="Arial"/>
        <family val="0"/>
        <charset val="1"/>
      </rPr>
      <t xml:space="preserve">(cái lưỡi) = dùng lưỡi để phát ra lời → NÓI CHUYỆN.
• </t>
    </r>
    <r>
      <rPr>
        <sz val="10"/>
        <rFont val="Noto Sans CJK SC"/>
        <family val="2"/>
      </rPr>
      <t xml:space="preserve">多 </t>
    </r>
    <r>
      <rPr>
        <sz val="10"/>
        <rFont val="Arial"/>
        <family val="0"/>
        <charset val="1"/>
      </rPr>
      <t xml:space="preserve">[ĐA] Nhiều — On: </t>
    </r>
    <r>
      <rPr>
        <sz val="10"/>
        <rFont val="Noto Sans CJK SC"/>
        <family val="2"/>
      </rPr>
      <t xml:space="preserve">タ </t>
    </r>
    <r>
      <rPr>
        <sz val="10"/>
        <rFont val="Arial"/>
        <family val="0"/>
        <charset val="1"/>
      </rPr>
      <t xml:space="preserve">/ Kun: </t>
    </r>
    <r>
      <rPr>
        <sz val="10"/>
        <rFont val="Noto Sans CJK SC"/>
        <family val="2"/>
      </rPr>
      <t xml:space="preserve">おお</t>
    </r>
    <r>
      <rPr>
        <sz val="10"/>
        <rFont val="Arial"/>
        <family val="0"/>
        <charset val="1"/>
      </rPr>
      <t xml:space="preserve">(</t>
    </r>
    <r>
      <rPr>
        <sz val="10"/>
        <rFont val="Noto Sans CJK SC"/>
        <family val="2"/>
      </rPr>
      <t xml:space="preserve">い</t>
    </r>
    <r>
      <rPr>
        <sz val="10"/>
        <rFont val="Arial"/>
        <family val="0"/>
        <charset val="1"/>
      </rPr>
      <t xml:space="preserve">) (6 nét)
   Từ ghép: </t>
    </r>
    <r>
      <rPr>
        <sz val="10"/>
        <rFont val="Noto Sans CJK SC"/>
        <family val="2"/>
      </rPr>
      <t xml:space="preserve">多い </t>
    </r>
    <r>
      <rPr>
        <sz val="10"/>
        <rFont val="Arial"/>
        <family val="0"/>
        <charset val="1"/>
      </rPr>
      <t xml:space="preserve">(</t>
    </r>
    <r>
      <rPr>
        <sz val="10"/>
        <rFont val="Noto Sans CJK SC"/>
        <family val="2"/>
      </rPr>
      <t xml:space="preserve">おおい</t>
    </r>
    <r>
      <rPr>
        <sz val="10"/>
        <rFont val="Arial"/>
        <family val="0"/>
        <charset val="1"/>
      </rPr>
      <t xml:space="preserve">) nhiều </t>
    </r>
    <r>
      <rPr>
        <sz val="10"/>
        <rFont val="Noto Sans CJK SC"/>
        <family val="2"/>
      </rPr>
      <t xml:space="preserve">・ 多分 </t>
    </r>
    <r>
      <rPr>
        <sz val="10"/>
        <rFont val="Arial"/>
        <family val="0"/>
        <charset val="1"/>
      </rPr>
      <t xml:space="preserve">(</t>
    </r>
    <r>
      <rPr>
        <sz val="10"/>
        <rFont val="Noto Sans CJK SC"/>
        <family val="2"/>
      </rPr>
      <t xml:space="preserve">たぶん</t>
    </r>
    <r>
      <rPr>
        <sz val="10"/>
        <rFont val="Arial"/>
        <family val="0"/>
        <charset val="1"/>
      </rPr>
      <t xml:space="preserve">) có lẽ </t>
    </r>
    <r>
      <rPr>
        <sz val="10"/>
        <rFont val="Noto Sans CJK SC"/>
        <family val="2"/>
      </rPr>
      <t xml:space="preserve">・ 多数 </t>
    </r>
    <r>
      <rPr>
        <sz val="10"/>
        <rFont val="Arial"/>
        <family val="0"/>
        <charset val="1"/>
      </rPr>
      <t xml:space="preserve">(</t>
    </r>
    <r>
      <rPr>
        <sz val="10"/>
        <rFont val="Noto Sans CJK SC"/>
        <family val="2"/>
      </rPr>
      <t xml:space="preserve">たすう</t>
    </r>
    <r>
      <rPr>
        <sz val="10"/>
        <rFont val="Arial"/>
        <family val="0"/>
        <charset val="1"/>
      </rPr>
      <t xml:space="preserve">) đa số
   Mẹo: Hai chữ </t>
    </r>
    <r>
      <rPr>
        <sz val="10"/>
        <rFont val="Noto Sans CJK SC"/>
        <family val="2"/>
      </rPr>
      <t xml:space="preserve">夕 </t>
    </r>
    <r>
      <rPr>
        <sz val="10"/>
        <rFont val="Arial"/>
        <family val="0"/>
        <charset val="1"/>
      </rPr>
      <t xml:space="preserve">(buổi tối) chồng lên nhau = hết tối này đến tối khác, NHIỀU lắm.</t>
    </r>
  </si>
  <si>
    <r>
      <rPr>
        <sz val="10"/>
        <rFont val="Arial"/>
        <family val="0"/>
        <charset val="1"/>
      </rPr>
      <t xml:space="preserve">Minna bài 13 (2/2) — Mong muốn — </t>
    </r>
    <r>
      <rPr>
        <sz val="10"/>
        <rFont val="Noto Sans CJK SC"/>
        <family val="2"/>
      </rPr>
      <t xml:space="preserve">たい </t>
    </r>
    <r>
      <rPr>
        <sz val="10"/>
        <rFont val="Arial"/>
        <family val="0"/>
        <charset val="1"/>
      </rPr>
      <t xml:space="preserve">&amp; </t>
    </r>
    <r>
      <rPr>
        <sz val="10"/>
        <rFont val="Noto Sans CJK SC"/>
        <family val="2"/>
      </rPr>
      <t xml:space="preserve">ほしい
• 場所 へ </t>
    </r>
    <r>
      <rPr>
        <sz val="10"/>
        <rFont val="Arial"/>
        <family val="0"/>
        <charset val="1"/>
      </rPr>
      <t xml:space="preserve">V </t>
    </r>
    <r>
      <rPr>
        <sz val="10"/>
        <rFont val="Noto Sans CJK SC"/>
        <family val="2"/>
      </rPr>
      <t xml:space="preserve">ます</t>
    </r>
    <r>
      <rPr>
        <sz val="10"/>
        <rFont val="Arial"/>
        <family val="0"/>
        <charset val="1"/>
      </rPr>
      <t xml:space="preserve">-stem </t>
    </r>
    <r>
      <rPr>
        <sz val="10"/>
        <rFont val="Noto Sans CJK SC"/>
        <family val="2"/>
      </rPr>
      <t xml:space="preserve">に 行きます </t>
    </r>
    <r>
      <rPr>
        <sz val="10"/>
        <rFont val="Arial"/>
        <family val="0"/>
        <charset val="1"/>
      </rPr>
      <t xml:space="preserve">/ </t>
    </r>
    <r>
      <rPr>
        <sz val="10"/>
        <rFont val="Noto Sans CJK SC"/>
        <family val="2"/>
      </rPr>
      <t xml:space="preserve">来ます </t>
    </r>
    <r>
      <rPr>
        <sz val="10"/>
        <rFont val="Arial"/>
        <family val="0"/>
        <charset val="1"/>
      </rPr>
      <t xml:space="preserve">/ </t>
    </r>
    <r>
      <rPr>
        <sz val="10"/>
        <rFont val="Noto Sans CJK SC"/>
        <family val="2"/>
      </rPr>
      <t xml:space="preserve">帰ります  </t>
    </r>
    <r>
      <rPr>
        <sz val="10"/>
        <rFont val="Arial"/>
        <family val="0"/>
        <charset val="1"/>
      </rPr>
      <t xml:space="preserve">(Đi/đến/về nơi nào ĐỂ làm gì.)
   Ví dụ: </t>
    </r>
    <r>
      <rPr>
        <sz val="10"/>
        <rFont val="Noto Sans CJK SC"/>
        <family val="2"/>
      </rPr>
      <t xml:space="preserve">デパートへ 買い物に 行きます。  </t>
    </r>
    <r>
      <rPr>
        <sz val="10"/>
        <rFont val="Arial"/>
        <family val="0"/>
        <charset val="1"/>
      </rPr>
      <t xml:space="preserve">= Tôi đi siêu thị để mua sắm.
• N (danh động từ) </t>
    </r>
    <r>
      <rPr>
        <sz val="10"/>
        <rFont val="Noto Sans CJK SC"/>
        <family val="2"/>
      </rPr>
      <t xml:space="preserve">に 行きます  </t>
    </r>
    <r>
      <rPr>
        <sz val="10"/>
        <rFont val="Arial"/>
        <family val="0"/>
        <charset val="1"/>
      </rPr>
      <t xml:space="preserve">(Đi để làm việc gì đó (với danh từ hành động).)
   Ví dụ: </t>
    </r>
    <r>
      <rPr>
        <sz val="10"/>
        <rFont val="Noto Sans CJK SC"/>
        <family val="2"/>
      </rPr>
      <t xml:space="preserve">日本へ 勉強に 来ました。  </t>
    </r>
    <r>
      <rPr>
        <sz val="10"/>
        <rFont val="Arial"/>
        <family val="0"/>
        <charset val="1"/>
      </rPr>
      <t xml:space="preserve">= Tôi đến Nhật để học.
→ Làm </t>
    </r>
    <r>
      <rPr>
        <sz val="10"/>
        <rFont val="Noto Sans CJK SC"/>
        <family val="2"/>
      </rPr>
      <t xml:space="preserve">練習</t>
    </r>
    <r>
      <rPr>
        <sz val="10"/>
        <rFont val="Arial"/>
        <family val="0"/>
        <charset val="1"/>
      </rPr>
      <t xml:space="preserve">A của bài 13 trong sách, mỗi mẫu tự đặt 3 câu.</t>
    </r>
  </si>
  <si>
    <r>
      <rPr>
        <sz val="10"/>
        <rFont val="Arial"/>
        <family val="0"/>
        <charset val="1"/>
      </rPr>
      <t xml:space="preserve">Từ mới Minna bài 13:
• </t>
    </r>
    <r>
      <rPr>
        <sz val="10"/>
        <rFont val="Noto Sans CJK SC"/>
        <family val="2"/>
      </rPr>
      <t xml:space="preserve">けっこんします（結婚します） </t>
    </r>
    <r>
      <rPr>
        <sz val="10"/>
        <rFont val="Arial"/>
        <family val="0"/>
        <charset val="1"/>
      </rPr>
      <t xml:space="preserve">= Kết hôn
   Mẹo: Đi với trợ từ </t>
    </r>
    <r>
      <rPr>
        <sz val="10"/>
        <rFont val="Noto Sans CJK SC"/>
        <family val="2"/>
      </rPr>
      <t xml:space="preserve">と</t>
    </r>
    <r>
      <rPr>
        <sz val="10"/>
        <rFont val="Arial"/>
        <family val="0"/>
        <charset val="1"/>
      </rPr>
      <t xml:space="preserve">: </t>
    </r>
    <r>
      <rPr>
        <sz val="10"/>
        <rFont val="Noto Sans CJK SC"/>
        <family val="2"/>
      </rPr>
      <t xml:space="preserve">田中さんと 結婚します。
• おなか </t>
    </r>
    <r>
      <rPr>
        <sz val="10"/>
        <rFont val="Arial"/>
        <family val="0"/>
        <charset val="1"/>
      </rPr>
      <t xml:space="preserve">= Bụng
   Mẹo: </t>
    </r>
    <r>
      <rPr>
        <sz val="10"/>
        <rFont val="Noto Sans CJK SC"/>
        <family val="2"/>
      </rPr>
      <t xml:space="preserve">おなかが すきました </t>
    </r>
    <r>
      <rPr>
        <sz val="10"/>
        <rFont val="Arial"/>
        <family val="0"/>
        <charset val="1"/>
      </rPr>
      <t xml:space="preserve">= đói bụng (bụng đã rỗng).
• </t>
    </r>
    <r>
      <rPr>
        <sz val="10"/>
        <rFont val="Noto Sans CJK SC"/>
        <family val="2"/>
      </rPr>
      <t xml:space="preserve">のど </t>
    </r>
    <r>
      <rPr>
        <sz val="10"/>
        <rFont val="Arial"/>
        <family val="0"/>
        <charset val="1"/>
      </rPr>
      <t xml:space="preserve">= Cổ họng
   Mẹo: </t>
    </r>
    <r>
      <rPr>
        <sz val="10"/>
        <rFont val="Noto Sans CJK SC"/>
        <family val="2"/>
      </rPr>
      <t xml:space="preserve">のどが かわきました </t>
    </r>
    <r>
      <rPr>
        <sz val="10"/>
        <rFont val="Arial"/>
        <family val="0"/>
        <charset val="1"/>
      </rPr>
      <t xml:space="preserve">= khát nước (họng đã khô).
• </t>
    </r>
    <r>
      <rPr>
        <sz val="10"/>
        <rFont val="Noto Sans CJK SC"/>
        <family val="2"/>
      </rPr>
      <t xml:space="preserve">プール </t>
    </r>
    <r>
      <rPr>
        <sz val="10"/>
        <rFont val="Arial"/>
        <family val="0"/>
        <charset val="1"/>
      </rPr>
      <t xml:space="preserve">= Bể bơi
   Mẹo: Từ 'pool'.
• </t>
    </r>
    <r>
      <rPr>
        <sz val="10"/>
        <rFont val="Noto Sans CJK SC"/>
        <family val="2"/>
      </rPr>
      <t xml:space="preserve">びじゅつかん（美術館） </t>
    </r>
    <r>
      <rPr>
        <sz val="10"/>
        <rFont val="Arial"/>
        <family val="0"/>
        <charset val="1"/>
      </rPr>
      <t xml:space="preserve">= Bảo tàng mỹ thuật
   Mẹo: MỸ THUẬT QUÁN. </t>
    </r>
    <r>
      <rPr>
        <sz val="10"/>
        <rFont val="Noto Sans CJK SC"/>
        <family val="2"/>
      </rPr>
      <t xml:space="preserve">館 </t>
    </r>
    <r>
      <rPr>
        <sz val="10"/>
        <rFont val="Arial"/>
        <family val="0"/>
        <charset val="1"/>
      </rPr>
      <t xml:space="preserve">(quán) = tòa nhà lớn: </t>
    </r>
    <r>
      <rPr>
        <sz val="10"/>
        <rFont val="Noto Sans CJK SC"/>
        <family val="2"/>
      </rPr>
      <t xml:space="preserve">図書館</t>
    </r>
    <r>
      <rPr>
        <sz val="10"/>
        <rFont val="Arial"/>
        <family val="0"/>
        <charset val="1"/>
      </rPr>
      <t xml:space="preserve">, </t>
    </r>
    <r>
      <rPr>
        <sz val="10"/>
        <rFont val="Noto Sans CJK SC"/>
        <family val="2"/>
      </rPr>
      <t xml:space="preserve">大使館</t>
    </r>
    <r>
      <rPr>
        <sz val="10"/>
        <rFont val="Arial"/>
        <family val="0"/>
        <charset val="1"/>
      </rPr>
      <t xml:space="preserve">.
• </t>
    </r>
    <r>
      <rPr>
        <sz val="10"/>
        <rFont val="Noto Sans CJK SC"/>
        <family val="2"/>
      </rPr>
      <t xml:space="preserve">おんせん（温泉） </t>
    </r>
    <r>
      <rPr>
        <sz val="10"/>
        <rFont val="Arial"/>
        <family val="0"/>
        <charset val="1"/>
      </rPr>
      <t xml:space="preserve">= Suối nước nóng
   Mẹo: ÔN TUYỀN = suối ấm. </t>
    </r>
    <r>
      <rPr>
        <sz val="10"/>
        <rFont val="Noto Sans CJK SC"/>
        <family val="2"/>
      </rPr>
      <t xml:space="preserve">温 </t>
    </r>
    <r>
      <rPr>
        <sz val="10"/>
        <rFont val="Arial"/>
        <family val="0"/>
        <charset val="1"/>
      </rPr>
      <t xml:space="preserve">có </t>
    </r>
    <r>
      <rPr>
        <sz val="10"/>
        <rFont val="Noto Sans CJK SC"/>
        <family val="2"/>
      </rPr>
      <t xml:space="preserve">氵 </t>
    </r>
    <r>
      <rPr>
        <sz val="10"/>
        <rFont val="Arial"/>
        <family val="0"/>
        <charset val="1"/>
      </rPr>
      <t xml:space="preserve">(nước) + </t>
    </r>
    <r>
      <rPr>
        <sz val="10"/>
        <rFont val="Noto Sans CJK SC"/>
        <family val="2"/>
      </rPr>
      <t xml:space="preserve">日 </t>
    </r>
    <r>
      <rPr>
        <sz val="10"/>
        <rFont val="Arial"/>
        <family val="0"/>
        <charset val="1"/>
      </rPr>
      <t xml:space="preserve">(mặt trời).
• </t>
    </r>
    <r>
      <rPr>
        <sz val="10"/>
        <rFont val="Noto Sans CJK SC"/>
        <family val="2"/>
      </rPr>
      <t xml:space="preserve">どこか </t>
    </r>
    <r>
      <rPr>
        <sz val="10"/>
        <rFont val="Arial"/>
        <family val="0"/>
        <charset val="1"/>
      </rPr>
      <t xml:space="preserve">/ </t>
    </r>
    <r>
      <rPr>
        <sz val="10"/>
        <rFont val="Noto Sans CJK SC"/>
        <family val="2"/>
      </rPr>
      <t xml:space="preserve">なにか </t>
    </r>
    <r>
      <rPr>
        <sz val="10"/>
        <rFont val="Arial"/>
        <family val="0"/>
        <charset val="1"/>
      </rPr>
      <t xml:space="preserve">= Đâu đó / cái gì đó
   Mẹo: Thêm </t>
    </r>
    <r>
      <rPr>
        <sz val="10"/>
        <rFont val="Noto Sans CJK SC"/>
        <family val="2"/>
      </rPr>
      <t xml:space="preserve">か </t>
    </r>
    <r>
      <rPr>
        <sz val="10"/>
        <rFont val="Arial"/>
        <family val="0"/>
        <charset val="1"/>
      </rPr>
      <t xml:space="preserve">vào từ để hỏi → thành từ bất định.
→ Đối chiếu thêm với mục </t>
    </r>
    <r>
      <rPr>
        <sz val="10"/>
        <rFont val="Noto Sans CJK SC"/>
        <family val="2"/>
      </rPr>
      <t xml:space="preserve">語彙 </t>
    </r>
    <r>
      <rPr>
        <sz val="10"/>
        <rFont val="Arial"/>
        <family val="0"/>
        <charset val="1"/>
      </rPr>
      <t xml:space="preserve">của bài 13 trong sách để bổ sung.</t>
    </r>
  </si>
  <si>
    <r>
      <rPr>
        <b val="true"/>
        <sz val="12"/>
        <color rgb="FF1F3864"/>
        <rFont val="Arial"/>
        <family val="0"/>
        <charset val="1"/>
      </rPr>
      <t xml:space="preserve">NGÀY 45  ·  Tuần 7  ·  Minna Bài 14 (1/3)  ·  Thể </t>
    </r>
    <r>
      <rPr>
        <b val="true"/>
        <sz val="12"/>
        <color rgb="FF1F3864"/>
        <rFont val="Noto Sans CJK SC"/>
        <family val="2"/>
      </rPr>
      <t xml:space="preserve">て </t>
    </r>
    <r>
      <rPr>
        <b val="true"/>
        <sz val="12"/>
        <color rgb="FF1F3864"/>
        <rFont val="Arial"/>
        <family val="0"/>
        <charset val="1"/>
      </rPr>
      <t xml:space="preserve">&amp; Yêu cầu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</si>
  <si>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大 </t>
    </r>
    <r>
      <rPr>
        <sz val="10"/>
        <rFont val="Arial"/>
        <family val="0"/>
        <charset val="1"/>
      </rPr>
      <t xml:space="preserve">(</t>
    </r>
    <r>
      <rPr>
        <sz val="10"/>
        <rFont val="Noto Sans CJK SC"/>
        <family val="2"/>
      </rPr>
      <t xml:space="preserve">だい</t>
    </r>
    <r>
      <rPr>
        <sz val="10"/>
        <rFont val="Arial"/>
        <family val="0"/>
        <charset val="1"/>
      </rPr>
      <t xml:space="preserve">) = To, lớn
   Mẹo nhớ: Người dang rộng hai tay
   Kanji chứa bộ này: </t>
    </r>
    <r>
      <rPr>
        <sz val="10"/>
        <rFont val="Noto Sans CJK SC"/>
        <family val="2"/>
      </rPr>
      <t xml:space="preserve">大・天・太・犬</t>
    </r>
  </si>
  <si>
    <r>
      <rPr>
        <sz val="10"/>
        <rFont val="Arial"/>
        <family val="0"/>
        <charset val="1"/>
      </rPr>
      <t xml:space="preserve">Học 2 chữ. Mỗi chữ viết tay 10 lần đúng thứ tự nét.
• </t>
    </r>
    <r>
      <rPr>
        <sz val="10"/>
        <rFont val="Noto Sans CJK SC"/>
        <family val="2"/>
      </rPr>
      <t xml:space="preserve">安 </t>
    </r>
    <r>
      <rPr>
        <sz val="10"/>
        <rFont val="Arial"/>
        <family val="0"/>
        <charset val="1"/>
      </rPr>
      <t xml:space="preserve">[AN] Rẻ, yên tâm — On: </t>
    </r>
    <r>
      <rPr>
        <sz val="10"/>
        <rFont val="Noto Sans CJK SC"/>
        <family val="2"/>
      </rPr>
      <t xml:space="preserve">アン </t>
    </r>
    <r>
      <rPr>
        <sz val="10"/>
        <rFont val="Arial"/>
        <family val="0"/>
        <charset val="1"/>
      </rPr>
      <t xml:space="preserve">/ Kun: </t>
    </r>
    <r>
      <rPr>
        <sz val="10"/>
        <rFont val="Noto Sans CJK SC"/>
        <family val="2"/>
      </rPr>
      <t xml:space="preserve">やす</t>
    </r>
    <r>
      <rPr>
        <sz val="10"/>
        <rFont val="Arial"/>
        <family val="0"/>
        <charset val="1"/>
      </rPr>
      <t xml:space="preserve">(</t>
    </r>
    <r>
      <rPr>
        <sz val="10"/>
        <rFont val="Noto Sans CJK SC"/>
        <family val="2"/>
      </rPr>
      <t xml:space="preserve">い</t>
    </r>
    <r>
      <rPr>
        <sz val="10"/>
        <rFont val="Arial"/>
        <family val="0"/>
        <charset val="1"/>
      </rPr>
      <t xml:space="preserve">) (6 nét)
   Từ ghép: </t>
    </r>
    <r>
      <rPr>
        <sz val="10"/>
        <rFont val="Noto Sans CJK SC"/>
        <family val="2"/>
      </rPr>
      <t xml:space="preserve">安い </t>
    </r>
    <r>
      <rPr>
        <sz val="10"/>
        <rFont val="Arial"/>
        <family val="0"/>
        <charset val="1"/>
      </rPr>
      <t xml:space="preserve">(</t>
    </r>
    <r>
      <rPr>
        <sz val="10"/>
        <rFont val="Noto Sans CJK SC"/>
        <family val="2"/>
      </rPr>
      <t xml:space="preserve">やすい</t>
    </r>
    <r>
      <rPr>
        <sz val="10"/>
        <rFont val="Arial"/>
        <family val="0"/>
        <charset val="1"/>
      </rPr>
      <t xml:space="preserve">) rẻ </t>
    </r>
    <r>
      <rPr>
        <sz val="10"/>
        <rFont val="Noto Sans CJK SC"/>
        <family val="2"/>
      </rPr>
      <t xml:space="preserve">・ 安心 </t>
    </r>
    <r>
      <rPr>
        <sz val="10"/>
        <rFont val="Arial"/>
        <family val="0"/>
        <charset val="1"/>
      </rPr>
      <t xml:space="preserve">(</t>
    </r>
    <r>
      <rPr>
        <sz val="10"/>
        <rFont val="Noto Sans CJK SC"/>
        <family val="2"/>
      </rPr>
      <t xml:space="preserve">あんしん</t>
    </r>
    <r>
      <rPr>
        <sz val="10"/>
        <rFont val="Arial"/>
        <family val="0"/>
        <charset val="1"/>
      </rPr>
      <t xml:space="preserve">) yên tâm </t>
    </r>
    <r>
      <rPr>
        <sz val="10"/>
        <rFont val="Noto Sans CJK SC"/>
        <family val="2"/>
      </rPr>
      <t xml:space="preserve">・ 安全 </t>
    </r>
    <r>
      <rPr>
        <sz val="10"/>
        <rFont val="Arial"/>
        <family val="0"/>
        <charset val="1"/>
      </rPr>
      <t xml:space="preserve">(</t>
    </r>
    <r>
      <rPr>
        <sz val="10"/>
        <rFont val="Noto Sans CJK SC"/>
        <family val="2"/>
      </rPr>
      <t xml:space="preserve">あんぜん</t>
    </r>
    <r>
      <rPr>
        <sz val="10"/>
        <rFont val="Arial"/>
        <family val="0"/>
        <charset val="1"/>
      </rPr>
      <t xml:space="preserve">) an toàn
   Mẹo: Bộ </t>
    </r>
    <r>
      <rPr>
        <sz val="10"/>
        <rFont val="Noto Sans CJK SC"/>
        <family val="2"/>
      </rPr>
      <t xml:space="preserve">宀 </t>
    </r>
    <r>
      <rPr>
        <sz val="10"/>
        <rFont val="Arial"/>
        <family val="0"/>
        <charset val="1"/>
      </rPr>
      <t xml:space="preserve">(mái nhà) che chở </t>
    </r>
    <r>
      <rPr>
        <sz val="10"/>
        <rFont val="Noto Sans CJK SC"/>
        <family val="2"/>
      </rPr>
      <t xml:space="preserve">女 </t>
    </r>
    <r>
      <rPr>
        <sz val="10"/>
        <rFont val="Arial"/>
        <family val="0"/>
        <charset val="1"/>
      </rPr>
      <t xml:space="preserve">(người phụ nữ) = ở trong nhà thì AN toàn, yên tâm. Yên tâm mua → giá RẺ.
• </t>
    </r>
    <r>
      <rPr>
        <sz val="10"/>
        <rFont val="Noto Sans CJK SC"/>
        <family val="2"/>
      </rPr>
      <t xml:space="preserve">女 </t>
    </r>
    <r>
      <rPr>
        <sz val="10"/>
        <rFont val="Arial"/>
        <family val="0"/>
        <charset val="1"/>
      </rPr>
      <t xml:space="preserve">[NỮ] Nữ, phụ nữ — On: </t>
    </r>
    <r>
      <rPr>
        <sz val="10"/>
        <rFont val="Noto Sans CJK SC"/>
        <family val="2"/>
      </rPr>
      <t xml:space="preserve">ジョ </t>
    </r>
    <r>
      <rPr>
        <sz val="10"/>
        <rFont val="Arial"/>
        <family val="0"/>
        <charset val="1"/>
      </rPr>
      <t xml:space="preserve">/ Kun: </t>
    </r>
    <r>
      <rPr>
        <sz val="10"/>
        <rFont val="Noto Sans CJK SC"/>
        <family val="2"/>
      </rPr>
      <t xml:space="preserve">おんな </t>
    </r>
    <r>
      <rPr>
        <sz val="10"/>
        <rFont val="Arial"/>
        <family val="0"/>
        <charset val="1"/>
      </rPr>
      <t xml:space="preserve">(3 nét)
   Từ ghép: </t>
    </r>
    <r>
      <rPr>
        <sz val="10"/>
        <rFont val="Noto Sans CJK SC"/>
        <family val="2"/>
      </rPr>
      <t xml:space="preserve">女の人 </t>
    </r>
    <r>
      <rPr>
        <sz val="10"/>
        <rFont val="Arial"/>
        <family val="0"/>
        <charset val="1"/>
      </rPr>
      <t xml:space="preserve">(</t>
    </r>
    <r>
      <rPr>
        <sz val="10"/>
        <rFont val="Noto Sans CJK SC"/>
        <family val="2"/>
      </rPr>
      <t xml:space="preserve">おんなのひと</t>
    </r>
    <r>
      <rPr>
        <sz val="10"/>
        <rFont val="Arial"/>
        <family val="0"/>
        <charset val="1"/>
      </rPr>
      <t xml:space="preserve">) phụ nữ </t>
    </r>
    <r>
      <rPr>
        <sz val="10"/>
        <rFont val="Noto Sans CJK SC"/>
        <family val="2"/>
      </rPr>
      <t xml:space="preserve">・ 女子 </t>
    </r>
    <r>
      <rPr>
        <sz val="10"/>
        <rFont val="Arial"/>
        <family val="0"/>
        <charset val="1"/>
      </rPr>
      <t xml:space="preserve">(</t>
    </r>
    <r>
      <rPr>
        <sz val="10"/>
        <rFont val="Noto Sans CJK SC"/>
        <family val="2"/>
      </rPr>
      <t xml:space="preserve">じょし</t>
    </r>
    <r>
      <rPr>
        <sz val="10"/>
        <rFont val="Arial"/>
        <family val="0"/>
        <charset val="1"/>
      </rPr>
      <t xml:space="preserve">) nữ giới </t>
    </r>
    <r>
      <rPr>
        <sz val="10"/>
        <rFont val="Noto Sans CJK SC"/>
        <family val="2"/>
      </rPr>
      <t xml:space="preserve">・ 彼女 </t>
    </r>
    <r>
      <rPr>
        <sz val="10"/>
        <rFont val="Arial"/>
        <family val="0"/>
        <charset val="1"/>
      </rPr>
      <t xml:space="preserve">(</t>
    </r>
    <r>
      <rPr>
        <sz val="10"/>
        <rFont val="Noto Sans CJK SC"/>
        <family val="2"/>
      </rPr>
      <t xml:space="preserve">かのじょ</t>
    </r>
    <r>
      <rPr>
        <sz val="10"/>
        <rFont val="Arial"/>
        <family val="0"/>
        <charset val="1"/>
      </rPr>
      <t xml:space="preserve">) cô ấy
   Mẹo: Dáng người phụ nữ đang quỳ, hai tay đặt trước gối.</t>
    </r>
  </si>
  <si>
    <r>
      <rPr>
        <sz val="10"/>
        <rFont val="Arial"/>
        <family val="0"/>
        <charset val="1"/>
      </rPr>
      <t xml:space="preserve">Minna bài 14 (1/3) — Thể </t>
    </r>
    <r>
      <rPr>
        <sz val="10"/>
        <rFont val="Noto Sans CJK SC"/>
        <family val="2"/>
      </rPr>
      <t xml:space="preserve">て </t>
    </r>
    <r>
      <rPr>
        <sz val="10"/>
        <rFont val="Arial"/>
        <family val="0"/>
        <charset val="1"/>
      </rPr>
      <t xml:space="preserve">&amp; Yêu cầu
• Cách chia thể </t>
    </r>
    <r>
      <rPr>
        <sz val="10"/>
        <rFont val="Noto Sans CJK SC"/>
        <family val="2"/>
      </rPr>
      <t xml:space="preserve">て  </t>
    </r>
    <r>
      <rPr>
        <sz val="10"/>
        <rFont val="Arial"/>
        <family val="0"/>
        <charset val="1"/>
      </rPr>
      <t xml:space="preserve">(Nhóm I: </t>
    </r>
    <r>
      <rPr>
        <sz val="10"/>
        <rFont val="Noto Sans CJK SC"/>
        <family val="2"/>
      </rPr>
      <t xml:space="preserve">き→いて</t>
    </r>
    <r>
      <rPr>
        <sz val="10"/>
        <rFont val="Arial"/>
        <family val="0"/>
        <charset val="1"/>
      </rPr>
      <t xml:space="preserve">, </t>
    </r>
    <r>
      <rPr>
        <sz val="10"/>
        <rFont val="Noto Sans CJK SC"/>
        <family val="2"/>
      </rPr>
      <t xml:space="preserve">ぎ→いで</t>
    </r>
    <r>
      <rPr>
        <sz val="10"/>
        <rFont val="Arial"/>
        <family val="0"/>
        <charset val="1"/>
      </rPr>
      <t xml:space="preserve">, </t>
    </r>
    <r>
      <rPr>
        <sz val="10"/>
        <rFont val="Noto Sans CJK SC"/>
        <family val="2"/>
      </rPr>
      <t xml:space="preserve">み</t>
    </r>
    <r>
      <rPr>
        <sz val="10"/>
        <rFont val="Arial"/>
        <family val="0"/>
        <charset val="1"/>
      </rPr>
      <t xml:space="preserve">/</t>
    </r>
    <r>
      <rPr>
        <sz val="10"/>
        <rFont val="Noto Sans CJK SC"/>
        <family val="2"/>
      </rPr>
      <t xml:space="preserve">び</t>
    </r>
    <r>
      <rPr>
        <sz val="10"/>
        <rFont val="Arial"/>
        <family val="0"/>
        <charset val="1"/>
      </rPr>
      <t xml:space="preserve">/</t>
    </r>
    <r>
      <rPr>
        <sz val="10"/>
        <rFont val="Noto Sans CJK SC"/>
        <family val="2"/>
      </rPr>
      <t xml:space="preserve">に→んで</t>
    </r>
    <r>
      <rPr>
        <sz val="10"/>
        <rFont val="Arial"/>
        <family val="0"/>
        <charset val="1"/>
      </rPr>
      <t xml:space="preserve">, </t>
    </r>
    <r>
      <rPr>
        <sz val="10"/>
        <rFont val="Noto Sans CJK SC"/>
        <family val="2"/>
      </rPr>
      <t xml:space="preserve">ち</t>
    </r>
    <r>
      <rPr>
        <sz val="10"/>
        <rFont val="Arial"/>
        <family val="0"/>
        <charset val="1"/>
      </rPr>
      <t xml:space="preserve">/</t>
    </r>
    <r>
      <rPr>
        <sz val="10"/>
        <rFont val="Noto Sans CJK SC"/>
        <family val="2"/>
      </rPr>
      <t xml:space="preserve">り</t>
    </r>
    <r>
      <rPr>
        <sz val="10"/>
        <rFont val="Arial"/>
        <family val="0"/>
        <charset val="1"/>
      </rPr>
      <t xml:space="preserve">/</t>
    </r>
    <r>
      <rPr>
        <sz val="10"/>
        <rFont val="Noto Sans CJK SC"/>
        <family val="2"/>
      </rPr>
      <t xml:space="preserve">い→って</t>
    </r>
    <r>
      <rPr>
        <sz val="10"/>
        <rFont val="Arial"/>
        <family val="0"/>
        <charset val="1"/>
      </rPr>
      <t xml:space="preserve">, </t>
    </r>
    <r>
      <rPr>
        <sz val="10"/>
        <rFont val="Noto Sans CJK SC"/>
        <family val="2"/>
      </rPr>
      <t xml:space="preserve">し→して </t>
    </r>
    <r>
      <rPr>
        <sz val="10"/>
        <rFont val="Arial"/>
        <family val="0"/>
        <charset val="1"/>
      </rPr>
      <t xml:space="preserve">(</t>
    </r>
    <r>
      <rPr>
        <sz val="10"/>
        <rFont val="Noto Sans CJK SC"/>
        <family val="2"/>
      </rPr>
      <t xml:space="preserve">行きます→行って </t>
    </r>
    <r>
      <rPr>
        <sz val="10"/>
        <rFont val="Arial"/>
        <family val="0"/>
        <charset val="1"/>
      </rPr>
      <t xml:space="preserve">là ngoại lệ). Nhóm II: bỏ </t>
    </r>
    <r>
      <rPr>
        <sz val="10"/>
        <rFont val="Noto Sans CJK SC"/>
        <family val="2"/>
      </rPr>
      <t xml:space="preserve">ます </t>
    </r>
    <r>
      <rPr>
        <sz val="10"/>
        <rFont val="Arial"/>
        <family val="0"/>
        <charset val="1"/>
      </rPr>
      <t xml:space="preserve">thêm </t>
    </r>
    <r>
      <rPr>
        <sz val="10"/>
        <rFont val="Noto Sans CJK SC"/>
        <family val="2"/>
      </rPr>
      <t xml:space="preserve">て</t>
    </r>
    <r>
      <rPr>
        <sz val="10"/>
        <rFont val="Arial"/>
        <family val="0"/>
        <charset val="1"/>
      </rPr>
      <t xml:space="preserve">. Nhóm III: </t>
    </r>
    <r>
      <rPr>
        <sz val="10"/>
        <rFont val="Noto Sans CJK SC"/>
        <family val="2"/>
      </rPr>
      <t xml:space="preserve">します→して</t>
    </r>
    <r>
      <rPr>
        <sz val="10"/>
        <rFont val="Arial"/>
        <family val="0"/>
        <charset val="1"/>
      </rPr>
      <t xml:space="preserve">, </t>
    </r>
    <r>
      <rPr>
        <sz val="10"/>
        <rFont val="Noto Sans CJK SC"/>
        <family val="2"/>
      </rPr>
      <t xml:space="preserve">来ます→来て</t>
    </r>
    <r>
      <rPr>
        <sz val="10"/>
        <rFont val="Arial"/>
        <family val="0"/>
        <charset val="1"/>
      </rPr>
      <t xml:space="preserve">.)
   Ví dụ: </t>
    </r>
    <r>
      <rPr>
        <sz val="10"/>
        <rFont val="Noto Sans CJK SC"/>
        <family val="2"/>
      </rPr>
      <t xml:space="preserve">書きます → 書いて </t>
    </r>
    <r>
      <rPr>
        <sz val="10"/>
        <rFont val="Arial"/>
        <family val="0"/>
        <charset val="1"/>
      </rPr>
      <t xml:space="preserve">/ </t>
    </r>
    <r>
      <rPr>
        <sz val="10"/>
        <rFont val="Noto Sans CJK SC"/>
        <family val="2"/>
      </rPr>
      <t xml:space="preserve">飲みます → 飲んで  </t>
    </r>
    <r>
      <rPr>
        <sz val="10"/>
        <rFont val="Arial"/>
        <family val="0"/>
        <charset val="1"/>
      </rPr>
      <t xml:space="preserve">= viết → viết rồi / uống → uống rồi
• V </t>
    </r>
    <r>
      <rPr>
        <sz val="10"/>
        <rFont val="Noto Sans CJK SC"/>
        <family val="2"/>
      </rPr>
      <t xml:space="preserve">て ください  </t>
    </r>
    <r>
      <rPr>
        <sz val="10"/>
        <rFont val="Arial"/>
        <family val="0"/>
        <charset val="1"/>
      </rPr>
      <t xml:space="preserve">(Xin hãy làm ~. Lời nhờ vả hoặc chỉ dẫn.)
   Ví dụ: </t>
    </r>
    <r>
      <rPr>
        <sz val="10"/>
        <rFont val="Noto Sans CJK SC"/>
        <family val="2"/>
      </rPr>
      <t xml:space="preserve">ちょっと 待って ください。  </t>
    </r>
    <r>
      <rPr>
        <sz val="10"/>
        <rFont val="Arial"/>
        <family val="0"/>
        <charset val="1"/>
      </rPr>
      <t xml:space="preserve">= Xin hãy đợi một chút.
→ Làm </t>
    </r>
    <r>
      <rPr>
        <sz val="10"/>
        <rFont val="Noto Sans CJK SC"/>
        <family val="2"/>
      </rPr>
      <t xml:space="preserve">練習</t>
    </r>
    <r>
      <rPr>
        <sz val="10"/>
        <rFont val="Arial"/>
        <family val="0"/>
        <charset val="1"/>
      </rPr>
      <t xml:space="preserve">A của bài 14 trong sách, mỗi mẫu tự đặt 3 câu.</t>
    </r>
  </si>
  <si>
    <r>
      <rPr>
        <sz val="10"/>
        <rFont val="Arial"/>
        <family val="0"/>
        <charset val="1"/>
      </rPr>
      <t xml:space="preserve">Từ mới Minna bài 14:
• </t>
    </r>
    <r>
      <rPr>
        <sz val="10"/>
        <rFont val="Noto Sans CJK SC"/>
        <family val="2"/>
      </rPr>
      <t xml:space="preserve">つけます </t>
    </r>
    <r>
      <rPr>
        <sz val="10"/>
        <rFont val="Arial"/>
        <family val="0"/>
        <charset val="1"/>
      </rPr>
      <t xml:space="preserve">= Bật (điện, máy)
   Mẹo: Đối lập với </t>
    </r>
    <r>
      <rPr>
        <sz val="10"/>
        <rFont val="Noto Sans CJK SC"/>
        <family val="2"/>
      </rPr>
      <t xml:space="preserve">消します </t>
    </r>
    <r>
      <rPr>
        <sz val="10"/>
        <rFont val="Arial"/>
        <family val="0"/>
        <charset val="1"/>
      </rPr>
      <t xml:space="preserve">(tắt). </t>
    </r>
    <r>
      <rPr>
        <sz val="10"/>
        <rFont val="Noto Sans CJK SC"/>
        <family val="2"/>
      </rPr>
      <t xml:space="preserve">エアコンを つけます。
• けします（消します） </t>
    </r>
    <r>
      <rPr>
        <sz val="10"/>
        <rFont val="Arial"/>
        <family val="0"/>
        <charset val="1"/>
      </rPr>
      <t xml:space="preserve">= Tắt, xóa
   Mẹo: </t>
    </r>
    <r>
      <rPr>
        <sz val="10"/>
        <rFont val="Noto Sans CJK SC"/>
        <family val="2"/>
      </rPr>
      <t xml:space="preserve">消 </t>
    </r>
    <r>
      <rPr>
        <sz val="10"/>
        <rFont val="Arial"/>
        <family val="0"/>
        <charset val="1"/>
      </rPr>
      <t xml:space="preserve">có </t>
    </r>
    <r>
      <rPr>
        <sz val="10"/>
        <rFont val="Noto Sans CJK SC"/>
        <family val="2"/>
      </rPr>
      <t xml:space="preserve">氵 </t>
    </r>
    <r>
      <rPr>
        <sz val="10"/>
        <rFont val="Arial"/>
        <family val="0"/>
        <charset val="1"/>
      </rPr>
      <t xml:space="preserve">(nước) → dội nước làm TẮT lửa.
• </t>
    </r>
    <r>
      <rPr>
        <sz val="10"/>
        <rFont val="Noto Sans CJK SC"/>
        <family val="2"/>
      </rPr>
      <t xml:space="preserve">あけます（開けます） </t>
    </r>
    <r>
      <rPr>
        <sz val="10"/>
        <rFont val="Arial"/>
        <family val="0"/>
        <charset val="1"/>
      </rPr>
      <t xml:space="preserve">= Mở
   Mẹo: </t>
    </r>
    <r>
      <rPr>
        <sz val="10"/>
        <rFont val="Noto Sans CJK SC"/>
        <family val="2"/>
      </rPr>
      <t xml:space="preserve">開 </t>
    </r>
    <r>
      <rPr>
        <sz val="10"/>
        <rFont val="Arial"/>
        <family val="0"/>
        <charset val="1"/>
      </rPr>
      <t xml:space="preserve">có bộ </t>
    </r>
    <r>
      <rPr>
        <sz val="10"/>
        <rFont val="Noto Sans CJK SC"/>
        <family val="2"/>
      </rPr>
      <t xml:space="preserve">門 </t>
    </r>
    <r>
      <rPr>
        <sz val="10"/>
        <rFont val="Arial"/>
        <family val="0"/>
        <charset val="1"/>
      </rPr>
      <t xml:space="preserve">(cửa) → mở cánh cửa.
• </t>
    </r>
    <r>
      <rPr>
        <sz val="10"/>
        <rFont val="Noto Sans CJK SC"/>
        <family val="2"/>
      </rPr>
      <t xml:space="preserve">しめます（閉めます） </t>
    </r>
    <r>
      <rPr>
        <sz val="10"/>
        <rFont val="Arial"/>
        <family val="0"/>
        <charset val="1"/>
      </rPr>
      <t xml:space="preserve">= Đóng
   Mẹo: </t>
    </r>
    <r>
      <rPr>
        <sz val="10"/>
        <rFont val="Noto Sans CJK SC"/>
        <family val="2"/>
      </rPr>
      <t xml:space="preserve">閉 </t>
    </r>
    <r>
      <rPr>
        <sz val="10"/>
        <rFont val="Arial"/>
        <family val="0"/>
        <charset val="1"/>
      </rPr>
      <t xml:space="preserve">cũng có </t>
    </r>
    <r>
      <rPr>
        <sz val="10"/>
        <rFont val="Noto Sans CJK SC"/>
        <family val="2"/>
      </rPr>
      <t xml:space="preserve">門</t>
    </r>
    <r>
      <rPr>
        <sz val="10"/>
        <rFont val="Arial"/>
        <family val="0"/>
        <charset val="1"/>
      </rPr>
      <t xml:space="preserve">, bên trong có then cài → ĐÓNG lại.
• </t>
    </r>
    <r>
      <rPr>
        <sz val="10"/>
        <rFont val="Noto Sans CJK SC"/>
        <family val="2"/>
      </rPr>
      <t xml:space="preserve">いそぎます（急ぎます） </t>
    </r>
    <r>
      <rPr>
        <sz val="10"/>
        <rFont val="Arial"/>
        <family val="0"/>
        <charset val="1"/>
      </rPr>
      <t xml:space="preserve">= Vội, gấp
   Mẹo: </t>
    </r>
    <r>
      <rPr>
        <sz val="10"/>
        <rFont val="Noto Sans CJK SC"/>
        <family val="2"/>
      </rPr>
      <t xml:space="preserve">急 </t>
    </r>
    <r>
      <rPr>
        <sz val="10"/>
        <rFont val="Arial"/>
        <family val="0"/>
        <charset val="1"/>
      </rPr>
      <t xml:space="preserve">có bộ </t>
    </r>
    <r>
      <rPr>
        <sz val="10"/>
        <rFont val="Noto Sans CJK SC"/>
        <family val="2"/>
      </rPr>
      <t xml:space="preserve">心 </t>
    </r>
    <r>
      <rPr>
        <sz val="10"/>
        <rFont val="Arial"/>
        <family val="0"/>
        <charset val="1"/>
      </rPr>
      <t xml:space="preserve">(tim) → tim đập nhanh vì VỘI.
→ Đối chiếu thêm với mục </t>
    </r>
    <r>
      <rPr>
        <sz val="10"/>
        <rFont val="Noto Sans CJK SC"/>
        <family val="2"/>
      </rPr>
      <t xml:space="preserve">語彙 </t>
    </r>
    <r>
      <rPr>
        <sz val="10"/>
        <rFont val="Arial"/>
        <family val="0"/>
        <charset val="1"/>
      </rPr>
      <t xml:space="preserve">của bài 14 trong sách để bổ sung.</t>
    </r>
  </si>
  <si>
    <t xml:space="preserve">GIAI ĐOẠN 2B · NGÀY 46–77 · MINNA BÀI 14–25</t>
  </si>
  <si>
    <r>
      <rPr>
        <b val="true"/>
        <sz val="12"/>
        <color rgb="FF1F3864"/>
        <rFont val="Arial"/>
        <family val="0"/>
        <charset val="1"/>
      </rPr>
      <t xml:space="preserve">NGÀY 46  ·  Tuần 7  ·  Minna Bài 14 (2/3)  ·  Thể </t>
    </r>
    <r>
      <rPr>
        <b val="true"/>
        <sz val="12"/>
        <color rgb="FF1F3864"/>
        <rFont val="Noto Sans CJK SC"/>
        <family val="2"/>
      </rPr>
      <t xml:space="preserve">て </t>
    </r>
    <r>
      <rPr>
        <b val="true"/>
        <sz val="12"/>
        <color rgb="FF1F3864"/>
        <rFont val="Arial"/>
        <family val="0"/>
        <charset val="1"/>
      </rPr>
      <t xml:space="preserve">&amp; Yêu cầu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</si>
  <si>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小 </t>
    </r>
    <r>
      <rPr>
        <sz val="10"/>
        <rFont val="Arial"/>
        <family val="0"/>
        <charset val="1"/>
      </rPr>
      <t xml:space="preserve">(</t>
    </r>
    <r>
      <rPr>
        <sz val="10"/>
        <rFont val="Noto Sans CJK SC"/>
        <family val="2"/>
      </rPr>
      <t xml:space="preserve">しょう</t>
    </r>
    <r>
      <rPr>
        <sz val="10"/>
        <rFont val="Arial"/>
        <family val="0"/>
        <charset val="1"/>
      </rPr>
      <t xml:space="preserve">) = Nhỏ, ít
   Mẹo nhớ: Ba chấm bé xíu
   Kanji chứa bộ này: </t>
    </r>
    <r>
      <rPr>
        <sz val="10"/>
        <rFont val="Noto Sans CJK SC"/>
        <family val="2"/>
      </rPr>
      <t xml:space="preserve">小・少</t>
    </r>
  </si>
  <si>
    <r>
      <rPr>
        <sz val="10"/>
        <rFont val="Arial"/>
        <family val="0"/>
        <charset val="1"/>
      </rPr>
      <t xml:space="preserve">Học 2 chữ. Mỗi chữ viết tay 10 lần đúng thứ tự nét.
• </t>
    </r>
    <r>
      <rPr>
        <sz val="10"/>
        <rFont val="Noto Sans CJK SC"/>
        <family val="2"/>
      </rPr>
      <t xml:space="preserve">北 </t>
    </r>
    <r>
      <rPr>
        <sz val="10"/>
        <rFont val="Arial"/>
        <family val="0"/>
        <charset val="1"/>
      </rPr>
      <t xml:space="preserve">[BẮC] Hướng bắc — On: </t>
    </r>
    <r>
      <rPr>
        <sz val="10"/>
        <rFont val="Noto Sans CJK SC"/>
        <family val="2"/>
      </rPr>
      <t xml:space="preserve">ホク </t>
    </r>
    <r>
      <rPr>
        <sz val="10"/>
        <rFont val="Arial"/>
        <family val="0"/>
        <charset val="1"/>
      </rPr>
      <t xml:space="preserve">/ Kun: </t>
    </r>
    <r>
      <rPr>
        <sz val="10"/>
        <rFont val="Noto Sans CJK SC"/>
        <family val="2"/>
      </rPr>
      <t xml:space="preserve">きた </t>
    </r>
    <r>
      <rPr>
        <sz val="10"/>
        <rFont val="Arial"/>
        <family val="0"/>
        <charset val="1"/>
      </rPr>
      <t xml:space="preserve">(5 nét)
   Từ ghép: </t>
    </r>
    <r>
      <rPr>
        <sz val="10"/>
        <rFont val="Noto Sans CJK SC"/>
        <family val="2"/>
      </rPr>
      <t xml:space="preserve">北 </t>
    </r>
    <r>
      <rPr>
        <sz val="10"/>
        <rFont val="Arial"/>
        <family val="0"/>
        <charset val="1"/>
      </rPr>
      <t xml:space="preserve">(</t>
    </r>
    <r>
      <rPr>
        <sz val="10"/>
        <rFont val="Noto Sans CJK SC"/>
        <family val="2"/>
      </rPr>
      <t xml:space="preserve">きた</t>
    </r>
    <r>
      <rPr>
        <sz val="10"/>
        <rFont val="Arial"/>
        <family val="0"/>
        <charset val="1"/>
      </rPr>
      <t xml:space="preserve">) hướng bắc </t>
    </r>
    <r>
      <rPr>
        <sz val="10"/>
        <rFont val="Noto Sans CJK SC"/>
        <family val="2"/>
      </rPr>
      <t xml:space="preserve">・ 北海道 </t>
    </r>
    <r>
      <rPr>
        <sz val="10"/>
        <rFont val="Arial"/>
        <family val="0"/>
        <charset val="1"/>
      </rPr>
      <t xml:space="preserve">(</t>
    </r>
    <r>
      <rPr>
        <sz val="10"/>
        <rFont val="Noto Sans CJK SC"/>
        <family val="2"/>
      </rPr>
      <t xml:space="preserve">ほっかいどう</t>
    </r>
    <r>
      <rPr>
        <sz val="10"/>
        <rFont val="Arial"/>
        <family val="0"/>
        <charset val="1"/>
      </rPr>
      <t xml:space="preserve">) Hokkaido </t>
    </r>
    <r>
      <rPr>
        <sz val="10"/>
        <rFont val="Noto Sans CJK SC"/>
        <family val="2"/>
      </rPr>
      <t xml:space="preserve">・ 東北 </t>
    </r>
    <r>
      <rPr>
        <sz val="10"/>
        <rFont val="Arial"/>
        <family val="0"/>
        <charset val="1"/>
      </rPr>
      <t xml:space="preserve">(</t>
    </r>
    <r>
      <rPr>
        <sz val="10"/>
        <rFont val="Noto Sans CJK SC"/>
        <family val="2"/>
      </rPr>
      <t xml:space="preserve">とうほく</t>
    </r>
    <r>
      <rPr>
        <sz val="10"/>
        <rFont val="Arial"/>
        <family val="0"/>
        <charset val="1"/>
      </rPr>
      <t xml:space="preserve">) vùng Tohoku
   Mẹo: Hai người quay lưng vào nhau vì trời BẮC quá lạnh, phải dựa lưng sưởi ấm.
• </t>
    </r>
    <r>
      <rPr>
        <sz val="10"/>
        <rFont val="Noto Sans CJK SC"/>
        <family val="2"/>
      </rPr>
      <t xml:space="preserve">午 </t>
    </r>
    <r>
      <rPr>
        <sz val="10"/>
        <rFont val="Arial"/>
        <family val="0"/>
        <charset val="1"/>
      </rPr>
      <t xml:space="preserve">[NGỌ] Giữa trưa — On: </t>
    </r>
    <r>
      <rPr>
        <sz val="10"/>
        <rFont val="Noto Sans CJK SC"/>
        <family val="2"/>
      </rPr>
      <t xml:space="preserve">ゴ </t>
    </r>
    <r>
      <rPr>
        <sz val="10"/>
        <rFont val="Arial"/>
        <family val="0"/>
        <charset val="1"/>
      </rPr>
      <t xml:space="preserve">/ Kun: — (4 nét)
   Từ ghép: </t>
    </r>
    <r>
      <rPr>
        <sz val="10"/>
        <rFont val="Noto Sans CJK SC"/>
        <family val="2"/>
      </rPr>
      <t xml:space="preserve">午前 </t>
    </r>
    <r>
      <rPr>
        <sz val="10"/>
        <rFont val="Arial"/>
        <family val="0"/>
        <charset val="1"/>
      </rPr>
      <t xml:space="preserve">(</t>
    </r>
    <r>
      <rPr>
        <sz val="10"/>
        <rFont val="Noto Sans CJK SC"/>
        <family val="2"/>
      </rPr>
      <t xml:space="preserve">ごぜん</t>
    </r>
    <r>
      <rPr>
        <sz val="10"/>
        <rFont val="Arial"/>
        <family val="0"/>
        <charset val="1"/>
      </rPr>
      <t xml:space="preserve">) buổi sáng </t>
    </r>
    <r>
      <rPr>
        <sz val="10"/>
        <rFont val="Noto Sans CJK SC"/>
        <family val="2"/>
      </rPr>
      <t xml:space="preserve">・ 午後 </t>
    </r>
    <r>
      <rPr>
        <sz val="10"/>
        <rFont val="Arial"/>
        <family val="0"/>
        <charset val="1"/>
      </rPr>
      <t xml:space="preserve">(</t>
    </r>
    <r>
      <rPr>
        <sz val="10"/>
        <rFont val="Noto Sans CJK SC"/>
        <family val="2"/>
      </rPr>
      <t xml:space="preserve">ごご</t>
    </r>
    <r>
      <rPr>
        <sz val="10"/>
        <rFont val="Arial"/>
        <family val="0"/>
        <charset val="1"/>
      </rPr>
      <t xml:space="preserve">) buổi chiều </t>
    </r>
    <r>
      <rPr>
        <sz val="10"/>
        <rFont val="Noto Sans CJK SC"/>
        <family val="2"/>
      </rPr>
      <t xml:space="preserve">・ 正午 </t>
    </r>
    <r>
      <rPr>
        <sz val="10"/>
        <rFont val="Arial"/>
        <family val="0"/>
        <charset val="1"/>
      </rPr>
      <t xml:space="preserve">(</t>
    </r>
    <r>
      <rPr>
        <sz val="10"/>
        <rFont val="Noto Sans CJK SC"/>
        <family val="2"/>
      </rPr>
      <t xml:space="preserve">しょうご</t>
    </r>
    <r>
      <rPr>
        <sz val="10"/>
        <rFont val="Arial"/>
        <family val="0"/>
        <charset val="1"/>
      </rPr>
      <t xml:space="preserve">) chính ngọ
   Mẹo: Giống chữ </t>
    </r>
    <r>
      <rPr>
        <sz val="10"/>
        <rFont val="Noto Sans CJK SC"/>
        <family val="2"/>
      </rPr>
      <t xml:space="preserve">牛 </t>
    </r>
    <r>
      <rPr>
        <sz val="10"/>
        <rFont val="Arial"/>
        <family val="0"/>
        <charset val="1"/>
      </rPr>
      <t xml:space="preserve">(con bò) nhưng thiếu một nét. Giờ NGỌ trong 12 con giáp = 11–13h.</t>
    </r>
  </si>
  <si>
    <r>
      <rPr>
        <sz val="10"/>
        <rFont val="Arial"/>
        <family val="0"/>
        <charset val="1"/>
      </rPr>
      <t xml:space="preserve">Minna bài 14 (2/3) — Thể </t>
    </r>
    <r>
      <rPr>
        <sz val="10"/>
        <rFont val="Noto Sans CJK SC"/>
        <family val="2"/>
      </rPr>
      <t xml:space="preserve">て </t>
    </r>
    <r>
      <rPr>
        <sz val="10"/>
        <rFont val="Arial"/>
        <family val="0"/>
        <charset val="1"/>
      </rPr>
      <t xml:space="preserve">&amp; Yêu cầu
• V </t>
    </r>
    <r>
      <rPr>
        <sz val="10"/>
        <rFont val="Noto Sans CJK SC"/>
        <family val="2"/>
      </rPr>
      <t xml:space="preserve">て います  </t>
    </r>
    <r>
      <rPr>
        <sz val="10"/>
        <rFont val="Arial"/>
        <family val="0"/>
        <charset val="1"/>
      </rPr>
      <t xml:space="preserve">(Đang làm ~ (hành động đang diễn ra).)
   Ví dụ: </t>
    </r>
    <r>
      <rPr>
        <sz val="10"/>
        <rFont val="Noto Sans CJK SC"/>
        <family val="2"/>
      </rPr>
      <t xml:space="preserve">今 雨が 降って います。  </t>
    </r>
    <r>
      <rPr>
        <sz val="10"/>
        <rFont val="Arial"/>
        <family val="0"/>
        <charset val="1"/>
      </rPr>
      <t xml:space="preserve">= Bây giờ trời đang mưa.
→ Làm </t>
    </r>
    <r>
      <rPr>
        <sz val="10"/>
        <rFont val="Noto Sans CJK SC"/>
        <family val="2"/>
      </rPr>
      <t xml:space="preserve">練習</t>
    </r>
    <r>
      <rPr>
        <sz val="10"/>
        <rFont val="Arial"/>
        <family val="0"/>
        <charset val="1"/>
      </rPr>
      <t xml:space="preserve">A của bài 14 trong sách, mỗi mẫu tự đặt 3 câu.</t>
    </r>
  </si>
  <si>
    <r>
      <rPr>
        <sz val="10"/>
        <rFont val="Arial"/>
        <family val="0"/>
        <charset val="1"/>
      </rPr>
      <t xml:space="preserve">Từ mới Minna bài 14:
• </t>
    </r>
    <r>
      <rPr>
        <sz val="10"/>
        <rFont val="Noto Sans CJK SC"/>
        <family val="2"/>
      </rPr>
      <t xml:space="preserve">まちます（待ちます） </t>
    </r>
    <r>
      <rPr>
        <sz val="10"/>
        <rFont val="Arial"/>
        <family val="0"/>
        <charset val="1"/>
      </rPr>
      <t xml:space="preserve">= Đợi
   Mẹo: </t>
    </r>
    <r>
      <rPr>
        <sz val="10"/>
        <rFont val="Noto Sans CJK SC"/>
        <family val="2"/>
      </rPr>
      <t xml:space="preserve">待 </t>
    </r>
    <r>
      <rPr>
        <sz val="10"/>
        <rFont val="Arial"/>
        <family val="0"/>
        <charset val="1"/>
      </rPr>
      <t xml:space="preserve">có bộ </t>
    </r>
    <r>
      <rPr>
        <sz val="10"/>
        <rFont val="Noto Sans CJK SC"/>
        <family val="2"/>
      </rPr>
      <t xml:space="preserve">彳 </t>
    </r>
    <r>
      <rPr>
        <sz val="10"/>
        <rFont val="Arial"/>
        <family val="0"/>
        <charset val="1"/>
      </rPr>
      <t xml:space="preserve">(bước đi) + </t>
    </r>
    <r>
      <rPr>
        <sz val="10"/>
        <rFont val="Noto Sans CJK SC"/>
        <family val="2"/>
      </rPr>
      <t xml:space="preserve">寺 </t>
    </r>
    <r>
      <rPr>
        <sz val="10"/>
        <rFont val="Arial"/>
        <family val="0"/>
        <charset val="1"/>
      </rPr>
      <t xml:space="preserve">(chùa) → đứng ở chùa mà ĐỢI.
• </t>
    </r>
    <r>
      <rPr>
        <sz val="10"/>
        <rFont val="Noto Sans CJK SC"/>
        <family val="2"/>
      </rPr>
      <t xml:space="preserve">とめます（止めます） </t>
    </r>
    <r>
      <rPr>
        <sz val="10"/>
        <rFont val="Arial"/>
        <family val="0"/>
        <charset val="1"/>
      </rPr>
      <t xml:space="preserve">= Dừng, đỗ (xe)
   Mẹo: </t>
    </r>
    <r>
      <rPr>
        <sz val="10"/>
        <rFont val="Noto Sans CJK SC"/>
        <family val="2"/>
      </rPr>
      <t xml:space="preserve">止 </t>
    </r>
    <r>
      <rPr>
        <sz val="10"/>
        <rFont val="Arial"/>
        <family val="0"/>
        <charset val="1"/>
      </rPr>
      <t xml:space="preserve">nhìn như bàn chân đứng yên → DỪNG.
• </t>
    </r>
    <r>
      <rPr>
        <sz val="10"/>
        <rFont val="Noto Sans CJK SC"/>
        <family val="2"/>
      </rPr>
      <t xml:space="preserve">まがります（曲がります） </t>
    </r>
    <r>
      <rPr>
        <sz val="10"/>
        <rFont val="Arial"/>
        <family val="0"/>
        <charset val="1"/>
      </rPr>
      <t xml:space="preserve">= Rẽ
   Mẹo: </t>
    </r>
    <r>
      <rPr>
        <sz val="10"/>
        <rFont val="Noto Sans CJK SC"/>
        <family val="2"/>
      </rPr>
      <t xml:space="preserve">曲 </t>
    </r>
    <r>
      <rPr>
        <sz val="10"/>
        <rFont val="Arial"/>
        <family val="0"/>
        <charset val="1"/>
      </rPr>
      <t xml:space="preserve">nhìn như con đường uốn cong → RẼ.
• </t>
    </r>
    <r>
      <rPr>
        <sz val="10"/>
        <rFont val="Noto Sans CJK SC"/>
        <family val="2"/>
      </rPr>
      <t xml:space="preserve">もちます（持ちます） </t>
    </r>
    <r>
      <rPr>
        <sz val="10"/>
        <rFont val="Arial"/>
        <family val="0"/>
        <charset val="1"/>
      </rPr>
      <t xml:space="preserve">= Cầm, mang
   Mẹo: </t>
    </r>
    <r>
      <rPr>
        <sz val="10"/>
        <rFont val="Noto Sans CJK SC"/>
        <family val="2"/>
      </rPr>
      <t xml:space="preserve">持 </t>
    </r>
    <r>
      <rPr>
        <sz val="10"/>
        <rFont val="Arial"/>
        <family val="0"/>
        <charset val="1"/>
      </rPr>
      <t xml:space="preserve">có </t>
    </r>
    <r>
      <rPr>
        <sz val="10"/>
        <rFont val="Noto Sans CJK SC"/>
        <family val="2"/>
      </rPr>
      <t xml:space="preserve">扌 </t>
    </r>
    <r>
      <rPr>
        <sz val="10"/>
        <rFont val="Arial"/>
        <family val="0"/>
        <charset val="1"/>
      </rPr>
      <t xml:space="preserve">(tay) → dùng tay CẦM.
• </t>
    </r>
    <r>
      <rPr>
        <sz val="10"/>
        <rFont val="Noto Sans CJK SC"/>
        <family val="2"/>
      </rPr>
      <t xml:space="preserve">てつだいます（手伝います） </t>
    </r>
    <r>
      <rPr>
        <sz val="10"/>
        <rFont val="Arial"/>
        <family val="0"/>
        <charset val="1"/>
      </rPr>
      <t xml:space="preserve">= Giúp đỡ
   Mẹo: THỦ TRUYỀN = đưa tay ra giúp.
→ Đối chiếu thêm với mục </t>
    </r>
    <r>
      <rPr>
        <sz val="10"/>
        <rFont val="Noto Sans CJK SC"/>
        <family val="2"/>
      </rPr>
      <t xml:space="preserve">語彙 </t>
    </r>
    <r>
      <rPr>
        <sz val="10"/>
        <rFont val="Arial"/>
        <family val="0"/>
        <charset val="1"/>
      </rPr>
      <t xml:space="preserve">của bài 14 trong sách để bổ sung.</t>
    </r>
  </si>
  <si>
    <r>
      <rPr>
        <b val="true"/>
        <sz val="12"/>
        <color rgb="FF1F3864"/>
        <rFont val="Arial"/>
        <family val="0"/>
        <charset val="1"/>
      </rPr>
      <t xml:space="preserve">NGÀY 47  ·  Tuần 7  ·  Minna Bài 14 (3/3)  ·  Thể </t>
    </r>
    <r>
      <rPr>
        <b val="true"/>
        <sz val="12"/>
        <color rgb="FF1F3864"/>
        <rFont val="Noto Sans CJK SC"/>
        <family val="2"/>
      </rPr>
      <t xml:space="preserve">て </t>
    </r>
    <r>
      <rPr>
        <b val="true"/>
        <sz val="12"/>
        <color rgb="FF1F3864"/>
        <rFont val="Arial"/>
        <family val="0"/>
        <charset val="1"/>
      </rPr>
      <t xml:space="preserve">&amp; Yêu cầu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</si>
  <si>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宀 </t>
    </r>
    <r>
      <rPr>
        <sz val="10"/>
        <rFont val="Arial"/>
        <family val="0"/>
        <charset val="1"/>
      </rPr>
      <t xml:space="preserve">(</t>
    </r>
    <r>
      <rPr>
        <sz val="10"/>
        <rFont val="Noto Sans CJK SC"/>
        <family val="2"/>
      </rPr>
      <t xml:space="preserve">うかんむり</t>
    </r>
    <r>
      <rPr>
        <sz val="10"/>
        <rFont val="Arial"/>
        <family val="0"/>
        <charset val="1"/>
      </rPr>
      <t xml:space="preserve">) = Mái nhà, nơi ở
   Mẹo nhớ: Nóc nhà úp lên trên chữ
   Kanji chứa bộ này: </t>
    </r>
    <r>
      <rPr>
        <sz val="10"/>
        <rFont val="Noto Sans CJK SC"/>
        <family val="2"/>
      </rPr>
      <t xml:space="preserve">安・家・室・宿</t>
    </r>
  </si>
  <si>
    <r>
      <rPr>
        <sz val="10"/>
        <rFont val="Arial"/>
        <family val="0"/>
        <charset val="1"/>
      </rPr>
      <t xml:space="preserve">Học 2 chữ. Mỗi chữ viết tay 10 lần đúng thứ tự nét.
• </t>
    </r>
    <r>
      <rPr>
        <sz val="10"/>
        <rFont val="Noto Sans CJK SC"/>
        <family val="2"/>
      </rPr>
      <t xml:space="preserve">百 </t>
    </r>
    <r>
      <rPr>
        <sz val="10"/>
        <rFont val="Arial"/>
        <family val="0"/>
        <charset val="1"/>
      </rPr>
      <t xml:space="preserve">[BÁCH] Trăm — On: </t>
    </r>
    <r>
      <rPr>
        <sz val="10"/>
        <rFont val="Noto Sans CJK SC"/>
        <family val="2"/>
      </rPr>
      <t xml:space="preserve">ヒャク </t>
    </r>
    <r>
      <rPr>
        <sz val="10"/>
        <rFont val="Arial"/>
        <family val="0"/>
        <charset val="1"/>
      </rPr>
      <t xml:space="preserve">/ Kun: — (6 nét)
   Từ ghép: </t>
    </r>
    <r>
      <rPr>
        <sz val="10"/>
        <rFont val="Noto Sans CJK SC"/>
        <family val="2"/>
      </rPr>
      <t xml:space="preserve">百 </t>
    </r>
    <r>
      <rPr>
        <sz val="10"/>
        <rFont val="Arial"/>
        <family val="0"/>
        <charset val="1"/>
      </rPr>
      <t xml:space="preserve">(</t>
    </r>
    <r>
      <rPr>
        <sz val="10"/>
        <rFont val="Noto Sans CJK SC"/>
        <family val="2"/>
      </rPr>
      <t xml:space="preserve">ひゃく</t>
    </r>
    <r>
      <rPr>
        <sz val="10"/>
        <rFont val="Arial"/>
        <family val="0"/>
        <charset val="1"/>
      </rPr>
      <t xml:space="preserve">) một trăm </t>
    </r>
    <r>
      <rPr>
        <sz val="10"/>
        <rFont val="Noto Sans CJK SC"/>
        <family val="2"/>
      </rPr>
      <t xml:space="preserve">・ 三百 </t>
    </r>
    <r>
      <rPr>
        <sz val="10"/>
        <rFont val="Arial"/>
        <family val="0"/>
        <charset val="1"/>
      </rPr>
      <t xml:space="preserve">(</t>
    </r>
    <r>
      <rPr>
        <sz val="10"/>
        <rFont val="Noto Sans CJK SC"/>
        <family val="2"/>
      </rPr>
      <t xml:space="preserve">さんびゃく</t>
    </r>
    <r>
      <rPr>
        <sz val="10"/>
        <rFont val="Arial"/>
        <family val="0"/>
        <charset val="1"/>
      </rPr>
      <t xml:space="preserve">) ba trăm </t>
    </r>
    <r>
      <rPr>
        <sz val="10"/>
        <rFont val="Noto Sans CJK SC"/>
        <family val="2"/>
      </rPr>
      <t xml:space="preserve">・ 八百屋 </t>
    </r>
    <r>
      <rPr>
        <sz val="10"/>
        <rFont val="Arial"/>
        <family val="0"/>
        <charset val="1"/>
      </rPr>
      <t xml:space="preserve">(</t>
    </r>
    <r>
      <rPr>
        <sz val="10"/>
        <rFont val="Noto Sans CJK SC"/>
        <family val="2"/>
      </rPr>
      <t xml:space="preserve">やおや</t>
    </r>
    <r>
      <rPr>
        <sz val="10"/>
        <rFont val="Arial"/>
        <family val="0"/>
        <charset val="1"/>
      </rPr>
      <t xml:space="preserve">) hàng rau
   Mẹo: Số </t>
    </r>
    <r>
      <rPr>
        <sz val="10"/>
        <rFont val="Noto Sans CJK SC"/>
        <family val="2"/>
      </rPr>
      <t xml:space="preserve">一 </t>
    </r>
    <r>
      <rPr>
        <sz val="10"/>
        <rFont val="Arial"/>
        <family val="0"/>
        <charset val="1"/>
      </rPr>
      <t xml:space="preserve">(một) đặt trên </t>
    </r>
    <r>
      <rPr>
        <sz val="10"/>
        <rFont val="Noto Sans CJK SC"/>
        <family val="2"/>
      </rPr>
      <t xml:space="preserve">白 </t>
    </r>
    <r>
      <rPr>
        <sz val="10"/>
        <rFont val="Arial"/>
        <family val="0"/>
        <charset val="1"/>
      </rPr>
      <t xml:space="preserve">(trắng) = một trang giấy trắng ghi đủ 100 gạch.
• </t>
    </r>
    <r>
      <rPr>
        <sz val="10"/>
        <rFont val="Noto Sans CJK SC"/>
        <family val="2"/>
      </rPr>
      <t xml:space="preserve">書 </t>
    </r>
    <r>
      <rPr>
        <sz val="10"/>
        <rFont val="Arial"/>
        <family val="0"/>
        <charset val="1"/>
      </rPr>
      <t xml:space="preserve">[THƯ] Viết — On: </t>
    </r>
    <r>
      <rPr>
        <sz val="10"/>
        <rFont val="Noto Sans CJK SC"/>
        <family val="2"/>
      </rPr>
      <t xml:space="preserve">ショ </t>
    </r>
    <r>
      <rPr>
        <sz val="10"/>
        <rFont val="Arial"/>
        <family val="0"/>
        <charset val="1"/>
      </rPr>
      <t xml:space="preserve">/ Kun: </t>
    </r>
    <r>
      <rPr>
        <sz val="10"/>
        <rFont val="Noto Sans CJK SC"/>
        <family val="2"/>
      </rPr>
      <t xml:space="preserve">か</t>
    </r>
    <r>
      <rPr>
        <sz val="10"/>
        <rFont val="Arial"/>
        <family val="0"/>
        <charset val="1"/>
      </rPr>
      <t xml:space="preserve">(</t>
    </r>
    <r>
      <rPr>
        <sz val="10"/>
        <rFont val="Noto Sans CJK SC"/>
        <family val="2"/>
      </rPr>
      <t xml:space="preserve">く</t>
    </r>
    <r>
      <rPr>
        <sz val="10"/>
        <rFont val="Arial"/>
        <family val="0"/>
        <charset val="1"/>
      </rPr>
      <t xml:space="preserve">) (10 nét)
   Từ ghép: </t>
    </r>
    <r>
      <rPr>
        <sz val="10"/>
        <rFont val="Noto Sans CJK SC"/>
        <family val="2"/>
      </rPr>
      <t xml:space="preserve">書きます </t>
    </r>
    <r>
      <rPr>
        <sz val="10"/>
        <rFont val="Arial"/>
        <family val="0"/>
        <charset val="1"/>
      </rPr>
      <t xml:space="preserve">(</t>
    </r>
    <r>
      <rPr>
        <sz val="10"/>
        <rFont val="Noto Sans CJK SC"/>
        <family val="2"/>
      </rPr>
      <t xml:space="preserve">かきます</t>
    </r>
    <r>
      <rPr>
        <sz val="10"/>
        <rFont val="Arial"/>
        <family val="0"/>
        <charset val="1"/>
      </rPr>
      <t xml:space="preserve">) viết </t>
    </r>
    <r>
      <rPr>
        <sz val="10"/>
        <rFont val="Noto Sans CJK SC"/>
        <family val="2"/>
      </rPr>
      <t xml:space="preserve">・ 辞書 </t>
    </r>
    <r>
      <rPr>
        <sz val="10"/>
        <rFont val="Arial"/>
        <family val="0"/>
        <charset val="1"/>
      </rPr>
      <t xml:space="preserve">(</t>
    </r>
    <r>
      <rPr>
        <sz val="10"/>
        <rFont val="Noto Sans CJK SC"/>
        <family val="2"/>
      </rPr>
      <t xml:space="preserve">じしょ</t>
    </r>
    <r>
      <rPr>
        <sz val="10"/>
        <rFont val="Arial"/>
        <family val="0"/>
        <charset val="1"/>
      </rPr>
      <t xml:space="preserve">) từ điển </t>
    </r>
    <r>
      <rPr>
        <sz val="10"/>
        <rFont val="Noto Sans CJK SC"/>
        <family val="2"/>
      </rPr>
      <t xml:space="preserve">・ 図書館 </t>
    </r>
    <r>
      <rPr>
        <sz val="10"/>
        <rFont val="Arial"/>
        <family val="0"/>
        <charset val="1"/>
      </rPr>
      <t xml:space="preserve">(</t>
    </r>
    <r>
      <rPr>
        <sz val="10"/>
        <rFont val="Noto Sans CJK SC"/>
        <family val="2"/>
      </rPr>
      <t xml:space="preserve">としょかん</t>
    </r>
    <r>
      <rPr>
        <sz val="10"/>
        <rFont val="Arial"/>
        <family val="0"/>
        <charset val="1"/>
      </rPr>
      <t xml:space="preserve">) thư viện
   Mẹo: Phần trên là bàn tay cầm bút, phần dưới là </t>
    </r>
    <r>
      <rPr>
        <sz val="10"/>
        <rFont val="Noto Sans CJK SC"/>
        <family val="2"/>
      </rPr>
      <t xml:space="preserve">日 </t>
    </r>
    <r>
      <rPr>
        <sz val="10"/>
        <rFont val="Arial"/>
        <family val="0"/>
        <charset val="1"/>
      </rPr>
      <t xml:space="preserve">(tờ giấy) = tay cầm bút VIẾT lên giấy.</t>
    </r>
  </si>
  <si>
    <r>
      <rPr>
        <sz val="10"/>
        <rFont val="Arial"/>
        <family val="0"/>
        <charset val="1"/>
      </rPr>
      <t xml:space="preserve">Minna bài 14 (3/3) — Thể </t>
    </r>
    <r>
      <rPr>
        <sz val="10"/>
        <rFont val="Noto Sans CJK SC"/>
        <family val="2"/>
      </rPr>
      <t xml:space="preserve">て </t>
    </r>
    <r>
      <rPr>
        <sz val="10"/>
        <rFont val="Arial"/>
        <family val="0"/>
        <charset val="1"/>
      </rPr>
      <t xml:space="preserve">&amp; Yêu cầu
• V </t>
    </r>
    <r>
      <rPr>
        <sz val="10"/>
        <rFont val="Noto Sans CJK SC"/>
        <family val="2"/>
      </rPr>
      <t xml:space="preserve">ましょうか  </t>
    </r>
    <r>
      <rPr>
        <sz val="10"/>
        <rFont val="Arial"/>
        <family val="0"/>
        <charset val="1"/>
      </rPr>
      <t xml:space="preserve">(Để tôi ~ nhé? Đề nghị giúp đỡ.)
   Ví dụ: </t>
    </r>
    <r>
      <rPr>
        <sz val="10"/>
        <rFont val="Noto Sans CJK SC"/>
        <family val="2"/>
      </rPr>
      <t xml:space="preserve">荷物を 持ちましょうか。  </t>
    </r>
    <r>
      <rPr>
        <sz val="10"/>
        <rFont val="Arial"/>
        <family val="0"/>
        <charset val="1"/>
      </rPr>
      <t xml:space="preserve">= Để tôi xách hành lý cho nhé?
→ Làm </t>
    </r>
    <r>
      <rPr>
        <sz val="10"/>
        <rFont val="Noto Sans CJK SC"/>
        <family val="2"/>
      </rPr>
      <t xml:space="preserve">練習</t>
    </r>
    <r>
      <rPr>
        <sz val="10"/>
        <rFont val="Arial"/>
        <family val="0"/>
        <charset val="1"/>
      </rPr>
      <t xml:space="preserve">A của bài 14 trong sách, mỗi mẫu tự đặt 3 câu.</t>
    </r>
  </si>
  <si>
    <r>
      <rPr>
        <sz val="10"/>
        <rFont val="Arial"/>
        <family val="0"/>
        <charset val="1"/>
      </rPr>
      <t xml:space="preserve">Từ mới Minna bài 14:
• </t>
    </r>
    <r>
      <rPr>
        <sz val="10"/>
        <rFont val="Noto Sans CJK SC"/>
        <family val="2"/>
      </rPr>
      <t xml:space="preserve">よびます（呼びます） </t>
    </r>
    <r>
      <rPr>
        <sz val="10"/>
        <rFont val="Arial"/>
        <family val="0"/>
        <charset val="1"/>
      </rPr>
      <t xml:space="preserve">= Gọi (người)
   Mẹo: </t>
    </r>
    <r>
      <rPr>
        <sz val="10"/>
        <rFont val="Noto Sans CJK SC"/>
        <family val="2"/>
      </rPr>
      <t xml:space="preserve">呼 </t>
    </r>
    <r>
      <rPr>
        <sz val="10"/>
        <rFont val="Arial"/>
        <family val="0"/>
        <charset val="1"/>
      </rPr>
      <t xml:space="preserve">có </t>
    </r>
    <r>
      <rPr>
        <sz val="10"/>
        <rFont val="Noto Sans CJK SC"/>
        <family val="2"/>
      </rPr>
      <t xml:space="preserve">口 </t>
    </r>
    <r>
      <rPr>
        <sz val="10"/>
        <rFont val="Arial"/>
        <family val="0"/>
        <charset val="1"/>
      </rPr>
      <t xml:space="preserve">(miệng) → dùng miệng GỌI.
• </t>
    </r>
    <r>
      <rPr>
        <sz val="10"/>
        <rFont val="Noto Sans CJK SC"/>
        <family val="2"/>
      </rPr>
      <t xml:space="preserve">みせます（見せます） </t>
    </r>
    <r>
      <rPr>
        <sz val="10"/>
        <rFont val="Arial"/>
        <family val="0"/>
        <charset val="1"/>
      </rPr>
      <t xml:space="preserve">= Cho xem
   Mẹo: </t>
    </r>
    <r>
      <rPr>
        <sz val="10"/>
        <rFont val="Noto Sans CJK SC"/>
        <family val="2"/>
      </rPr>
      <t xml:space="preserve">見 </t>
    </r>
    <r>
      <rPr>
        <sz val="10"/>
        <rFont val="Arial"/>
        <family val="0"/>
        <charset val="1"/>
      </rPr>
      <t xml:space="preserve">(nhìn) → làm cho người khác nhìn = CHO XEM.
• </t>
    </r>
    <r>
      <rPr>
        <sz val="10"/>
        <rFont val="Noto Sans CJK SC"/>
        <family val="2"/>
      </rPr>
      <t xml:space="preserve">ゆっくり </t>
    </r>
    <r>
      <rPr>
        <sz val="10"/>
        <rFont val="Arial"/>
        <family val="0"/>
        <charset val="1"/>
      </rPr>
      <t xml:space="preserve">= Từ từ, thong thả
   Mẹo: </t>
    </r>
    <r>
      <rPr>
        <sz val="10"/>
        <rFont val="Noto Sans CJK SC"/>
        <family val="2"/>
      </rPr>
      <t xml:space="preserve">ゆっくり 話して ください </t>
    </r>
    <r>
      <rPr>
        <sz val="10"/>
        <rFont val="Arial"/>
        <family val="0"/>
        <charset val="1"/>
      </rPr>
      <t xml:space="preserve">= xin nói chậm lại.
• </t>
    </r>
    <r>
      <rPr>
        <sz val="10"/>
        <rFont val="Noto Sans CJK SC"/>
        <family val="2"/>
      </rPr>
      <t xml:space="preserve">すぐ </t>
    </r>
    <r>
      <rPr>
        <sz val="10"/>
        <rFont val="Arial"/>
        <family val="0"/>
        <charset val="1"/>
      </rPr>
      <t xml:space="preserve">= Ngay lập tức
   Mẹo: </t>
    </r>
    <r>
      <rPr>
        <sz val="10"/>
        <rFont val="Noto Sans CJK SC"/>
        <family val="2"/>
      </rPr>
      <t xml:space="preserve">すぐ 行きます </t>
    </r>
    <r>
      <rPr>
        <sz val="10"/>
        <rFont val="Arial"/>
        <family val="0"/>
        <charset val="1"/>
      </rPr>
      <t xml:space="preserve">= tôi đi ngay đây.
→ Đối chiếu thêm với mục </t>
    </r>
    <r>
      <rPr>
        <sz val="10"/>
        <rFont val="Noto Sans CJK SC"/>
        <family val="2"/>
      </rPr>
      <t xml:space="preserve">語彙 </t>
    </r>
    <r>
      <rPr>
        <sz val="10"/>
        <rFont val="Arial"/>
        <family val="0"/>
        <charset val="1"/>
      </rPr>
      <t xml:space="preserve">của bài 14 trong sách để bổ sung.</t>
    </r>
  </si>
  <si>
    <r>
      <rPr>
        <b val="true"/>
        <sz val="12"/>
        <color rgb="FF1F3864"/>
        <rFont val="Arial"/>
        <family val="0"/>
        <charset val="1"/>
      </rPr>
      <t xml:space="preserve">NGÀY 48  ·  Tuần 7  ·  Minna Bài 15 (1/2)  ·  Cho phép &amp; Cấm đoán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</si>
  <si>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艹 </t>
    </r>
    <r>
      <rPr>
        <sz val="10"/>
        <rFont val="Arial"/>
        <family val="0"/>
        <charset val="1"/>
      </rPr>
      <t xml:space="preserve">(</t>
    </r>
    <r>
      <rPr>
        <sz val="10"/>
        <rFont val="Noto Sans CJK SC"/>
        <family val="2"/>
      </rPr>
      <t xml:space="preserve">くさかんむり</t>
    </r>
    <r>
      <rPr>
        <sz val="10"/>
        <rFont val="Arial"/>
        <family val="0"/>
        <charset val="1"/>
      </rPr>
      <t xml:space="preserve">) = Cỏ, thực vật
   Mẹo nhớ: Hai chồi cỏ mọc trên đầu chữ
   Kanji chứa bộ này: </t>
    </r>
    <r>
      <rPr>
        <sz val="10"/>
        <rFont val="Noto Sans CJK SC"/>
        <family val="2"/>
      </rPr>
      <t xml:space="preserve">花・茶・草・薬</t>
    </r>
  </si>
  <si>
    <r>
      <rPr>
        <sz val="10"/>
        <rFont val="Arial"/>
        <family val="0"/>
        <charset val="1"/>
      </rPr>
      <t xml:space="preserve">Học 2 chữ. Mỗi chữ viết tay 10 lần đúng thứ tự nét.
• </t>
    </r>
    <r>
      <rPr>
        <sz val="10"/>
        <rFont val="Noto Sans CJK SC"/>
        <family val="2"/>
      </rPr>
      <t xml:space="preserve">先 </t>
    </r>
    <r>
      <rPr>
        <sz val="10"/>
        <rFont val="Arial"/>
        <family val="0"/>
        <charset val="1"/>
      </rPr>
      <t xml:space="preserve">[TIÊN] Trước, đi đầu — On: </t>
    </r>
    <r>
      <rPr>
        <sz val="10"/>
        <rFont val="Noto Sans CJK SC"/>
        <family val="2"/>
      </rPr>
      <t xml:space="preserve">セン </t>
    </r>
    <r>
      <rPr>
        <sz val="10"/>
        <rFont val="Arial"/>
        <family val="0"/>
        <charset val="1"/>
      </rPr>
      <t xml:space="preserve">/ Kun: </t>
    </r>
    <r>
      <rPr>
        <sz val="10"/>
        <rFont val="Noto Sans CJK SC"/>
        <family val="2"/>
      </rPr>
      <t xml:space="preserve">さき </t>
    </r>
    <r>
      <rPr>
        <sz val="10"/>
        <rFont val="Arial"/>
        <family val="0"/>
        <charset val="1"/>
      </rPr>
      <t xml:space="preserve">(6 nét)
   Từ ghép: </t>
    </r>
    <r>
      <rPr>
        <sz val="10"/>
        <rFont val="Noto Sans CJK SC"/>
        <family val="2"/>
      </rPr>
      <t xml:space="preserve">先生 </t>
    </r>
    <r>
      <rPr>
        <sz val="10"/>
        <rFont val="Arial"/>
        <family val="0"/>
        <charset val="1"/>
      </rPr>
      <t xml:space="preserve">(</t>
    </r>
    <r>
      <rPr>
        <sz val="10"/>
        <rFont val="Noto Sans CJK SC"/>
        <family val="2"/>
      </rPr>
      <t xml:space="preserve">せんせい</t>
    </r>
    <r>
      <rPr>
        <sz val="10"/>
        <rFont val="Arial"/>
        <family val="0"/>
        <charset val="1"/>
      </rPr>
      <t xml:space="preserve">) giáo viên </t>
    </r>
    <r>
      <rPr>
        <sz val="10"/>
        <rFont val="Noto Sans CJK SC"/>
        <family val="2"/>
      </rPr>
      <t xml:space="preserve">・ 先月 </t>
    </r>
    <r>
      <rPr>
        <sz val="10"/>
        <rFont val="Arial"/>
        <family val="0"/>
        <charset val="1"/>
      </rPr>
      <t xml:space="preserve">(</t>
    </r>
    <r>
      <rPr>
        <sz val="10"/>
        <rFont val="Noto Sans CJK SC"/>
        <family val="2"/>
      </rPr>
      <t xml:space="preserve">せんげつ</t>
    </r>
    <r>
      <rPr>
        <sz val="10"/>
        <rFont val="Arial"/>
        <family val="0"/>
        <charset val="1"/>
      </rPr>
      <t xml:space="preserve">) tháng trước </t>
    </r>
    <r>
      <rPr>
        <sz val="10"/>
        <rFont val="Noto Sans CJK SC"/>
        <family val="2"/>
      </rPr>
      <t xml:space="preserve">・ 先 </t>
    </r>
    <r>
      <rPr>
        <sz val="10"/>
        <rFont val="Arial"/>
        <family val="0"/>
        <charset val="1"/>
      </rPr>
      <t xml:space="preserve">(</t>
    </r>
    <r>
      <rPr>
        <sz val="10"/>
        <rFont val="Noto Sans CJK SC"/>
        <family val="2"/>
      </rPr>
      <t xml:space="preserve">さき</t>
    </r>
    <r>
      <rPr>
        <sz val="10"/>
        <rFont val="Arial"/>
        <family val="0"/>
        <charset val="1"/>
      </rPr>
      <t xml:space="preserve">) phía trước
   Mẹo: </t>
    </r>
    <r>
      <rPr>
        <sz val="10"/>
        <rFont val="Noto Sans CJK SC"/>
        <family val="2"/>
      </rPr>
      <t xml:space="preserve">先生 </t>
    </r>
    <r>
      <rPr>
        <sz val="10"/>
        <rFont val="Arial"/>
        <family val="0"/>
        <charset val="1"/>
      </rPr>
      <t xml:space="preserve">= TIÊN SINH = người SINH RA TRƯỚC, đi trước ta → thầy cô. Nhớ theo âm Hán Việt là chắc nhất.
• </t>
    </r>
    <r>
      <rPr>
        <sz val="10"/>
        <rFont val="Noto Sans CJK SC"/>
        <family val="2"/>
      </rPr>
      <t xml:space="preserve">名 </t>
    </r>
    <r>
      <rPr>
        <sz val="10"/>
        <rFont val="Arial"/>
        <family val="0"/>
        <charset val="1"/>
      </rPr>
      <t xml:space="preserve">[DANH] Tên, nổi tiếng — On: </t>
    </r>
    <r>
      <rPr>
        <sz val="10"/>
        <rFont val="Noto Sans CJK SC"/>
        <family val="2"/>
      </rPr>
      <t xml:space="preserve">メイ </t>
    </r>
    <r>
      <rPr>
        <sz val="10"/>
        <rFont val="Arial"/>
        <family val="0"/>
        <charset val="1"/>
      </rPr>
      <t xml:space="preserve">/ Kun: </t>
    </r>
    <r>
      <rPr>
        <sz val="10"/>
        <rFont val="Noto Sans CJK SC"/>
        <family val="2"/>
      </rPr>
      <t xml:space="preserve">な </t>
    </r>
    <r>
      <rPr>
        <sz val="10"/>
        <rFont val="Arial"/>
        <family val="0"/>
        <charset val="1"/>
      </rPr>
      <t xml:space="preserve">(6 nét)
   Từ ghép: </t>
    </r>
    <r>
      <rPr>
        <sz val="10"/>
        <rFont val="Noto Sans CJK SC"/>
        <family val="2"/>
      </rPr>
      <t xml:space="preserve">名前 </t>
    </r>
    <r>
      <rPr>
        <sz val="10"/>
        <rFont val="Arial"/>
        <family val="0"/>
        <charset val="1"/>
      </rPr>
      <t xml:space="preserve">(</t>
    </r>
    <r>
      <rPr>
        <sz val="10"/>
        <rFont val="Noto Sans CJK SC"/>
        <family val="2"/>
      </rPr>
      <t xml:space="preserve">なまえ</t>
    </r>
    <r>
      <rPr>
        <sz val="10"/>
        <rFont val="Arial"/>
        <family val="0"/>
        <charset val="1"/>
      </rPr>
      <t xml:space="preserve">) tên </t>
    </r>
    <r>
      <rPr>
        <sz val="10"/>
        <rFont val="Noto Sans CJK SC"/>
        <family val="2"/>
      </rPr>
      <t xml:space="preserve">・ 有名 </t>
    </r>
    <r>
      <rPr>
        <sz val="10"/>
        <rFont val="Arial"/>
        <family val="0"/>
        <charset val="1"/>
      </rPr>
      <t xml:space="preserve">(</t>
    </r>
    <r>
      <rPr>
        <sz val="10"/>
        <rFont val="Noto Sans CJK SC"/>
        <family val="2"/>
      </rPr>
      <t xml:space="preserve">ゆうめい</t>
    </r>
    <r>
      <rPr>
        <sz val="10"/>
        <rFont val="Arial"/>
        <family val="0"/>
        <charset val="1"/>
      </rPr>
      <t xml:space="preserve">) nổi tiếng </t>
    </r>
    <r>
      <rPr>
        <sz val="10"/>
        <rFont val="Noto Sans CJK SC"/>
        <family val="2"/>
      </rPr>
      <t xml:space="preserve">・ 名刺 </t>
    </r>
    <r>
      <rPr>
        <sz val="10"/>
        <rFont val="Arial"/>
        <family val="0"/>
        <charset val="1"/>
      </rPr>
      <t xml:space="preserve">(</t>
    </r>
    <r>
      <rPr>
        <sz val="10"/>
        <rFont val="Noto Sans CJK SC"/>
        <family val="2"/>
      </rPr>
      <t xml:space="preserve">めいし</t>
    </r>
    <r>
      <rPr>
        <sz val="10"/>
        <rFont val="Arial"/>
        <family val="0"/>
        <charset val="1"/>
      </rPr>
      <t xml:space="preserve">) danh thiếp
   Mẹo: </t>
    </r>
    <r>
      <rPr>
        <sz val="10"/>
        <rFont val="Noto Sans CJK SC"/>
        <family val="2"/>
      </rPr>
      <t xml:space="preserve">夕 </t>
    </r>
    <r>
      <rPr>
        <sz val="10"/>
        <rFont val="Arial"/>
        <family val="0"/>
        <charset val="1"/>
      </rPr>
      <t xml:space="preserve">(chiều tối) + </t>
    </r>
    <r>
      <rPr>
        <sz val="10"/>
        <rFont val="Noto Sans CJK SC"/>
        <family val="2"/>
      </rPr>
      <t xml:space="preserve">口 </t>
    </r>
    <r>
      <rPr>
        <sz val="10"/>
        <rFont val="Arial"/>
        <family val="0"/>
        <charset val="1"/>
      </rPr>
      <t xml:space="preserve">(miệng) = trời tối không nhìn rõ mặt, phải xưng TÊN bằng miệng.</t>
    </r>
  </si>
  <si>
    <r>
      <rPr>
        <sz val="10"/>
        <rFont val="Arial"/>
        <family val="0"/>
        <charset val="1"/>
      </rPr>
      <t xml:space="preserve">Minna bài 15 (1/2) — Cho phép &amp; Cấm đoán
• V </t>
    </r>
    <r>
      <rPr>
        <sz val="10"/>
        <rFont val="Noto Sans CJK SC"/>
        <family val="2"/>
      </rPr>
      <t xml:space="preserve">て も いいです  </t>
    </r>
    <r>
      <rPr>
        <sz val="10"/>
        <rFont val="Arial"/>
        <family val="0"/>
        <charset val="1"/>
      </rPr>
      <t xml:space="preserve">(Được phép làm ~.)
   Ví dụ: </t>
    </r>
    <r>
      <rPr>
        <sz val="10"/>
        <rFont val="Noto Sans CJK SC"/>
        <family val="2"/>
      </rPr>
      <t xml:space="preserve">写真を 撮っても いいですか。  </t>
    </r>
    <r>
      <rPr>
        <sz val="10"/>
        <rFont val="Arial"/>
        <family val="0"/>
        <charset val="1"/>
      </rPr>
      <t xml:space="preserve">= Tôi chụp ảnh có được không?
• V </t>
    </r>
    <r>
      <rPr>
        <sz val="10"/>
        <rFont val="Noto Sans CJK SC"/>
        <family val="2"/>
      </rPr>
      <t xml:space="preserve">て は いけません  </t>
    </r>
    <r>
      <rPr>
        <sz val="10"/>
        <rFont val="Arial"/>
        <family val="0"/>
        <charset val="1"/>
      </rPr>
      <t xml:space="preserve">(Không được làm ~ (cấm đoán).)
   Ví dụ: </t>
    </r>
    <r>
      <rPr>
        <sz val="10"/>
        <rFont val="Noto Sans CJK SC"/>
        <family val="2"/>
      </rPr>
      <t xml:space="preserve">ここで たばこを 吸っては いけません。  </t>
    </r>
    <r>
      <rPr>
        <sz val="10"/>
        <rFont val="Arial"/>
        <family val="0"/>
        <charset val="1"/>
      </rPr>
      <t xml:space="preserve">= Không được hút thuốc ở đây.
→ Làm </t>
    </r>
    <r>
      <rPr>
        <sz val="10"/>
        <rFont val="Noto Sans CJK SC"/>
        <family val="2"/>
      </rPr>
      <t xml:space="preserve">練習</t>
    </r>
    <r>
      <rPr>
        <sz val="10"/>
        <rFont val="Arial"/>
        <family val="0"/>
        <charset val="1"/>
      </rPr>
      <t xml:space="preserve">A của bài 15 trong sách, mỗi mẫu tự đặt 3 câu.</t>
    </r>
  </si>
  <si>
    <r>
      <rPr>
        <sz val="10"/>
        <rFont val="Arial"/>
        <family val="0"/>
        <charset val="1"/>
      </rPr>
      <t xml:space="preserve">Từ mới Minna bài 15:
• </t>
    </r>
    <r>
      <rPr>
        <sz val="10"/>
        <rFont val="Noto Sans CJK SC"/>
        <family val="2"/>
      </rPr>
      <t xml:space="preserve">すみます（住みます） </t>
    </r>
    <r>
      <rPr>
        <sz val="10"/>
        <rFont val="Arial"/>
        <family val="0"/>
        <charset val="1"/>
      </rPr>
      <t xml:space="preserve">= Sống, cư trú
   Mẹo: </t>
    </r>
    <r>
      <rPr>
        <sz val="10"/>
        <rFont val="Noto Sans CJK SC"/>
        <family val="2"/>
      </rPr>
      <t xml:space="preserve">住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主 </t>
    </r>
    <r>
      <rPr>
        <sz val="10"/>
        <rFont val="Arial"/>
        <family val="0"/>
        <charset val="1"/>
      </rPr>
      <t xml:space="preserve">(chủ) → người làm chủ chỗ ở. Luôn dùng thể </t>
    </r>
    <r>
      <rPr>
        <sz val="10"/>
        <rFont val="Noto Sans CJK SC"/>
        <family val="2"/>
      </rPr>
      <t xml:space="preserve">住んで います</t>
    </r>
    <r>
      <rPr>
        <sz val="10"/>
        <rFont val="Arial"/>
        <family val="0"/>
        <charset val="1"/>
      </rPr>
      <t xml:space="preserve">.
• </t>
    </r>
    <r>
      <rPr>
        <sz val="10"/>
        <rFont val="Noto Sans CJK SC"/>
        <family val="2"/>
      </rPr>
      <t xml:space="preserve">つかいます（使います） </t>
    </r>
    <r>
      <rPr>
        <sz val="10"/>
        <rFont val="Arial"/>
        <family val="0"/>
        <charset val="1"/>
      </rPr>
      <t xml:space="preserve">= Dùng, sử dụng
   Mẹo: </t>
    </r>
    <r>
      <rPr>
        <sz val="10"/>
        <rFont val="Noto Sans CJK SC"/>
        <family val="2"/>
      </rPr>
      <t xml:space="preserve">使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吏 → </t>
    </r>
    <r>
      <rPr>
        <sz val="10"/>
        <rFont val="Arial"/>
        <family val="0"/>
        <charset val="1"/>
      </rPr>
      <t xml:space="preserve">sai người làm việc → SỬ DỤNG.
• </t>
    </r>
    <r>
      <rPr>
        <sz val="10"/>
        <rFont val="Noto Sans CJK SC"/>
        <family val="2"/>
      </rPr>
      <t xml:space="preserve">しります（知ります） </t>
    </r>
    <r>
      <rPr>
        <sz val="10"/>
        <rFont val="Arial"/>
        <family val="0"/>
        <charset val="1"/>
      </rPr>
      <t xml:space="preserve">= Biết
   Mẹo: </t>
    </r>
    <r>
      <rPr>
        <sz val="10"/>
        <rFont val="Noto Sans CJK SC"/>
        <family val="2"/>
      </rPr>
      <t xml:space="preserve">知 </t>
    </r>
    <r>
      <rPr>
        <sz val="10"/>
        <rFont val="Arial"/>
        <family val="0"/>
        <charset val="1"/>
      </rPr>
      <t xml:space="preserve">= </t>
    </r>
    <r>
      <rPr>
        <sz val="10"/>
        <rFont val="Noto Sans CJK SC"/>
        <family val="2"/>
      </rPr>
      <t xml:space="preserve">矢 </t>
    </r>
    <r>
      <rPr>
        <sz val="10"/>
        <rFont val="Arial"/>
        <family val="0"/>
        <charset val="1"/>
      </rPr>
      <t xml:space="preserve">(mũi tên) + </t>
    </r>
    <r>
      <rPr>
        <sz val="10"/>
        <rFont val="Noto Sans CJK SC"/>
        <family val="2"/>
      </rPr>
      <t xml:space="preserve">口 → </t>
    </r>
    <r>
      <rPr>
        <sz val="10"/>
        <rFont val="Arial"/>
        <family val="0"/>
        <charset val="1"/>
      </rPr>
      <t xml:space="preserve">lời nói bắn thẳng như tên = BIẾT rõ.
• </t>
    </r>
    <r>
      <rPr>
        <sz val="10"/>
        <rFont val="Noto Sans CJK SC"/>
        <family val="2"/>
      </rPr>
      <t xml:space="preserve">つくります（作ります） </t>
    </r>
    <r>
      <rPr>
        <sz val="10"/>
        <rFont val="Arial"/>
        <family val="0"/>
        <charset val="1"/>
      </rPr>
      <t xml:space="preserve">= Làm, chế tạo
   Mẹo: </t>
    </r>
    <r>
      <rPr>
        <sz val="10"/>
        <rFont val="Noto Sans CJK SC"/>
        <family val="2"/>
      </rPr>
      <t xml:space="preserve">作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乍 → </t>
    </r>
    <r>
      <rPr>
        <sz val="10"/>
        <rFont val="Arial"/>
        <family val="0"/>
        <charset val="1"/>
      </rPr>
      <t xml:space="preserve">người tạo ra vật.
• </t>
    </r>
    <r>
      <rPr>
        <sz val="10"/>
        <rFont val="Noto Sans CJK SC"/>
        <family val="2"/>
      </rPr>
      <t xml:space="preserve">うります（売ります） </t>
    </r>
    <r>
      <rPr>
        <sz val="10"/>
        <rFont val="Arial"/>
        <family val="0"/>
        <charset val="1"/>
      </rPr>
      <t xml:space="preserve">= Bán
   Mẹo: </t>
    </r>
    <r>
      <rPr>
        <sz val="10"/>
        <rFont val="Noto Sans CJK SC"/>
        <family val="2"/>
      </rPr>
      <t xml:space="preserve">売 </t>
    </r>
    <r>
      <rPr>
        <sz val="10"/>
        <rFont val="Arial"/>
        <family val="0"/>
        <charset val="1"/>
      </rPr>
      <t xml:space="preserve">nhìn giống </t>
    </r>
    <r>
      <rPr>
        <sz val="10"/>
        <rFont val="Noto Sans CJK SC"/>
        <family val="2"/>
      </rPr>
      <t xml:space="preserve">買 </t>
    </r>
    <r>
      <rPr>
        <sz val="10"/>
        <rFont val="Arial"/>
        <family val="0"/>
        <charset val="1"/>
      </rPr>
      <t xml:space="preserve">lộn ngược nghĩa. </t>
    </r>
    <r>
      <rPr>
        <sz val="10"/>
        <rFont val="Noto Sans CJK SC"/>
        <family val="2"/>
      </rPr>
      <t xml:space="preserve">売り </t>
    </r>
    <r>
      <rPr>
        <sz val="10"/>
        <rFont val="Arial"/>
        <family val="0"/>
        <charset val="1"/>
      </rPr>
      <t xml:space="preserve">buôn — </t>
    </r>
    <r>
      <rPr>
        <sz val="10"/>
        <rFont val="Noto Sans CJK SC"/>
        <family val="2"/>
      </rPr>
      <t xml:space="preserve">買い </t>
    </r>
    <r>
      <rPr>
        <sz val="10"/>
        <rFont val="Arial"/>
        <family val="0"/>
        <charset val="1"/>
      </rPr>
      <t xml:space="preserve">mua.
• </t>
    </r>
    <r>
      <rPr>
        <sz val="10"/>
        <rFont val="Noto Sans CJK SC"/>
        <family val="2"/>
      </rPr>
      <t xml:space="preserve">しっています（知っています） </t>
    </r>
    <r>
      <rPr>
        <sz val="10"/>
        <rFont val="Arial"/>
        <family val="0"/>
        <charset val="1"/>
      </rPr>
      <t xml:space="preserve">= Biết
   Mẹo: Phủ định là </t>
    </r>
    <r>
      <rPr>
        <sz val="10"/>
        <rFont val="Noto Sans CJK SC"/>
        <family val="2"/>
      </rPr>
      <t xml:space="preserve">知りません</t>
    </r>
    <r>
      <rPr>
        <sz val="10"/>
        <rFont val="Arial"/>
        <family val="0"/>
        <charset val="1"/>
      </rPr>
      <t xml:space="preserve">, KHÔNG phải </t>
    </r>
    <r>
      <rPr>
        <sz val="10"/>
        <rFont val="Noto Sans CJK SC"/>
        <family val="2"/>
      </rPr>
      <t xml:space="preserve">知っていません</t>
    </r>
    <r>
      <rPr>
        <sz val="10"/>
        <rFont val="Arial"/>
        <family val="0"/>
        <charset val="1"/>
      </rPr>
      <t xml:space="preserve">. Đây là bẫy đề thi.
• </t>
    </r>
    <r>
      <rPr>
        <sz val="10"/>
        <rFont val="Noto Sans CJK SC"/>
        <family val="2"/>
      </rPr>
      <t xml:space="preserve">けんきゅうしゃ（研究者） </t>
    </r>
    <r>
      <rPr>
        <sz val="10"/>
        <rFont val="Arial"/>
        <family val="0"/>
        <charset val="1"/>
      </rPr>
      <t xml:space="preserve">= Nhà nghiên cứu
   Mẹo: NGHIÊN CỨU GIẢ. </t>
    </r>
    <r>
      <rPr>
        <sz val="10"/>
        <rFont val="Noto Sans CJK SC"/>
        <family val="2"/>
      </rPr>
      <t xml:space="preserve">者 </t>
    </r>
    <r>
      <rPr>
        <sz val="10"/>
        <rFont val="Arial"/>
        <family val="0"/>
        <charset val="1"/>
      </rPr>
      <t xml:space="preserve">(giả) = người, đã gặp ở </t>
    </r>
    <r>
      <rPr>
        <sz val="10"/>
        <rFont val="Noto Sans CJK SC"/>
        <family val="2"/>
      </rPr>
      <t xml:space="preserve">医者</t>
    </r>
    <r>
      <rPr>
        <sz val="10"/>
        <rFont val="Arial"/>
        <family val="0"/>
        <charset val="1"/>
      </rPr>
      <t xml:space="preserve">.
→ Đối chiếu thêm với mục </t>
    </r>
    <r>
      <rPr>
        <sz val="10"/>
        <rFont val="Noto Sans CJK SC"/>
        <family val="2"/>
      </rPr>
      <t xml:space="preserve">語彙 </t>
    </r>
    <r>
      <rPr>
        <sz val="10"/>
        <rFont val="Arial"/>
        <family val="0"/>
        <charset val="1"/>
      </rPr>
      <t xml:space="preserve">của bài 15 trong sách để bổ sung.</t>
    </r>
  </si>
  <si>
    <r>
      <rPr>
        <b val="true"/>
        <sz val="12"/>
        <color rgb="FF1F3864"/>
        <rFont val="Arial"/>
        <family val="0"/>
        <charset val="1"/>
      </rPr>
      <t xml:space="preserve">NGÀY 49  ·  Tuần 7  ·  Minna Ôn bài 13–14  ·  Ôn tập tuần 7 — Minna bài 13–14      </t>
    </r>
    <r>
      <rPr>
        <b val="true"/>
        <sz val="12"/>
        <color rgb="FF1F3864"/>
        <rFont val="Noto Sans CJK SC"/>
        <family val="2"/>
      </rPr>
      <t xml:space="preserve">〔</t>
    </r>
    <r>
      <rPr>
        <b val="true"/>
        <sz val="12"/>
        <color rgb="FF1F3864"/>
        <rFont val="Arial"/>
        <family val="0"/>
        <charset val="1"/>
      </rPr>
      <t xml:space="preserve">105 phút · 5 việc</t>
    </r>
    <r>
      <rPr>
        <b val="true"/>
        <sz val="12"/>
        <color rgb="FF1F3864"/>
        <rFont val="Noto Sans CJK SC"/>
        <family val="2"/>
      </rPr>
      <t xml:space="preserve">〕</t>
    </r>
  </si>
  <si>
    <r>
      <rPr>
        <sz val="10"/>
        <rFont val="Arial"/>
        <family val="0"/>
        <charset val="1"/>
      </rPr>
      <t xml:space="preserve">Làm phần </t>
    </r>
    <r>
      <rPr>
        <sz val="10"/>
        <rFont val="Noto Sans CJK SC"/>
        <family val="2"/>
      </rPr>
      <t xml:space="preserve">練習</t>
    </r>
    <r>
      <rPr>
        <sz val="10"/>
        <rFont val="Arial"/>
        <family val="0"/>
        <charset val="1"/>
      </rPr>
      <t xml:space="preserve">B và </t>
    </r>
    <r>
      <rPr>
        <sz val="10"/>
        <rFont val="Noto Sans CJK SC"/>
        <family val="2"/>
      </rPr>
      <t xml:space="preserve">練習</t>
    </r>
    <r>
      <rPr>
        <sz val="10"/>
        <rFont val="Arial"/>
        <family val="0"/>
        <charset val="1"/>
      </rPr>
      <t xml:space="preserve">C trong Minna bài 13–14. Sau đó tự đặt 5 câu mới.</t>
    </r>
  </si>
  <si>
    <t xml:space="preserve">Kiểm tra lại toàn bộ từ vựng Minna bài 13–14. Từ nào quên đánh dấu 'Đang học'.</t>
  </si>
  <si>
    <r>
      <rPr>
        <sz val="10"/>
        <rFont val="Arial"/>
        <family val="0"/>
        <charset val="1"/>
      </rPr>
      <t xml:space="preserve">Làm phần </t>
    </r>
    <r>
      <rPr>
        <sz val="10"/>
        <rFont val="Noto Sans CJK SC"/>
        <family val="2"/>
      </rPr>
      <t xml:space="preserve">問題 </t>
    </r>
    <r>
      <rPr>
        <sz val="10"/>
        <rFont val="Arial"/>
        <family val="0"/>
        <charset val="1"/>
      </rPr>
      <t xml:space="preserve">(nghe + đọc) cuối mỗi bài trong Minna bài 13–14. Ghi lỗi sai vào cột Ghi chú.</t>
    </r>
  </si>
  <si>
    <r>
      <rPr>
        <b val="true"/>
        <sz val="12"/>
        <color rgb="FF1F3864"/>
        <rFont val="Arial"/>
        <family val="0"/>
        <charset val="1"/>
      </rPr>
      <t xml:space="preserve">NGÀY 50  ·  Tuần 8  ·  Minna Bài 15 (2/2)  ·  Cho phép &amp; Cấm đoán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</si>
  <si>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辶 </t>
    </r>
    <r>
      <rPr>
        <sz val="10"/>
        <rFont val="Arial"/>
        <family val="0"/>
        <charset val="1"/>
      </rPr>
      <t xml:space="preserve">(</t>
    </r>
    <r>
      <rPr>
        <sz val="10"/>
        <rFont val="Noto Sans CJK SC"/>
        <family val="2"/>
      </rPr>
      <t xml:space="preserve">しんにょう</t>
    </r>
    <r>
      <rPr>
        <sz val="10"/>
        <rFont val="Arial"/>
        <family val="0"/>
        <charset val="1"/>
      </rPr>
      <t xml:space="preserve">) = Di chuyển, đường đi
   Mẹo nhớ: Ngã tư và bàn chân bước — bao bên trái và dưới
   Kanji chứa bộ này: </t>
    </r>
    <r>
      <rPr>
        <sz val="10"/>
        <rFont val="Noto Sans CJK SC"/>
        <family val="2"/>
      </rPr>
      <t xml:space="preserve">道・週・近・通</t>
    </r>
  </si>
  <si>
    <r>
      <rPr>
        <sz val="10"/>
        <rFont val="Arial"/>
        <family val="0"/>
        <charset val="1"/>
      </rPr>
      <t xml:space="preserve">Học 2 chữ. Mỗi chữ viết tay 10 lần đúng thứ tự nét.
• </t>
    </r>
    <r>
      <rPr>
        <sz val="10"/>
        <rFont val="Noto Sans CJK SC"/>
        <family val="2"/>
      </rPr>
      <t xml:space="preserve">川 </t>
    </r>
    <r>
      <rPr>
        <sz val="10"/>
        <rFont val="Arial"/>
        <family val="0"/>
        <charset val="1"/>
      </rPr>
      <t xml:space="preserve">[XUYÊN] Sông — On: </t>
    </r>
    <r>
      <rPr>
        <sz val="10"/>
        <rFont val="Noto Sans CJK SC"/>
        <family val="2"/>
      </rPr>
      <t xml:space="preserve">セン </t>
    </r>
    <r>
      <rPr>
        <sz val="10"/>
        <rFont val="Arial"/>
        <family val="0"/>
        <charset val="1"/>
      </rPr>
      <t xml:space="preserve">/ Kun: </t>
    </r>
    <r>
      <rPr>
        <sz val="10"/>
        <rFont val="Noto Sans CJK SC"/>
        <family val="2"/>
      </rPr>
      <t xml:space="preserve">かわ </t>
    </r>
    <r>
      <rPr>
        <sz val="10"/>
        <rFont val="Arial"/>
        <family val="0"/>
        <charset val="1"/>
      </rPr>
      <t xml:space="preserve">(3 nét)
   Từ ghép: </t>
    </r>
    <r>
      <rPr>
        <sz val="10"/>
        <rFont val="Noto Sans CJK SC"/>
        <family val="2"/>
      </rPr>
      <t xml:space="preserve">川 </t>
    </r>
    <r>
      <rPr>
        <sz val="10"/>
        <rFont val="Arial"/>
        <family val="0"/>
        <charset val="1"/>
      </rPr>
      <t xml:space="preserve">(</t>
    </r>
    <r>
      <rPr>
        <sz val="10"/>
        <rFont val="Noto Sans CJK SC"/>
        <family val="2"/>
      </rPr>
      <t xml:space="preserve">かわ</t>
    </r>
    <r>
      <rPr>
        <sz val="10"/>
        <rFont val="Arial"/>
        <family val="0"/>
        <charset val="1"/>
      </rPr>
      <t xml:space="preserve">) sông </t>
    </r>
    <r>
      <rPr>
        <sz val="10"/>
        <rFont val="Noto Sans CJK SC"/>
        <family val="2"/>
      </rPr>
      <t xml:space="preserve">・ 川口 </t>
    </r>
    <r>
      <rPr>
        <sz val="10"/>
        <rFont val="Arial"/>
        <family val="0"/>
        <charset val="1"/>
      </rPr>
      <t xml:space="preserve">(</t>
    </r>
    <r>
      <rPr>
        <sz val="10"/>
        <rFont val="Noto Sans CJK SC"/>
        <family val="2"/>
      </rPr>
      <t xml:space="preserve">かわぐち</t>
    </r>
    <r>
      <rPr>
        <sz val="10"/>
        <rFont val="Arial"/>
        <family val="0"/>
        <charset val="1"/>
      </rPr>
      <t xml:space="preserve">) cửa sông </t>
    </r>
    <r>
      <rPr>
        <sz val="10"/>
        <rFont val="Noto Sans CJK SC"/>
        <family val="2"/>
      </rPr>
      <t xml:space="preserve">・ 小川 </t>
    </r>
    <r>
      <rPr>
        <sz val="10"/>
        <rFont val="Arial"/>
        <family val="0"/>
        <charset val="1"/>
      </rPr>
      <t xml:space="preserve">(</t>
    </r>
    <r>
      <rPr>
        <sz val="10"/>
        <rFont val="Noto Sans CJK SC"/>
        <family val="2"/>
      </rPr>
      <t xml:space="preserve">おがわ</t>
    </r>
    <r>
      <rPr>
        <sz val="10"/>
        <rFont val="Arial"/>
        <family val="0"/>
        <charset val="1"/>
      </rPr>
      <t xml:space="preserve">) suối nhỏ
   Mẹo: Ba đường nước chảy song song = dòng SÔNG nhìn từ trên cao.
• </t>
    </r>
    <r>
      <rPr>
        <sz val="10"/>
        <rFont val="Noto Sans CJK SC"/>
        <family val="2"/>
      </rPr>
      <t xml:space="preserve">千 </t>
    </r>
    <r>
      <rPr>
        <sz val="10"/>
        <rFont val="Arial"/>
        <family val="0"/>
        <charset val="1"/>
      </rPr>
      <t xml:space="preserve">[THIÊN] Nghìn — On: </t>
    </r>
    <r>
      <rPr>
        <sz val="10"/>
        <rFont val="Noto Sans CJK SC"/>
        <family val="2"/>
      </rPr>
      <t xml:space="preserve">セン </t>
    </r>
    <r>
      <rPr>
        <sz val="10"/>
        <rFont val="Arial"/>
        <family val="0"/>
        <charset val="1"/>
      </rPr>
      <t xml:space="preserve">/ Kun: </t>
    </r>
    <r>
      <rPr>
        <sz val="10"/>
        <rFont val="Noto Sans CJK SC"/>
        <family val="2"/>
      </rPr>
      <t xml:space="preserve">ち </t>
    </r>
    <r>
      <rPr>
        <sz val="10"/>
        <rFont val="Arial"/>
        <family val="0"/>
        <charset val="1"/>
      </rPr>
      <t xml:space="preserve">(3 nét)
   Từ ghép: </t>
    </r>
    <r>
      <rPr>
        <sz val="10"/>
        <rFont val="Noto Sans CJK SC"/>
        <family val="2"/>
      </rPr>
      <t xml:space="preserve">千 </t>
    </r>
    <r>
      <rPr>
        <sz val="10"/>
        <rFont val="Arial"/>
        <family val="0"/>
        <charset val="1"/>
      </rPr>
      <t xml:space="preserve">(</t>
    </r>
    <r>
      <rPr>
        <sz val="10"/>
        <rFont val="Noto Sans CJK SC"/>
        <family val="2"/>
      </rPr>
      <t xml:space="preserve">せん</t>
    </r>
    <r>
      <rPr>
        <sz val="10"/>
        <rFont val="Arial"/>
        <family val="0"/>
        <charset val="1"/>
      </rPr>
      <t xml:space="preserve">) một nghìn </t>
    </r>
    <r>
      <rPr>
        <sz val="10"/>
        <rFont val="Noto Sans CJK SC"/>
        <family val="2"/>
      </rPr>
      <t xml:space="preserve">・ 千円 </t>
    </r>
    <r>
      <rPr>
        <sz val="10"/>
        <rFont val="Arial"/>
        <family val="0"/>
        <charset val="1"/>
      </rPr>
      <t xml:space="preserve">(</t>
    </r>
    <r>
      <rPr>
        <sz val="10"/>
        <rFont val="Noto Sans CJK SC"/>
        <family val="2"/>
      </rPr>
      <t xml:space="preserve">せんえん</t>
    </r>
    <r>
      <rPr>
        <sz val="10"/>
        <rFont val="Arial"/>
        <family val="0"/>
        <charset val="1"/>
      </rPr>
      <t xml:space="preserve">) 1000 yên </t>
    </r>
    <r>
      <rPr>
        <sz val="10"/>
        <rFont val="Noto Sans CJK SC"/>
        <family val="2"/>
      </rPr>
      <t xml:space="preserve">・ 三千 </t>
    </r>
    <r>
      <rPr>
        <sz val="10"/>
        <rFont val="Arial"/>
        <family val="0"/>
        <charset val="1"/>
      </rPr>
      <t xml:space="preserve">(</t>
    </r>
    <r>
      <rPr>
        <sz val="10"/>
        <rFont val="Noto Sans CJK SC"/>
        <family val="2"/>
      </rPr>
      <t xml:space="preserve">さんぜん</t>
    </r>
    <r>
      <rPr>
        <sz val="10"/>
        <rFont val="Arial"/>
        <family val="0"/>
        <charset val="1"/>
      </rPr>
      <t xml:space="preserve">) ba nghìn
   Mẹo: Chữ </t>
    </r>
    <r>
      <rPr>
        <sz val="10"/>
        <rFont val="Noto Sans CJK SC"/>
        <family val="2"/>
      </rPr>
      <t xml:space="preserve">十 </t>
    </r>
    <r>
      <rPr>
        <sz val="10"/>
        <rFont val="Arial"/>
        <family val="0"/>
        <charset val="1"/>
      </rPr>
      <t xml:space="preserve">(mười) có thêm một nét phẩy trên đầu = mười nhân lên nhiều lần → NGHÌN.</t>
    </r>
  </si>
  <si>
    <r>
      <rPr>
        <sz val="10"/>
        <rFont val="Arial"/>
        <family val="0"/>
        <charset val="1"/>
      </rPr>
      <t xml:space="preserve">Minna bài 15 (2/2) — Cho phép &amp; Cấm đoán
• V </t>
    </r>
    <r>
      <rPr>
        <sz val="10"/>
        <rFont val="Noto Sans CJK SC"/>
        <family val="2"/>
      </rPr>
      <t xml:space="preserve">て います </t>
    </r>
    <r>
      <rPr>
        <sz val="10"/>
        <rFont val="Arial"/>
        <family val="0"/>
        <charset val="1"/>
      </rPr>
      <t xml:space="preserve">(trạng thái)  (Diễn tả trạng thái kéo dài, nghề nghiệp, thói quen.)
   Ví dụ: </t>
    </r>
    <r>
      <rPr>
        <sz val="10"/>
        <rFont val="Noto Sans CJK SC"/>
        <family val="2"/>
      </rPr>
      <t xml:space="preserve">わたしは 銀行で 働いて います。  </t>
    </r>
    <r>
      <rPr>
        <sz val="10"/>
        <rFont val="Arial"/>
        <family val="0"/>
        <charset val="1"/>
      </rPr>
      <t xml:space="preserve">= Tôi đang làm việc tại ngân hàng.
• </t>
    </r>
    <r>
      <rPr>
        <sz val="10"/>
        <rFont val="Noto Sans CJK SC"/>
        <family val="2"/>
      </rPr>
      <t xml:space="preserve">〜を 知って います </t>
    </r>
    <r>
      <rPr>
        <sz val="10"/>
        <rFont val="Arial"/>
        <family val="0"/>
        <charset val="1"/>
      </rPr>
      <t xml:space="preserve">/ </t>
    </r>
    <r>
      <rPr>
        <sz val="10"/>
        <rFont val="Noto Sans CJK SC"/>
        <family val="2"/>
      </rPr>
      <t xml:space="preserve">知りません  </t>
    </r>
    <r>
      <rPr>
        <sz val="10"/>
        <rFont val="Arial"/>
        <family val="0"/>
        <charset val="1"/>
      </rPr>
      <t xml:space="preserve">(Biết / không biết. Chú ý: phủ định KHÔNG phải </t>
    </r>
    <r>
      <rPr>
        <sz val="10"/>
        <rFont val="Noto Sans CJK SC"/>
        <family val="2"/>
      </rPr>
      <t xml:space="preserve">知って いません</t>
    </r>
    <r>
      <rPr>
        <sz val="10"/>
        <rFont val="Arial"/>
        <family val="0"/>
        <charset val="1"/>
      </rPr>
      <t xml:space="preserve">.)
   Ví dụ: </t>
    </r>
    <r>
      <rPr>
        <sz val="10"/>
        <rFont val="Noto Sans CJK SC"/>
        <family val="2"/>
      </rPr>
      <t xml:space="preserve">田中さんの 電話番号を 知って いますか。  </t>
    </r>
    <r>
      <rPr>
        <sz val="10"/>
        <rFont val="Arial"/>
        <family val="0"/>
        <charset val="1"/>
      </rPr>
      <t xml:space="preserve">= Bạn có biết số điện thoại của anh Tanaka không?
→ Làm </t>
    </r>
    <r>
      <rPr>
        <sz val="10"/>
        <rFont val="Noto Sans CJK SC"/>
        <family val="2"/>
      </rPr>
      <t xml:space="preserve">練習</t>
    </r>
    <r>
      <rPr>
        <sz val="10"/>
        <rFont val="Arial"/>
        <family val="0"/>
        <charset val="1"/>
      </rPr>
      <t xml:space="preserve">A của bài 15 trong sách, mỗi mẫu tự đặt 3 câu.</t>
    </r>
  </si>
  <si>
    <r>
      <rPr>
        <sz val="10"/>
        <rFont val="Arial"/>
        <family val="0"/>
        <charset val="1"/>
      </rPr>
      <t xml:space="preserve">Từ mới Minna bài 15:
• </t>
    </r>
    <r>
      <rPr>
        <sz val="10"/>
        <rFont val="Noto Sans CJK SC"/>
        <family val="2"/>
      </rPr>
      <t xml:space="preserve">こうこう（高校） </t>
    </r>
    <r>
      <rPr>
        <sz val="10"/>
        <rFont val="Arial"/>
        <family val="0"/>
        <charset val="1"/>
      </rPr>
      <t xml:space="preserve">= Trường cấp 3
   Mẹo: CAO HIỆU = trường bậc cao. Rút gọn từ </t>
    </r>
    <r>
      <rPr>
        <sz val="10"/>
        <rFont val="Noto Sans CJK SC"/>
        <family val="2"/>
      </rPr>
      <t xml:space="preserve">高等学校</t>
    </r>
    <r>
      <rPr>
        <sz val="10"/>
        <rFont val="Arial"/>
        <family val="0"/>
        <charset val="1"/>
      </rPr>
      <t xml:space="preserve">.
• </t>
    </r>
    <r>
      <rPr>
        <sz val="10"/>
        <rFont val="Noto Sans CJK SC"/>
        <family val="2"/>
      </rPr>
      <t xml:space="preserve">びょういん（病院） </t>
    </r>
    <r>
      <rPr>
        <sz val="10"/>
        <rFont val="Arial"/>
        <family val="0"/>
        <charset val="1"/>
      </rPr>
      <t xml:space="preserve">= Bệnh viện
   Mẹo: BỆNH VIỆN — âm Hán Việt y hệt tiếng Việt.
• </t>
    </r>
    <r>
      <rPr>
        <sz val="10"/>
        <rFont val="Noto Sans CJK SC"/>
        <family val="2"/>
      </rPr>
      <t xml:space="preserve">かぞく（家族） </t>
    </r>
    <r>
      <rPr>
        <sz val="10"/>
        <rFont val="Arial"/>
        <family val="0"/>
        <charset val="1"/>
      </rPr>
      <t xml:space="preserve">= Gia đình
   Mẹo: GIA TỘC = người trong nhà.
• </t>
    </r>
    <r>
      <rPr>
        <sz val="10"/>
        <rFont val="Noto Sans CJK SC"/>
        <family val="2"/>
      </rPr>
      <t xml:space="preserve">どくしん（独身） </t>
    </r>
    <r>
      <rPr>
        <sz val="10"/>
        <rFont val="Arial"/>
        <family val="0"/>
        <charset val="1"/>
      </rPr>
      <t xml:space="preserve">= Độc thân
   Mẹo: ĐỘC THÂN — âm Hán Việt y hệt.
• </t>
    </r>
    <r>
      <rPr>
        <sz val="10"/>
        <rFont val="Noto Sans CJK SC"/>
        <family val="2"/>
      </rPr>
      <t xml:space="preserve">しゃしん（写真） </t>
    </r>
    <r>
      <rPr>
        <sz val="10"/>
        <rFont val="Arial"/>
        <family val="0"/>
        <charset val="1"/>
      </rPr>
      <t xml:space="preserve">= Ảnh
   Mẹo: TẢ CHÂN = ghi lại sự thật. </t>
    </r>
    <r>
      <rPr>
        <sz val="10"/>
        <rFont val="Noto Sans CJK SC"/>
        <family val="2"/>
      </rPr>
      <t xml:space="preserve">写真を 撮ります </t>
    </r>
    <r>
      <rPr>
        <sz val="10"/>
        <rFont val="Arial"/>
        <family val="0"/>
        <charset val="1"/>
      </rPr>
      <t xml:space="preserve">= chụp ảnh.
• </t>
    </r>
    <r>
      <rPr>
        <sz val="10"/>
        <rFont val="Noto Sans CJK SC"/>
        <family val="2"/>
      </rPr>
      <t xml:space="preserve">でんわばんごう（電話番号） </t>
    </r>
    <r>
      <rPr>
        <sz val="10"/>
        <rFont val="Arial"/>
        <family val="0"/>
        <charset val="1"/>
      </rPr>
      <t xml:space="preserve">= Số điện thoại
   Mẹo: ĐIỆN THOẠI PHIÊN HIỆU. </t>
    </r>
    <r>
      <rPr>
        <sz val="10"/>
        <rFont val="Noto Sans CJK SC"/>
        <family val="2"/>
      </rPr>
      <t xml:space="preserve">番号 </t>
    </r>
    <r>
      <rPr>
        <sz val="10"/>
        <rFont val="Arial"/>
        <family val="0"/>
        <charset val="1"/>
      </rPr>
      <t xml:space="preserve">(phiên hiệu) = con số thứ tự.
• </t>
    </r>
    <r>
      <rPr>
        <sz val="10"/>
        <rFont val="Noto Sans CJK SC"/>
        <family val="2"/>
      </rPr>
      <t xml:space="preserve">たばこ </t>
    </r>
    <r>
      <rPr>
        <sz val="10"/>
        <rFont val="Arial"/>
        <family val="0"/>
        <charset val="1"/>
      </rPr>
      <t xml:space="preserve">= Thuốc lá
   Mẹo: </t>
    </r>
    <r>
      <rPr>
        <sz val="10"/>
        <rFont val="Noto Sans CJK SC"/>
        <family val="2"/>
      </rPr>
      <t xml:space="preserve">たばこを 吸います — </t>
    </r>
    <r>
      <rPr>
        <sz val="10"/>
        <rFont val="Arial"/>
        <family val="0"/>
        <charset val="1"/>
      </rPr>
      <t xml:space="preserve">dùng </t>
    </r>
    <r>
      <rPr>
        <sz val="10"/>
        <rFont val="Noto Sans CJK SC"/>
        <family val="2"/>
      </rPr>
      <t xml:space="preserve">吸います </t>
    </r>
    <r>
      <rPr>
        <sz val="10"/>
        <rFont val="Arial"/>
        <family val="0"/>
        <charset val="1"/>
      </rPr>
      <t xml:space="preserve">(hút vào) chứ không dùng </t>
    </r>
    <r>
      <rPr>
        <sz val="10"/>
        <rFont val="Noto Sans CJK SC"/>
        <family val="2"/>
      </rPr>
      <t xml:space="preserve">飲みます</t>
    </r>
    <r>
      <rPr>
        <sz val="10"/>
        <rFont val="Arial"/>
        <family val="0"/>
        <charset val="1"/>
      </rPr>
      <t xml:space="preserve">.
→ Đối chiếu thêm với mục </t>
    </r>
    <r>
      <rPr>
        <sz val="10"/>
        <rFont val="Noto Sans CJK SC"/>
        <family val="2"/>
      </rPr>
      <t xml:space="preserve">語彙 </t>
    </r>
    <r>
      <rPr>
        <sz val="10"/>
        <rFont val="Arial"/>
        <family val="0"/>
        <charset val="1"/>
      </rPr>
      <t xml:space="preserve">của bài 15 trong sách để bổ sung.</t>
    </r>
  </si>
  <si>
    <r>
      <rPr>
        <b val="true"/>
        <sz val="12"/>
        <color rgb="FF1F3864"/>
        <rFont val="Arial"/>
        <family val="0"/>
        <charset val="1"/>
      </rPr>
      <t xml:space="preserve">NGÀY 51  ·  Tuần 8  ·  Minna Bài 16 (1/2)  ·  Nối câu bằng thể </t>
    </r>
    <r>
      <rPr>
        <b val="true"/>
        <sz val="12"/>
        <color rgb="FF1F3864"/>
        <rFont val="Noto Sans CJK SC"/>
        <family val="2"/>
      </rPr>
      <t xml:space="preserve">て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</si>
  <si>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彳 </t>
    </r>
    <r>
      <rPr>
        <sz val="10"/>
        <rFont val="Arial"/>
        <family val="0"/>
        <charset val="1"/>
      </rPr>
      <t xml:space="preserve">(</t>
    </r>
    <r>
      <rPr>
        <sz val="10"/>
        <rFont val="Noto Sans CJK SC"/>
        <family val="2"/>
      </rPr>
      <t xml:space="preserve">ぎょうにんべん</t>
    </r>
    <r>
      <rPr>
        <sz val="10"/>
        <rFont val="Arial"/>
        <family val="0"/>
        <charset val="1"/>
      </rPr>
      <t xml:space="preserve">) = Bước đi, hành trình
   Mẹo nhớ: Ngã ba đường thu nhỏ bên trái
   Kanji chứa bộ này: </t>
    </r>
    <r>
      <rPr>
        <sz val="10"/>
        <rFont val="Noto Sans CJK SC"/>
        <family val="2"/>
      </rPr>
      <t xml:space="preserve">後・待・役</t>
    </r>
  </si>
  <si>
    <r>
      <rPr>
        <sz val="10"/>
        <rFont val="Arial"/>
        <family val="0"/>
        <charset val="1"/>
      </rPr>
      <t xml:space="preserve">Học 2 chữ. Mỗi chữ viết tay 10 lần đúng thứ tự nét.
• </t>
    </r>
    <r>
      <rPr>
        <sz val="10"/>
        <rFont val="Noto Sans CJK SC"/>
        <family val="2"/>
      </rPr>
      <t xml:space="preserve">道 </t>
    </r>
    <r>
      <rPr>
        <sz val="10"/>
        <rFont val="Arial"/>
        <family val="0"/>
        <charset val="1"/>
      </rPr>
      <t xml:space="preserve">[ĐẠO] Đường, con đường — On: </t>
    </r>
    <r>
      <rPr>
        <sz val="10"/>
        <rFont val="Noto Sans CJK SC"/>
        <family val="2"/>
      </rPr>
      <t xml:space="preserve">ドウ </t>
    </r>
    <r>
      <rPr>
        <sz val="10"/>
        <rFont val="Arial"/>
        <family val="0"/>
        <charset val="1"/>
      </rPr>
      <t xml:space="preserve">/ Kun: </t>
    </r>
    <r>
      <rPr>
        <sz val="10"/>
        <rFont val="Noto Sans CJK SC"/>
        <family val="2"/>
      </rPr>
      <t xml:space="preserve">みち </t>
    </r>
    <r>
      <rPr>
        <sz val="10"/>
        <rFont val="Arial"/>
        <family val="0"/>
        <charset val="1"/>
      </rPr>
      <t xml:space="preserve">(12 nét)
   Từ ghép: </t>
    </r>
    <r>
      <rPr>
        <sz val="10"/>
        <rFont val="Noto Sans CJK SC"/>
        <family val="2"/>
      </rPr>
      <t xml:space="preserve">道 </t>
    </r>
    <r>
      <rPr>
        <sz val="10"/>
        <rFont val="Arial"/>
        <family val="0"/>
        <charset val="1"/>
      </rPr>
      <t xml:space="preserve">(</t>
    </r>
    <r>
      <rPr>
        <sz val="10"/>
        <rFont val="Noto Sans CJK SC"/>
        <family val="2"/>
      </rPr>
      <t xml:space="preserve">みち</t>
    </r>
    <r>
      <rPr>
        <sz val="10"/>
        <rFont val="Arial"/>
        <family val="0"/>
        <charset val="1"/>
      </rPr>
      <t xml:space="preserve">) con đường </t>
    </r>
    <r>
      <rPr>
        <sz val="10"/>
        <rFont val="Noto Sans CJK SC"/>
        <family val="2"/>
      </rPr>
      <t xml:space="preserve">・ 北海道 </t>
    </r>
    <r>
      <rPr>
        <sz val="10"/>
        <rFont val="Arial"/>
        <family val="0"/>
        <charset val="1"/>
      </rPr>
      <t xml:space="preserve">(</t>
    </r>
    <r>
      <rPr>
        <sz val="10"/>
        <rFont val="Noto Sans CJK SC"/>
        <family val="2"/>
      </rPr>
      <t xml:space="preserve">ほっかいどう</t>
    </r>
    <r>
      <rPr>
        <sz val="10"/>
        <rFont val="Arial"/>
        <family val="0"/>
        <charset val="1"/>
      </rPr>
      <t xml:space="preserve">) Hokkaido </t>
    </r>
    <r>
      <rPr>
        <sz val="10"/>
        <rFont val="Noto Sans CJK SC"/>
        <family val="2"/>
      </rPr>
      <t xml:space="preserve">・ 柔道 </t>
    </r>
    <r>
      <rPr>
        <sz val="10"/>
        <rFont val="Arial"/>
        <family val="0"/>
        <charset val="1"/>
      </rPr>
      <t xml:space="preserve">(</t>
    </r>
    <r>
      <rPr>
        <sz val="10"/>
        <rFont val="Noto Sans CJK SC"/>
        <family val="2"/>
      </rPr>
      <t xml:space="preserve">じゅうどう</t>
    </r>
    <r>
      <rPr>
        <sz val="10"/>
        <rFont val="Arial"/>
        <family val="0"/>
        <charset val="1"/>
      </rPr>
      <t xml:space="preserve">) judo
   Mẹo: Bộ </t>
    </r>
    <r>
      <rPr>
        <sz val="10"/>
        <rFont val="Noto Sans CJK SC"/>
        <family val="2"/>
      </rPr>
      <t xml:space="preserve">辶 </t>
    </r>
    <r>
      <rPr>
        <sz val="10"/>
        <rFont val="Arial"/>
        <family val="0"/>
        <charset val="1"/>
      </rPr>
      <t xml:space="preserve">(di chuyển) + </t>
    </r>
    <r>
      <rPr>
        <sz val="10"/>
        <rFont val="Noto Sans CJK SC"/>
        <family val="2"/>
      </rPr>
      <t xml:space="preserve">首 </t>
    </r>
    <r>
      <rPr>
        <sz val="10"/>
        <rFont val="Arial"/>
        <family val="0"/>
        <charset val="1"/>
      </rPr>
      <t xml:space="preserve">(cái đầu) = ngẩng đầu bước đi trên con ĐƯỜNG.
• </t>
    </r>
    <r>
      <rPr>
        <sz val="10"/>
        <rFont val="Noto Sans CJK SC"/>
        <family val="2"/>
      </rPr>
      <t xml:space="preserve">水 </t>
    </r>
    <r>
      <rPr>
        <sz val="10"/>
        <rFont val="Arial"/>
        <family val="0"/>
        <charset val="1"/>
      </rPr>
      <t xml:space="preserve">[THỦY] Nước — On: </t>
    </r>
    <r>
      <rPr>
        <sz val="10"/>
        <rFont val="Noto Sans CJK SC"/>
        <family val="2"/>
      </rPr>
      <t xml:space="preserve">スイ </t>
    </r>
    <r>
      <rPr>
        <sz val="10"/>
        <rFont val="Arial"/>
        <family val="0"/>
        <charset val="1"/>
      </rPr>
      <t xml:space="preserve">/ Kun: </t>
    </r>
    <r>
      <rPr>
        <sz val="10"/>
        <rFont val="Noto Sans CJK SC"/>
        <family val="2"/>
      </rPr>
      <t xml:space="preserve">みず </t>
    </r>
    <r>
      <rPr>
        <sz val="10"/>
        <rFont val="Arial"/>
        <family val="0"/>
        <charset val="1"/>
      </rPr>
      <t xml:space="preserve">(4 nét)
   Từ ghép: </t>
    </r>
    <r>
      <rPr>
        <sz val="10"/>
        <rFont val="Noto Sans CJK SC"/>
        <family val="2"/>
      </rPr>
      <t xml:space="preserve">水 </t>
    </r>
    <r>
      <rPr>
        <sz val="10"/>
        <rFont val="Arial"/>
        <family val="0"/>
        <charset val="1"/>
      </rPr>
      <t xml:space="preserve">(</t>
    </r>
    <r>
      <rPr>
        <sz val="10"/>
        <rFont val="Noto Sans CJK SC"/>
        <family val="2"/>
      </rPr>
      <t xml:space="preserve">みず</t>
    </r>
    <r>
      <rPr>
        <sz val="10"/>
        <rFont val="Arial"/>
        <family val="0"/>
        <charset val="1"/>
      </rPr>
      <t xml:space="preserve">) nước </t>
    </r>
    <r>
      <rPr>
        <sz val="10"/>
        <rFont val="Noto Sans CJK SC"/>
        <family val="2"/>
      </rPr>
      <t xml:space="preserve">・ 水曜日 </t>
    </r>
    <r>
      <rPr>
        <sz val="10"/>
        <rFont val="Arial"/>
        <family val="0"/>
        <charset val="1"/>
      </rPr>
      <t xml:space="preserve">(</t>
    </r>
    <r>
      <rPr>
        <sz val="10"/>
        <rFont val="Noto Sans CJK SC"/>
        <family val="2"/>
      </rPr>
      <t xml:space="preserve">すいようび</t>
    </r>
    <r>
      <rPr>
        <sz val="10"/>
        <rFont val="Arial"/>
        <family val="0"/>
        <charset val="1"/>
      </rPr>
      <t xml:space="preserve">) thứ Tư </t>
    </r>
    <r>
      <rPr>
        <sz val="10"/>
        <rFont val="Noto Sans CJK SC"/>
        <family val="2"/>
      </rPr>
      <t xml:space="preserve">・ 水道 </t>
    </r>
    <r>
      <rPr>
        <sz val="10"/>
        <rFont val="Arial"/>
        <family val="0"/>
        <charset val="1"/>
      </rPr>
      <t xml:space="preserve">(</t>
    </r>
    <r>
      <rPr>
        <sz val="10"/>
        <rFont val="Noto Sans CJK SC"/>
        <family val="2"/>
      </rPr>
      <t xml:space="preserve">すいどう</t>
    </r>
    <r>
      <rPr>
        <sz val="10"/>
        <rFont val="Arial"/>
        <family val="0"/>
        <charset val="1"/>
      </rPr>
      <t xml:space="preserve">) đường ống nước
   Mẹo: Dòng nước chảy với các tia bắn ra hai bên.</t>
    </r>
  </si>
  <si>
    <r>
      <rPr>
        <sz val="10"/>
        <rFont val="Arial"/>
        <family val="0"/>
        <charset val="1"/>
      </rPr>
      <t xml:space="preserve">Minna bài 16 (1/2) — Nối câu bằng thể </t>
    </r>
    <r>
      <rPr>
        <sz val="10"/>
        <rFont val="Noto Sans CJK SC"/>
        <family val="2"/>
      </rPr>
      <t xml:space="preserve">て
• </t>
    </r>
    <r>
      <rPr>
        <sz val="10"/>
        <rFont val="Arial"/>
        <family val="0"/>
        <charset val="1"/>
      </rPr>
      <t xml:space="preserve">V1 </t>
    </r>
    <r>
      <rPr>
        <sz val="10"/>
        <rFont val="Noto Sans CJK SC"/>
        <family val="2"/>
      </rPr>
      <t xml:space="preserve">て、</t>
    </r>
    <r>
      <rPr>
        <sz val="10"/>
        <rFont val="Arial"/>
        <family val="0"/>
        <charset val="1"/>
      </rPr>
      <t xml:space="preserve">V2 </t>
    </r>
    <r>
      <rPr>
        <sz val="10"/>
        <rFont val="Noto Sans CJK SC"/>
        <family val="2"/>
      </rPr>
      <t xml:space="preserve">て、</t>
    </r>
    <r>
      <rPr>
        <sz val="10"/>
        <rFont val="Arial"/>
        <family val="0"/>
        <charset val="1"/>
      </rPr>
      <t xml:space="preserve">V3  (Làm V1 rồi V2 rồi V3 — nối các hành động theo trình tự thời gian.)
   Ví dụ: </t>
    </r>
    <r>
      <rPr>
        <sz val="10"/>
        <rFont val="Noto Sans CJK SC"/>
        <family val="2"/>
      </rPr>
      <t xml:space="preserve">朝 起きて、シャワーを 浴びて、会社へ 行きます。  </t>
    </r>
    <r>
      <rPr>
        <sz val="10"/>
        <rFont val="Arial"/>
        <family val="0"/>
        <charset val="1"/>
      </rPr>
      <t xml:space="preserve">= Sáng dậy, tắm rồi đi làm.
• V1 </t>
    </r>
    <r>
      <rPr>
        <sz val="10"/>
        <rFont val="Noto Sans CJK SC"/>
        <family val="2"/>
      </rPr>
      <t xml:space="preserve">て から、</t>
    </r>
    <r>
      <rPr>
        <sz val="10"/>
        <rFont val="Arial"/>
        <family val="0"/>
        <charset val="1"/>
      </rPr>
      <t xml:space="preserve">V2  (Sau khi làm V1 thì làm V2. Nhấn mạnh thứ tự.)
   Ví dụ: </t>
    </r>
    <r>
      <rPr>
        <sz val="10"/>
        <rFont val="Noto Sans CJK SC"/>
        <family val="2"/>
      </rPr>
      <t xml:space="preserve">宿題を してから、遊びます。  </t>
    </r>
    <r>
      <rPr>
        <sz val="10"/>
        <rFont val="Arial"/>
        <family val="0"/>
        <charset val="1"/>
      </rPr>
      <t xml:space="preserve">= Sau khi làm bài tập xong thì tôi chơi.
• N </t>
    </r>
    <r>
      <rPr>
        <sz val="10"/>
        <rFont val="Noto Sans CJK SC"/>
        <family val="2"/>
      </rPr>
      <t xml:space="preserve">は </t>
    </r>
    <r>
      <rPr>
        <sz val="10"/>
        <rFont val="Arial"/>
        <family val="0"/>
        <charset val="1"/>
      </rPr>
      <t xml:space="preserve">N </t>
    </r>
    <r>
      <rPr>
        <sz val="10"/>
        <rFont val="Noto Sans CJK SC"/>
        <family val="2"/>
      </rPr>
      <t xml:space="preserve">が </t>
    </r>
    <r>
      <rPr>
        <sz val="10"/>
        <rFont val="Arial"/>
        <family val="0"/>
        <charset val="1"/>
      </rPr>
      <t xml:space="preserve">Adj </t>
    </r>
    <r>
      <rPr>
        <sz val="10"/>
        <rFont val="Noto Sans CJK SC"/>
        <family val="2"/>
      </rPr>
      <t xml:space="preserve">です  </t>
    </r>
    <r>
      <rPr>
        <sz val="10"/>
        <rFont val="Arial"/>
        <family val="0"/>
        <charset val="1"/>
      </rPr>
      <t xml:space="preserve">(Chủ đề N có đặc điểm gì đó. Câu hai tầng chủ ngữ.)
   Ví dụ: </t>
    </r>
    <r>
      <rPr>
        <sz val="10"/>
        <rFont val="Noto Sans CJK SC"/>
        <family val="2"/>
      </rPr>
      <t xml:space="preserve">東京は 人が 多いです。  </t>
    </r>
    <r>
      <rPr>
        <sz val="10"/>
        <rFont val="Arial"/>
        <family val="0"/>
        <charset val="1"/>
      </rPr>
      <t xml:space="preserve">= Tokyo thì đông người.
→ Làm </t>
    </r>
    <r>
      <rPr>
        <sz val="10"/>
        <rFont val="Noto Sans CJK SC"/>
        <family val="2"/>
      </rPr>
      <t xml:space="preserve">練習</t>
    </r>
    <r>
      <rPr>
        <sz val="10"/>
        <rFont val="Arial"/>
        <family val="0"/>
        <charset val="1"/>
      </rPr>
      <t xml:space="preserve">A của bài 16 trong sách, mỗi mẫu tự đặt 3 câu.</t>
    </r>
  </si>
  <si>
    <r>
      <rPr>
        <sz val="10"/>
        <rFont val="Arial"/>
        <family val="0"/>
        <charset val="1"/>
      </rPr>
      <t xml:space="preserve">Từ mới Minna bài 16:
• </t>
    </r>
    <r>
      <rPr>
        <sz val="10"/>
        <rFont val="Noto Sans CJK SC"/>
        <family val="2"/>
      </rPr>
      <t xml:space="preserve">あびます（浴びます） </t>
    </r>
    <r>
      <rPr>
        <sz val="10"/>
        <rFont val="Arial"/>
        <family val="0"/>
        <charset val="1"/>
      </rPr>
      <t xml:space="preserve">= Tắm (vòi sen)
   Mẹo: </t>
    </r>
    <r>
      <rPr>
        <sz val="10"/>
        <rFont val="Noto Sans CJK SC"/>
        <family val="2"/>
      </rPr>
      <t xml:space="preserve">シャワーを 浴びます</t>
    </r>
    <r>
      <rPr>
        <sz val="10"/>
        <rFont val="Arial"/>
        <family val="0"/>
        <charset val="1"/>
      </rPr>
      <t xml:space="preserve">. </t>
    </r>
    <r>
      <rPr>
        <sz val="10"/>
        <rFont val="Noto Sans CJK SC"/>
        <family val="2"/>
      </rPr>
      <t xml:space="preserve">浴 </t>
    </r>
    <r>
      <rPr>
        <sz val="10"/>
        <rFont val="Arial"/>
        <family val="0"/>
        <charset val="1"/>
      </rPr>
      <t xml:space="preserve">có </t>
    </r>
    <r>
      <rPr>
        <sz val="10"/>
        <rFont val="Noto Sans CJK SC"/>
        <family val="2"/>
      </rPr>
      <t xml:space="preserve">氵 </t>
    </r>
    <r>
      <rPr>
        <sz val="10"/>
        <rFont val="Arial"/>
        <family val="0"/>
        <charset val="1"/>
      </rPr>
      <t xml:space="preserve">(nước) → dội nước lên người.
• </t>
    </r>
    <r>
      <rPr>
        <sz val="10"/>
        <rFont val="Noto Sans CJK SC"/>
        <family val="2"/>
      </rPr>
      <t xml:space="preserve">いれます（入れます） </t>
    </r>
    <r>
      <rPr>
        <sz val="10"/>
        <rFont val="Arial"/>
        <family val="0"/>
        <charset val="1"/>
      </rPr>
      <t xml:space="preserve">= Cho vào, bỏ vào
   Mẹo: </t>
    </r>
    <r>
      <rPr>
        <sz val="10"/>
        <rFont val="Noto Sans CJK SC"/>
        <family val="2"/>
      </rPr>
      <t xml:space="preserve">入 </t>
    </r>
    <r>
      <rPr>
        <sz val="10"/>
        <rFont val="Arial"/>
        <family val="0"/>
        <charset val="1"/>
      </rPr>
      <t xml:space="preserve">(nhập) = vào. Tha động từ của </t>
    </r>
    <r>
      <rPr>
        <sz val="10"/>
        <rFont val="Noto Sans CJK SC"/>
        <family val="2"/>
      </rPr>
      <t xml:space="preserve">入ります</t>
    </r>
    <r>
      <rPr>
        <sz val="10"/>
        <rFont val="Arial"/>
        <family val="0"/>
        <charset val="1"/>
      </rPr>
      <t xml:space="preserve">.
• </t>
    </r>
    <r>
      <rPr>
        <sz val="10"/>
        <rFont val="Noto Sans CJK SC"/>
        <family val="2"/>
      </rPr>
      <t xml:space="preserve">だします（出します） </t>
    </r>
    <r>
      <rPr>
        <sz val="10"/>
        <rFont val="Arial"/>
        <family val="0"/>
        <charset val="1"/>
      </rPr>
      <t xml:space="preserve">= Lấy ra, nộp
   Mẹo: </t>
    </r>
    <r>
      <rPr>
        <sz val="10"/>
        <rFont val="Noto Sans CJK SC"/>
        <family val="2"/>
      </rPr>
      <t xml:space="preserve">出 </t>
    </r>
    <r>
      <rPr>
        <sz val="10"/>
        <rFont val="Arial"/>
        <family val="0"/>
        <charset val="1"/>
      </rPr>
      <t xml:space="preserve">(xuất) = ra. </t>
    </r>
    <r>
      <rPr>
        <sz val="10"/>
        <rFont val="Noto Sans CJK SC"/>
        <family val="2"/>
      </rPr>
      <t xml:space="preserve">レポートを 出します </t>
    </r>
    <r>
      <rPr>
        <sz val="10"/>
        <rFont val="Arial"/>
        <family val="0"/>
        <charset val="1"/>
      </rPr>
      <t xml:space="preserve">= nộp báo cáo.
• </t>
    </r>
    <r>
      <rPr>
        <sz val="10"/>
        <rFont val="Noto Sans CJK SC"/>
        <family val="2"/>
      </rPr>
      <t xml:space="preserve">おします（押します） </t>
    </r>
    <r>
      <rPr>
        <sz val="10"/>
        <rFont val="Arial"/>
        <family val="0"/>
        <charset val="1"/>
      </rPr>
      <t xml:space="preserve">= Ấn, đẩy
   Mẹo: </t>
    </r>
    <r>
      <rPr>
        <sz val="10"/>
        <rFont val="Noto Sans CJK SC"/>
        <family val="2"/>
      </rPr>
      <t xml:space="preserve">押 </t>
    </r>
    <r>
      <rPr>
        <sz val="10"/>
        <rFont val="Arial"/>
        <family val="0"/>
        <charset val="1"/>
      </rPr>
      <t xml:space="preserve">có </t>
    </r>
    <r>
      <rPr>
        <sz val="10"/>
        <rFont val="Noto Sans CJK SC"/>
        <family val="2"/>
      </rPr>
      <t xml:space="preserve">扌 </t>
    </r>
    <r>
      <rPr>
        <sz val="10"/>
        <rFont val="Arial"/>
        <family val="0"/>
        <charset val="1"/>
      </rPr>
      <t xml:space="preserve">(tay) → dùng tay ẤN. Trên cửa Nhật hay ghi </t>
    </r>
    <r>
      <rPr>
        <sz val="10"/>
        <rFont val="Noto Sans CJK SC"/>
        <family val="2"/>
      </rPr>
      <t xml:space="preserve">押</t>
    </r>
    <r>
      <rPr>
        <sz val="10"/>
        <rFont val="Arial"/>
        <family val="0"/>
        <charset val="1"/>
      </rPr>
      <t xml:space="preserve">/</t>
    </r>
    <r>
      <rPr>
        <sz val="10"/>
        <rFont val="Noto Sans CJK SC"/>
        <family val="2"/>
      </rPr>
      <t xml:space="preserve">引</t>
    </r>
    <r>
      <rPr>
        <sz val="10"/>
        <rFont val="Arial"/>
        <family val="0"/>
        <charset val="1"/>
      </rPr>
      <t xml:space="preserve">.
• </t>
    </r>
    <r>
      <rPr>
        <sz val="10"/>
        <rFont val="Noto Sans CJK SC"/>
        <family val="2"/>
      </rPr>
      <t xml:space="preserve">ひきます（引きます） </t>
    </r>
    <r>
      <rPr>
        <sz val="10"/>
        <rFont val="Arial"/>
        <family val="0"/>
        <charset val="1"/>
      </rPr>
      <t xml:space="preserve">= Kéo
   Mẹo: Đối lập với </t>
    </r>
    <r>
      <rPr>
        <sz val="10"/>
        <rFont val="Noto Sans CJK SC"/>
        <family val="2"/>
      </rPr>
      <t xml:space="preserve">押します</t>
    </r>
    <r>
      <rPr>
        <sz val="10"/>
        <rFont val="Arial"/>
        <family val="0"/>
        <charset val="1"/>
      </rPr>
      <t xml:space="preserve">. </t>
    </r>
    <r>
      <rPr>
        <sz val="10"/>
        <rFont val="Noto Sans CJK SC"/>
        <family val="2"/>
      </rPr>
      <t xml:space="preserve">引 </t>
    </r>
    <r>
      <rPr>
        <sz val="10"/>
        <rFont val="Arial"/>
        <family val="0"/>
        <charset val="1"/>
      </rPr>
      <t xml:space="preserve">nhìn như dây cung đang KÉO căng.
• </t>
    </r>
    <r>
      <rPr>
        <sz val="10"/>
        <rFont val="Noto Sans CJK SC"/>
        <family val="2"/>
      </rPr>
      <t xml:space="preserve">あるきます（歩きます） </t>
    </r>
    <r>
      <rPr>
        <sz val="10"/>
        <rFont val="Arial"/>
        <family val="0"/>
        <charset val="1"/>
      </rPr>
      <t xml:space="preserve">= Đi bộ
   Mẹo: </t>
    </r>
    <r>
      <rPr>
        <sz val="10"/>
        <rFont val="Noto Sans CJK SC"/>
        <family val="2"/>
      </rPr>
      <t xml:space="preserve">歩 </t>
    </r>
    <r>
      <rPr>
        <sz val="10"/>
        <rFont val="Arial"/>
        <family val="0"/>
        <charset val="1"/>
      </rPr>
      <t xml:space="preserve">có bộ </t>
    </r>
    <r>
      <rPr>
        <sz val="10"/>
        <rFont val="Noto Sans CJK SC"/>
        <family val="2"/>
      </rPr>
      <t xml:space="preserve">止 </t>
    </r>
    <r>
      <rPr>
        <sz val="10"/>
        <rFont val="Arial"/>
        <family val="0"/>
        <charset val="1"/>
      </rPr>
      <t xml:space="preserve">(bàn chân) → dùng chân bước.
• </t>
    </r>
    <r>
      <rPr>
        <sz val="10"/>
        <rFont val="Noto Sans CJK SC"/>
        <family val="2"/>
      </rPr>
      <t xml:space="preserve">わたります（渡ります） </t>
    </r>
    <r>
      <rPr>
        <sz val="10"/>
        <rFont val="Arial"/>
        <family val="0"/>
        <charset val="1"/>
      </rPr>
      <t xml:space="preserve">= Băng qua
   Mẹo: </t>
    </r>
    <r>
      <rPr>
        <sz val="10"/>
        <rFont val="Noto Sans CJK SC"/>
        <family val="2"/>
      </rPr>
      <t xml:space="preserve">渡 </t>
    </r>
    <r>
      <rPr>
        <sz val="10"/>
        <rFont val="Arial"/>
        <family val="0"/>
        <charset val="1"/>
      </rPr>
      <t xml:space="preserve">có </t>
    </r>
    <r>
      <rPr>
        <sz val="10"/>
        <rFont val="Noto Sans CJK SC"/>
        <family val="2"/>
      </rPr>
      <t xml:space="preserve">氵 </t>
    </r>
    <r>
      <rPr>
        <sz val="10"/>
        <rFont val="Arial"/>
        <family val="0"/>
        <charset val="1"/>
      </rPr>
      <t xml:space="preserve">(nước) → lội qua sông. </t>
    </r>
    <r>
      <rPr>
        <sz val="10"/>
        <rFont val="Noto Sans CJK SC"/>
        <family val="2"/>
      </rPr>
      <t xml:space="preserve">橋を 渡ります </t>
    </r>
    <r>
      <rPr>
        <sz val="10"/>
        <rFont val="Arial"/>
        <family val="0"/>
        <charset val="1"/>
      </rPr>
      <t xml:space="preserve">= qua cầu.
→ Đối chiếu thêm với mục </t>
    </r>
    <r>
      <rPr>
        <sz val="10"/>
        <rFont val="Noto Sans CJK SC"/>
        <family val="2"/>
      </rPr>
      <t xml:space="preserve">語彙 </t>
    </r>
    <r>
      <rPr>
        <sz val="10"/>
        <rFont val="Arial"/>
        <family val="0"/>
        <charset val="1"/>
      </rPr>
      <t xml:space="preserve">của bài 16 trong sách để bổ sung.</t>
    </r>
  </si>
  <si>
    <r>
      <rPr>
        <b val="true"/>
        <sz val="12"/>
        <color rgb="FF1F3864"/>
        <rFont val="Arial"/>
        <family val="0"/>
        <charset val="1"/>
      </rPr>
      <t xml:space="preserve">NGÀY 52  ·  Tuần 8  ·  Minna Bài 16 (2/2)  ·  Nối câu bằng thể </t>
    </r>
    <r>
      <rPr>
        <b val="true"/>
        <sz val="12"/>
        <color rgb="FF1F3864"/>
        <rFont val="Noto Sans CJK SC"/>
        <family val="2"/>
      </rPr>
      <t xml:space="preserve">て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</si>
  <si>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广 </t>
    </r>
    <r>
      <rPr>
        <sz val="10"/>
        <rFont val="Arial"/>
        <family val="0"/>
        <charset val="1"/>
      </rPr>
      <t xml:space="preserve">(</t>
    </r>
    <r>
      <rPr>
        <sz val="10"/>
        <rFont val="Noto Sans CJK SC"/>
        <family val="2"/>
      </rPr>
      <t xml:space="preserve">まだれ</t>
    </r>
    <r>
      <rPr>
        <sz val="10"/>
        <rFont val="Arial"/>
        <family val="0"/>
        <charset val="1"/>
      </rPr>
      <t xml:space="preserve">) = Mái hiên, công trình
   Mẹo nhớ: Mái nhà có tường một bên
   Kanji chứa bộ này: </t>
    </r>
    <r>
      <rPr>
        <sz val="10"/>
        <rFont val="Noto Sans CJK SC"/>
        <family val="2"/>
      </rPr>
      <t xml:space="preserve">店・広・度・庭</t>
    </r>
  </si>
  <si>
    <r>
      <rPr>
        <sz val="10"/>
        <rFont val="Arial"/>
        <family val="0"/>
        <charset val="1"/>
      </rPr>
      <t xml:space="preserve">Học 2 chữ. Mỗi chữ viết tay 10 lần đúng thứ tự nét.
• </t>
    </r>
    <r>
      <rPr>
        <sz val="10"/>
        <rFont val="Noto Sans CJK SC"/>
        <family val="2"/>
      </rPr>
      <t xml:space="preserve">半 </t>
    </r>
    <r>
      <rPr>
        <sz val="10"/>
        <rFont val="Arial"/>
        <family val="0"/>
        <charset val="1"/>
      </rPr>
      <t xml:space="preserve">[BÁN] Một nửa, rưỡi — On: </t>
    </r>
    <r>
      <rPr>
        <sz val="10"/>
        <rFont val="Noto Sans CJK SC"/>
        <family val="2"/>
      </rPr>
      <t xml:space="preserve">ハン </t>
    </r>
    <r>
      <rPr>
        <sz val="10"/>
        <rFont val="Arial"/>
        <family val="0"/>
        <charset val="1"/>
      </rPr>
      <t xml:space="preserve">/ Kun: </t>
    </r>
    <r>
      <rPr>
        <sz val="10"/>
        <rFont val="Noto Sans CJK SC"/>
        <family val="2"/>
      </rPr>
      <t xml:space="preserve">なか</t>
    </r>
    <r>
      <rPr>
        <sz val="10"/>
        <rFont val="Arial"/>
        <family val="0"/>
        <charset val="1"/>
      </rPr>
      <t xml:space="preserve">(</t>
    </r>
    <r>
      <rPr>
        <sz val="10"/>
        <rFont val="Noto Sans CJK SC"/>
        <family val="2"/>
      </rPr>
      <t xml:space="preserve">ば</t>
    </r>
    <r>
      <rPr>
        <sz val="10"/>
        <rFont val="Arial"/>
        <family val="0"/>
        <charset val="1"/>
      </rPr>
      <t xml:space="preserve">) (5 nét)
   Từ ghép: </t>
    </r>
    <r>
      <rPr>
        <sz val="10"/>
        <rFont val="Noto Sans CJK SC"/>
        <family val="2"/>
      </rPr>
      <t xml:space="preserve">半分 </t>
    </r>
    <r>
      <rPr>
        <sz val="10"/>
        <rFont val="Arial"/>
        <family val="0"/>
        <charset val="1"/>
      </rPr>
      <t xml:space="preserve">(</t>
    </r>
    <r>
      <rPr>
        <sz val="10"/>
        <rFont val="Noto Sans CJK SC"/>
        <family val="2"/>
      </rPr>
      <t xml:space="preserve">はんぶん</t>
    </r>
    <r>
      <rPr>
        <sz val="10"/>
        <rFont val="Arial"/>
        <family val="0"/>
        <charset val="1"/>
      </rPr>
      <t xml:space="preserve">) một nửa </t>
    </r>
    <r>
      <rPr>
        <sz val="10"/>
        <rFont val="Noto Sans CJK SC"/>
        <family val="2"/>
      </rPr>
      <t xml:space="preserve">・ 三時半 </t>
    </r>
    <r>
      <rPr>
        <sz val="10"/>
        <rFont val="Arial"/>
        <family val="0"/>
        <charset val="1"/>
      </rPr>
      <t xml:space="preserve">(</t>
    </r>
    <r>
      <rPr>
        <sz val="10"/>
        <rFont val="Noto Sans CJK SC"/>
        <family val="2"/>
      </rPr>
      <t xml:space="preserve">さんじはん</t>
    </r>
    <r>
      <rPr>
        <sz val="10"/>
        <rFont val="Arial"/>
        <family val="0"/>
        <charset val="1"/>
      </rPr>
      <t xml:space="preserve">) 3 giờ rưỡi </t>
    </r>
    <r>
      <rPr>
        <sz val="10"/>
        <rFont val="Noto Sans CJK SC"/>
        <family val="2"/>
      </rPr>
      <t xml:space="preserve">・ 半年 </t>
    </r>
    <r>
      <rPr>
        <sz val="10"/>
        <rFont val="Arial"/>
        <family val="0"/>
        <charset val="1"/>
      </rPr>
      <t xml:space="preserve">(</t>
    </r>
    <r>
      <rPr>
        <sz val="10"/>
        <rFont val="Noto Sans CJK SC"/>
        <family val="2"/>
      </rPr>
      <t xml:space="preserve">はんとし</t>
    </r>
    <r>
      <rPr>
        <sz val="10"/>
        <rFont val="Arial"/>
        <family val="0"/>
        <charset val="1"/>
      </rPr>
      <t xml:space="preserve">) nửa năm
   Mẹo: Chữ </t>
    </r>
    <r>
      <rPr>
        <sz val="10"/>
        <rFont val="Noto Sans CJK SC"/>
        <family val="2"/>
      </rPr>
      <t xml:space="preserve">八 </t>
    </r>
    <r>
      <rPr>
        <sz val="10"/>
        <rFont val="Arial"/>
        <family val="0"/>
        <charset val="1"/>
      </rPr>
      <t xml:space="preserve">(chia đôi) đè lên đầu = cắt vật ra làm hai → MỘT NỬA.
• </t>
    </r>
    <r>
      <rPr>
        <sz val="10"/>
        <rFont val="Noto Sans CJK SC"/>
        <family val="2"/>
      </rPr>
      <t xml:space="preserve">男 </t>
    </r>
    <r>
      <rPr>
        <sz val="10"/>
        <rFont val="Arial"/>
        <family val="0"/>
        <charset val="1"/>
      </rPr>
      <t xml:space="preserve">[NAM] Nam giới — On: </t>
    </r>
    <r>
      <rPr>
        <sz val="10"/>
        <rFont val="Noto Sans CJK SC"/>
        <family val="2"/>
      </rPr>
      <t xml:space="preserve">ダン・ナン </t>
    </r>
    <r>
      <rPr>
        <sz val="10"/>
        <rFont val="Arial"/>
        <family val="0"/>
        <charset val="1"/>
      </rPr>
      <t xml:space="preserve">/ Kun: </t>
    </r>
    <r>
      <rPr>
        <sz val="10"/>
        <rFont val="Noto Sans CJK SC"/>
        <family val="2"/>
      </rPr>
      <t xml:space="preserve">おとこ </t>
    </r>
    <r>
      <rPr>
        <sz val="10"/>
        <rFont val="Arial"/>
        <family val="0"/>
        <charset val="1"/>
      </rPr>
      <t xml:space="preserve">(7 nét)
   Từ ghép: </t>
    </r>
    <r>
      <rPr>
        <sz val="10"/>
        <rFont val="Noto Sans CJK SC"/>
        <family val="2"/>
      </rPr>
      <t xml:space="preserve">男の人 </t>
    </r>
    <r>
      <rPr>
        <sz val="10"/>
        <rFont val="Arial"/>
        <family val="0"/>
        <charset val="1"/>
      </rPr>
      <t xml:space="preserve">(</t>
    </r>
    <r>
      <rPr>
        <sz val="10"/>
        <rFont val="Noto Sans CJK SC"/>
        <family val="2"/>
      </rPr>
      <t xml:space="preserve">おとこのひと</t>
    </r>
    <r>
      <rPr>
        <sz val="10"/>
        <rFont val="Arial"/>
        <family val="0"/>
        <charset val="1"/>
      </rPr>
      <t xml:space="preserve">) đàn ông </t>
    </r>
    <r>
      <rPr>
        <sz val="10"/>
        <rFont val="Noto Sans CJK SC"/>
        <family val="2"/>
      </rPr>
      <t xml:space="preserve">・ 男子 </t>
    </r>
    <r>
      <rPr>
        <sz val="10"/>
        <rFont val="Arial"/>
        <family val="0"/>
        <charset val="1"/>
      </rPr>
      <t xml:space="preserve">(</t>
    </r>
    <r>
      <rPr>
        <sz val="10"/>
        <rFont val="Noto Sans CJK SC"/>
        <family val="2"/>
      </rPr>
      <t xml:space="preserve">だんし</t>
    </r>
    <r>
      <rPr>
        <sz val="10"/>
        <rFont val="Arial"/>
        <family val="0"/>
        <charset val="1"/>
      </rPr>
      <t xml:space="preserve">) nam giới </t>
    </r>
    <r>
      <rPr>
        <sz val="10"/>
        <rFont val="Noto Sans CJK SC"/>
        <family val="2"/>
      </rPr>
      <t xml:space="preserve">・ 長男 </t>
    </r>
    <r>
      <rPr>
        <sz val="10"/>
        <rFont val="Arial"/>
        <family val="0"/>
        <charset val="1"/>
      </rPr>
      <t xml:space="preserve">(</t>
    </r>
    <r>
      <rPr>
        <sz val="10"/>
        <rFont val="Noto Sans CJK SC"/>
        <family val="2"/>
      </rPr>
      <t xml:space="preserve">ちょうなん</t>
    </r>
    <r>
      <rPr>
        <sz val="10"/>
        <rFont val="Arial"/>
        <family val="0"/>
        <charset val="1"/>
      </rPr>
      <t xml:space="preserve">) con trai trưởng
   Mẹo: </t>
    </r>
    <r>
      <rPr>
        <sz val="10"/>
        <rFont val="Noto Sans CJK SC"/>
        <family val="2"/>
      </rPr>
      <t xml:space="preserve">田 </t>
    </r>
    <r>
      <rPr>
        <sz val="10"/>
        <rFont val="Arial"/>
        <family val="0"/>
        <charset val="1"/>
      </rPr>
      <t xml:space="preserve">(ruộng) + </t>
    </r>
    <r>
      <rPr>
        <sz val="10"/>
        <rFont val="Noto Sans CJK SC"/>
        <family val="2"/>
      </rPr>
      <t xml:space="preserve">力 </t>
    </r>
    <r>
      <rPr>
        <sz val="10"/>
        <rFont val="Arial"/>
        <family val="0"/>
        <charset val="1"/>
      </rPr>
      <t xml:space="preserve">(sức mạnh) = người dùng sức cày ruộng → ĐÀN ÔNG.</t>
    </r>
  </si>
  <si>
    <r>
      <rPr>
        <sz val="10"/>
        <rFont val="Arial"/>
        <family val="0"/>
        <charset val="1"/>
      </rPr>
      <t xml:space="preserve">Minna bài 16 (2/2) — Nối câu bằng thể </t>
    </r>
    <r>
      <rPr>
        <sz val="10"/>
        <rFont val="Noto Sans CJK SC"/>
        <family val="2"/>
      </rPr>
      <t xml:space="preserve">て
• </t>
    </r>
    <r>
      <rPr>
        <sz val="10"/>
        <rFont val="Arial"/>
        <family val="0"/>
        <charset val="1"/>
      </rPr>
      <t xml:space="preserve">Adj </t>
    </r>
    <r>
      <rPr>
        <sz val="10"/>
        <rFont val="Noto Sans CJK SC"/>
        <family val="2"/>
      </rPr>
      <t xml:space="preserve">て </t>
    </r>
    <r>
      <rPr>
        <sz val="10"/>
        <rFont val="Arial"/>
        <family val="0"/>
        <charset val="1"/>
      </rPr>
      <t xml:space="preserve">/ </t>
    </r>
    <r>
      <rPr>
        <sz val="10"/>
        <rFont val="Noto Sans CJK SC"/>
        <family val="2"/>
      </rPr>
      <t xml:space="preserve">で </t>
    </r>
    <r>
      <rPr>
        <sz val="10"/>
        <rFont val="Arial"/>
        <family val="0"/>
        <charset val="1"/>
      </rPr>
      <t xml:space="preserve">(nối tính từ)  (</t>
    </r>
    <r>
      <rPr>
        <sz val="10"/>
        <rFont val="Noto Sans CJK SC"/>
        <family val="2"/>
      </rPr>
      <t xml:space="preserve">い</t>
    </r>
    <r>
      <rPr>
        <sz val="10"/>
        <rFont val="Arial"/>
        <family val="0"/>
        <charset val="1"/>
      </rPr>
      <t xml:space="preserve">-adj: bỏ </t>
    </r>
    <r>
      <rPr>
        <sz val="10"/>
        <rFont val="Noto Sans CJK SC"/>
        <family val="2"/>
      </rPr>
      <t xml:space="preserve">い </t>
    </r>
    <r>
      <rPr>
        <sz val="10"/>
        <rFont val="Arial"/>
        <family val="0"/>
        <charset val="1"/>
      </rPr>
      <t xml:space="preserve">thêm </t>
    </r>
    <r>
      <rPr>
        <sz val="10"/>
        <rFont val="Noto Sans CJK SC"/>
        <family val="2"/>
      </rPr>
      <t xml:space="preserve">くて</t>
    </r>
    <r>
      <rPr>
        <sz val="10"/>
        <rFont val="Arial"/>
        <family val="0"/>
        <charset val="1"/>
      </rPr>
      <t xml:space="preserve">. </t>
    </r>
    <r>
      <rPr>
        <sz val="10"/>
        <rFont val="Noto Sans CJK SC"/>
        <family val="2"/>
      </rPr>
      <t xml:space="preserve">な</t>
    </r>
    <r>
      <rPr>
        <sz val="10"/>
        <rFont val="Arial"/>
        <family val="0"/>
        <charset val="1"/>
      </rPr>
      <t xml:space="preserve">-adj và N: thêm </t>
    </r>
    <r>
      <rPr>
        <sz val="10"/>
        <rFont val="Noto Sans CJK SC"/>
        <family val="2"/>
      </rPr>
      <t xml:space="preserve">で</t>
    </r>
    <r>
      <rPr>
        <sz val="10"/>
        <rFont val="Arial"/>
        <family val="0"/>
        <charset val="1"/>
      </rPr>
      <t xml:space="preserve">.)
   Ví dụ: </t>
    </r>
    <r>
      <rPr>
        <sz val="10"/>
        <rFont val="Noto Sans CJK SC"/>
        <family val="2"/>
      </rPr>
      <t xml:space="preserve">この 部屋は 広くて、明るいです。  </t>
    </r>
    <r>
      <rPr>
        <sz val="10"/>
        <rFont val="Arial"/>
        <family val="0"/>
        <charset val="1"/>
      </rPr>
      <t xml:space="preserve">= Phòng này rộng và sáng.
• </t>
    </r>
    <r>
      <rPr>
        <sz val="10"/>
        <rFont val="Noto Sans CJK SC"/>
        <family val="2"/>
      </rPr>
      <t xml:space="preserve">どうやって〜か  </t>
    </r>
    <r>
      <rPr>
        <sz val="10"/>
        <rFont val="Arial"/>
        <family val="0"/>
        <charset val="1"/>
      </rPr>
      <t xml:space="preserve">(Làm như thế nào? Hỏi cách thức, lộ trình.)
   Ví dụ: </t>
    </r>
    <r>
      <rPr>
        <sz val="10"/>
        <rFont val="Noto Sans CJK SC"/>
        <family val="2"/>
      </rPr>
      <t xml:space="preserve">駅まで どうやって 行きますか。  </t>
    </r>
    <r>
      <rPr>
        <sz val="10"/>
        <rFont val="Arial"/>
        <family val="0"/>
        <charset val="1"/>
      </rPr>
      <t xml:space="preserve">= Đi đến ga bằng cách nào?
→ Làm </t>
    </r>
    <r>
      <rPr>
        <sz val="10"/>
        <rFont val="Noto Sans CJK SC"/>
        <family val="2"/>
      </rPr>
      <t xml:space="preserve">練習</t>
    </r>
    <r>
      <rPr>
        <sz val="10"/>
        <rFont val="Arial"/>
        <family val="0"/>
        <charset val="1"/>
      </rPr>
      <t xml:space="preserve">A của bài 16 trong sách, mỗi mẫu tự đặt 3 câu.</t>
    </r>
  </si>
  <si>
    <r>
      <rPr>
        <sz val="10"/>
        <rFont val="Arial"/>
        <family val="0"/>
        <charset val="1"/>
      </rPr>
      <t xml:space="preserve">Từ mới Minna bài 16:
• </t>
    </r>
    <r>
      <rPr>
        <sz val="10"/>
        <rFont val="Noto Sans CJK SC"/>
        <family val="2"/>
      </rPr>
      <t xml:space="preserve">ひろい（広い） </t>
    </r>
    <r>
      <rPr>
        <sz val="10"/>
        <rFont val="Arial"/>
        <family val="0"/>
        <charset val="1"/>
      </rPr>
      <t xml:space="preserve">= Rộng
   Mẹo: </t>
    </r>
    <r>
      <rPr>
        <sz val="10"/>
        <rFont val="Noto Sans CJK SC"/>
        <family val="2"/>
      </rPr>
      <t xml:space="preserve">広 </t>
    </r>
    <r>
      <rPr>
        <sz val="10"/>
        <rFont val="Arial"/>
        <family val="0"/>
        <charset val="1"/>
      </rPr>
      <t xml:space="preserve">có bộ </t>
    </r>
    <r>
      <rPr>
        <sz val="10"/>
        <rFont val="Noto Sans CJK SC"/>
        <family val="2"/>
      </rPr>
      <t xml:space="preserve">广 </t>
    </r>
    <r>
      <rPr>
        <sz val="10"/>
        <rFont val="Arial"/>
        <family val="0"/>
        <charset val="1"/>
      </rPr>
      <t xml:space="preserve">(mái hiên) → mái che một khoảng RỘNG.
• </t>
    </r>
    <r>
      <rPr>
        <sz val="10"/>
        <rFont val="Noto Sans CJK SC"/>
        <family val="2"/>
      </rPr>
      <t xml:space="preserve">せまい（狭い） </t>
    </r>
    <r>
      <rPr>
        <sz val="10"/>
        <rFont val="Arial"/>
        <family val="0"/>
        <charset val="1"/>
      </rPr>
      <t xml:space="preserve">= Chật, hẹp
   Mẹo: </t>
    </r>
    <r>
      <rPr>
        <sz val="10"/>
        <rFont val="Noto Sans CJK SC"/>
        <family val="2"/>
      </rPr>
      <t xml:space="preserve">狭 </t>
    </r>
    <r>
      <rPr>
        <sz val="10"/>
        <rFont val="Arial"/>
        <family val="0"/>
        <charset val="1"/>
      </rPr>
      <t xml:space="preserve">có bộ </t>
    </r>
    <r>
      <rPr>
        <sz val="10"/>
        <rFont val="Noto Sans CJK SC"/>
        <family val="2"/>
      </rPr>
      <t xml:space="preserve">犭 </t>
    </r>
    <r>
      <rPr>
        <sz val="10"/>
        <rFont val="Arial"/>
        <family val="0"/>
        <charset val="1"/>
      </rPr>
      <t xml:space="preserve">(con thú) → chuồng thú chật chội.
• </t>
    </r>
    <r>
      <rPr>
        <sz val="10"/>
        <rFont val="Noto Sans CJK SC"/>
        <family val="2"/>
      </rPr>
      <t xml:space="preserve">あかるい（明るい） </t>
    </r>
    <r>
      <rPr>
        <sz val="10"/>
        <rFont val="Arial"/>
        <family val="0"/>
        <charset val="1"/>
      </rPr>
      <t xml:space="preserve">= Sáng
   Mẹo: </t>
    </r>
    <r>
      <rPr>
        <sz val="10"/>
        <rFont val="Noto Sans CJK SC"/>
        <family val="2"/>
      </rPr>
      <t xml:space="preserve">明 </t>
    </r>
    <r>
      <rPr>
        <sz val="10"/>
        <rFont val="Arial"/>
        <family val="0"/>
        <charset val="1"/>
      </rPr>
      <t xml:space="preserve">= </t>
    </r>
    <r>
      <rPr>
        <sz val="10"/>
        <rFont val="Noto Sans CJK SC"/>
        <family val="2"/>
      </rPr>
      <t xml:space="preserve">日 </t>
    </r>
    <r>
      <rPr>
        <sz val="10"/>
        <rFont val="Arial"/>
        <family val="0"/>
        <charset val="1"/>
      </rPr>
      <t xml:space="preserve">(mặt trời) + </t>
    </r>
    <r>
      <rPr>
        <sz val="10"/>
        <rFont val="Noto Sans CJK SC"/>
        <family val="2"/>
      </rPr>
      <t xml:space="preserve">月 </t>
    </r>
    <r>
      <rPr>
        <sz val="10"/>
        <rFont val="Arial"/>
        <family val="0"/>
        <charset val="1"/>
      </rPr>
      <t xml:space="preserve">(mặt trăng) → cả hai cùng chiếu = SÁNG.
• </t>
    </r>
    <r>
      <rPr>
        <sz val="10"/>
        <rFont val="Noto Sans CJK SC"/>
        <family val="2"/>
      </rPr>
      <t xml:space="preserve">くらい（暗い） </t>
    </r>
    <r>
      <rPr>
        <sz val="10"/>
        <rFont val="Arial"/>
        <family val="0"/>
        <charset val="1"/>
      </rPr>
      <t xml:space="preserve">= Tối
   Mẹo: </t>
    </r>
    <r>
      <rPr>
        <sz val="10"/>
        <rFont val="Noto Sans CJK SC"/>
        <family val="2"/>
      </rPr>
      <t xml:space="preserve">暗 </t>
    </r>
    <r>
      <rPr>
        <sz val="10"/>
        <rFont val="Arial"/>
        <family val="0"/>
        <charset val="1"/>
      </rPr>
      <t xml:space="preserve">= </t>
    </r>
    <r>
      <rPr>
        <sz val="10"/>
        <rFont val="Noto Sans CJK SC"/>
        <family val="2"/>
      </rPr>
      <t xml:space="preserve">日 </t>
    </r>
    <r>
      <rPr>
        <sz val="10"/>
        <rFont val="Arial"/>
        <family val="0"/>
        <charset val="1"/>
      </rPr>
      <t xml:space="preserve">(mặt trời) + </t>
    </r>
    <r>
      <rPr>
        <sz val="10"/>
        <rFont val="Noto Sans CJK SC"/>
        <family val="2"/>
      </rPr>
      <t xml:space="preserve">音 </t>
    </r>
    <r>
      <rPr>
        <sz val="10"/>
        <rFont val="Arial"/>
        <family val="0"/>
        <charset val="1"/>
      </rPr>
      <t xml:space="preserve">(âm thanh) → chỉ nghe tiếng, không thấy gì = TỐI.
• </t>
    </r>
    <r>
      <rPr>
        <sz val="10"/>
        <rFont val="Noto Sans CJK SC"/>
        <family val="2"/>
      </rPr>
      <t xml:space="preserve">わかい（若い） </t>
    </r>
    <r>
      <rPr>
        <sz val="10"/>
        <rFont val="Arial"/>
        <family val="0"/>
        <charset val="1"/>
      </rPr>
      <t xml:space="preserve">= Trẻ
   Mẹo: </t>
    </r>
    <r>
      <rPr>
        <sz val="10"/>
        <rFont val="Noto Sans CJK SC"/>
        <family val="2"/>
      </rPr>
      <t xml:space="preserve">若 </t>
    </r>
    <r>
      <rPr>
        <sz val="10"/>
        <rFont val="Arial"/>
        <family val="0"/>
        <charset val="1"/>
      </rPr>
      <t xml:space="preserve">có bộ </t>
    </r>
    <r>
      <rPr>
        <sz val="10"/>
        <rFont val="Noto Sans CJK SC"/>
        <family val="2"/>
      </rPr>
      <t xml:space="preserve">艹 </t>
    </r>
    <r>
      <rPr>
        <sz val="10"/>
        <rFont val="Arial"/>
        <family val="0"/>
        <charset val="1"/>
      </rPr>
      <t xml:space="preserve">(cỏ non) → mầm non = TRẺ.
• </t>
    </r>
    <r>
      <rPr>
        <sz val="10"/>
        <rFont val="Noto Sans CJK SC"/>
        <family val="2"/>
      </rPr>
      <t xml:space="preserve">しんごう（信号） </t>
    </r>
    <r>
      <rPr>
        <sz val="10"/>
        <rFont val="Arial"/>
        <family val="0"/>
        <charset val="1"/>
      </rPr>
      <t xml:space="preserve">= Đèn giao thông
   Mẹo: TÍN HIỆU. </t>
    </r>
    <r>
      <rPr>
        <sz val="10"/>
        <rFont val="Noto Sans CJK SC"/>
        <family val="2"/>
      </rPr>
      <t xml:space="preserve">信号を 右へ 曲がります </t>
    </r>
    <r>
      <rPr>
        <sz val="10"/>
        <rFont val="Arial"/>
        <family val="0"/>
        <charset val="1"/>
      </rPr>
      <t xml:space="preserve">= rẽ phải ở đèn giao thông.
• </t>
    </r>
    <r>
      <rPr>
        <sz val="10"/>
        <rFont val="Noto Sans CJK SC"/>
        <family val="2"/>
      </rPr>
      <t xml:space="preserve">こうさてん（交差点） </t>
    </r>
    <r>
      <rPr>
        <sz val="10"/>
        <rFont val="Arial"/>
        <family val="0"/>
        <charset val="1"/>
      </rPr>
      <t xml:space="preserve">= Ngã tư
   Mẹo: GIAO SAI ĐIỂM = điểm giao cắt.
→ Đối chiếu thêm với mục </t>
    </r>
    <r>
      <rPr>
        <sz val="10"/>
        <rFont val="Noto Sans CJK SC"/>
        <family val="2"/>
      </rPr>
      <t xml:space="preserve">語彙 </t>
    </r>
    <r>
      <rPr>
        <sz val="10"/>
        <rFont val="Arial"/>
        <family val="0"/>
        <charset val="1"/>
      </rPr>
      <t xml:space="preserve">của bài 16 trong sách để bổ sung.</t>
    </r>
  </si>
  <si>
    <r>
      <rPr>
        <b val="true"/>
        <sz val="12"/>
        <color rgb="FF1F3864"/>
        <rFont val="Arial"/>
        <family val="0"/>
        <charset val="1"/>
      </rPr>
      <t xml:space="preserve">NGÀY 53  ·  Tuần 8  ·  Minna Bài 17 (1/3)  ·  Thể </t>
    </r>
    <r>
      <rPr>
        <b val="true"/>
        <sz val="12"/>
        <color rgb="FF1F3864"/>
        <rFont val="Noto Sans CJK SC"/>
        <family val="2"/>
      </rPr>
      <t xml:space="preserve">ない — </t>
    </r>
    <r>
      <rPr>
        <b val="true"/>
        <sz val="12"/>
        <color rgb="FF1F3864"/>
        <rFont val="Arial"/>
        <family val="0"/>
        <charset val="1"/>
      </rPr>
      <t xml:space="preserve">Cấm, Bắt buộc, Không cần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</si>
  <si>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儿 </t>
    </r>
    <r>
      <rPr>
        <sz val="10"/>
        <rFont val="Arial"/>
        <family val="0"/>
        <charset val="1"/>
      </rPr>
      <t xml:space="preserve">(</t>
    </r>
    <r>
      <rPr>
        <sz val="10"/>
        <rFont val="Noto Sans CJK SC"/>
        <family val="2"/>
      </rPr>
      <t xml:space="preserve">にんにょう</t>
    </r>
    <r>
      <rPr>
        <sz val="10"/>
        <rFont val="Arial"/>
        <family val="0"/>
        <charset val="1"/>
      </rPr>
      <t xml:space="preserve">) = Đôi chân người
   Mẹo nhớ: Hai chân đỡ phần trên của chữ
   Kanji chứa bộ này: </t>
    </r>
    <r>
      <rPr>
        <sz val="10"/>
        <rFont val="Noto Sans CJK SC"/>
        <family val="2"/>
      </rPr>
      <t xml:space="preserve">先・見・元・光</t>
    </r>
  </si>
  <si>
    <r>
      <rPr>
        <sz val="10"/>
        <rFont val="Arial"/>
        <family val="0"/>
        <charset val="1"/>
      </rPr>
      <t xml:space="preserve">Học 2 chữ. Mỗi chữ viết tay 10 lần đúng thứ tự nét.
• </t>
    </r>
    <r>
      <rPr>
        <sz val="10"/>
        <rFont val="Noto Sans CJK SC"/>
        <family val="2"/>
      </rPr>
      <t xml:space="preserve">西 </t>
    </r>
    <r>
      <rPr>
        <sz val="10"/>
        <rFont val="Arial"/>
        <family val="0"/>
        <charset val="1"/>
      </rPr>
      <t xml:space="preserve">[TÂY] Hướng tây — On: </t>
    </r>
    <r>
      <rPr>
        <sz val="10"/>
        <rFont val="Noto Sans CJK SC"/>
        <family val="2"/>
      </rPr>
      <t xml:space="preserve">セイ・サイ </t>
    </r>
    <r>
      <rPr>
        <sz val="10"/>
        <rFont val="Arial"/>
        <family val="0"/>
        <charset val="1"/>
      </rPr>
      <t xml:space="preserve">/ Kun: </t>
    </r>
    <r>
      <rPr>
        <sz val="10"/>
        <rFont val="Noto Sans CJK SC"/>
        <family val="2"/>
      </rPr>
      <t xml:space="preserve">にし </t>
    </r>
    <r>
      <rPr>
        <sz val="10"/>
        <rFont val="Arial"/>
        <family val="0"/>
        <charset val="1"/>
      </rPr>
      <t xml:space="preserve">(6 nét)
   Từ ghép: </t>
    </r>
    <r>
      <rPr>
        <sz val="10"/>
        <rFont val="Noto Sans CJK SC"/>
        <family val="2"/>
      </rPr>
      <t xml:space="preserve">西 </t>
    </r>
    <r>
      <rPr>
        <sz val="10"/>
        <rFont val="Arial"/>
        <family val="0"/>
        <charset val="1"/>
      </rPr>
      <t xml:space="preserve">(</t>
    </r>
    <r>
      <rPr>
        <sz val="10"/>
        <rFont val="Noto Sans CJK SC"/>
        <family val="2"/>
      </rPr>
      <t xml:space="preserve">にし</t>
    </r>
    <r>
      <rPr>
        <sz val="10"/>
        <rFont val="Arial"/>
        <family val="0"/>
        <charset val="1"/>
      </rPr>
      <t xml:space="preserve">) hướng tây </t>
    </r>
    <r>
      <rPr>
        <sz val="10"/>
        <rFont val="Noto Sans CJK SC"/>
        <family val="2"/>
      </rPr>
      <t xml:space="preserve">・ 西口 </t>
    </r>
    <r>
      <rPr>
        <sz val="10"/>
        <rFont val="Arial"/>
        <family val="0"/>
        <charset val="1"/>
      </rPr>
      <t xml:space="preserve">(</t>
    </r>
    <r>
      <rPr>
        <sz val="10"/>
        <rFont val="Noto Sans CJK SC"/>
        <family val="2"/>
      </rPr>
      <t xml:space="preserve">にしぐち</t>
    </r>
    <r>
      <rPr>
        <sz val="10"/>
        <rFont val="Arial"/>
        <family val="0"/>
        <charset val="1"/>
      </rPr>
      <t xml:space="preserve">) cửa tây </t>
    </r>
    <r>
      <rPr>
        <sz val="10"/>
        <rFont val="Noto Sans CJK SC"/>
        <family val="2"/>
      </rPr>
      <t xml:space="preserve">・ 関西 </t>
    </r>
    <r>
      <rPr>
        <sz val="10"/>
        <rFont val="Arial"/>
        <family val="0"/>
        <charset val="1"/>
      </rPr>
      <t xml:space="preserve">(</t>
    </r>
    <r>
      <rPr>
        <sz val="10"/>
        <rFont val="Noto Sans CJK SC"/>
        <family val="2"/>
      </rPr>
      <t xml:space="preserve">かんさい</t>
    </r>
    <r>
      <rPr>
        <sz val="10"/>
        <rFont val="Arial"/>
        <family val="0"/>
        <charset val="1"/>
      </rPr>
      <t xml:space="preserve">) vùng Kansai
   Mẹo: Hình con chim đậu vào tổ khi mặt trời lặn phía TÂY.
• </t>
    </r>
    <r>
      <rPr>
        <sz val="10"/>
        <rFont val="Noto Sans CJK SC"/>
        <family val="2"/>
      </rPr>
      <t xml:space="preserve">電 </t>
    </r>
    <r>
      <rPr>
        <sz val="10"/>
        <rFont val="Arial"/>
        <family val="0"/>
        <charset val="1"/>
      </rPr>
      <t xml:space="preserve">[ĐIỆN] Điện — On: </t>
    </r>
    <r>
      <rPr>
        <sz val="10"/>
        <rFont val="Noto Sans CJK SC"/>
        <family val="2"/>
      </rPr>
      <t xml:space="preserve">デン </t>
    </r>
    <r>
      <rPr>
        <sz val="10"/>
        <rFont val="Arial"/>
        <family val="0"/>
        <charset val="1"/>
      </rPr>
      <t xml:space="preserve">/ Kun: — (13 nét)
   Từ ghép: </t>
    </r>
    <r>
      <rPr>
        <sz val="10"/>
        <rFont val="Noto Sans CJK SC"/>
        <family val="2"/>
      </rPr>
      <t xml:space="preserve">電車 </t>
    </r>
    <r>
      <rPr>
        <sz val="10"/>
        <rFont val="Arial"/>
        <family val="0"/>
        <charset val="1"/>
      </rPr>
      <t xml:space="preserve">(</t>
    </r>
    <r>
      <rPr>
        <sz val="10"/>
        <rFont val="Noto Sans CJK SC"/>
        <family val="2"/>
      </rPr>
      <t xml:space="preserve">でんしゃ</t>
    </r>
    <r>
      <rPr>
        <sz val="10"/>
        <rFont val="Arial"/>
        <family val="0"/>
        <charset val="1"/>
      </rPr>
      <t xml:space="preserve">) tàu điện </t>
    </r>
    <r>
      <rPr>
        <sz val="10"/>
        <rFont val="Noto Sans CJK SC"/>
        <family val="2"/>
      </rPr>
      <t xml:space="preserve">・ 電話 </t>
    </r>
    <r>
      <rPr>
        <sz val="10"/>
        <rFont val="Arial"/>
        <family val="0"/>
        <charset val="1"/>
      </rPr>
      <t xml:space="preserve">(</t>
    </r>
    <r>
      <rPr>
        <sz val="10"/>
        <rFont val="Noto Sans CJK SC"/>
        <family val="2"/>
      </rPr>
      <t xml:space="preserve">でんわ</t>
    </r>
    <r>
      <rPr>
        <sz val="10"/>
        <rFont val="Arial"/>
        <family val="0"/>
        <charset val="1"/>
      </rPr>
      <t xml:space="preserve">) điện thoại </t>
    </r>
    <r>
      <rPr>
        <sz val="10"/>
        <rFont val="Noto Sans CJK SC"/>
        <family val="2"/>
      </rPr>
      <t xml:space="preserve">・ 電気 </t>
    </r>
    <r>
      <rPr>
        <sz val="10"/>
        <rFont val="Arial"/>
        <family val="0"/>
        <charset val="1"/>
      </rPr>
      <t xml:space="preserve">(</t>
    </r>
    <r>
      <rPr>
        <sz val="10"/>
        <rFont val="Noto Sans CJK SC"/>
        <family val="2"/>
      </rPr>
      <t xml:space="preserve">でんき</t>
    </r>
    <r>
      <rPr>
        <sz val="10"/>
        <rFont val="Arial"/>
        <family val="0"/>
        <charset val="1"/>
      </rPr>
      <t xml:space="preserve">) đèn/điện
   Mẹo: Bộ </t>
    </r>
    <r>
      <rPr>
        <sz val="10"/>
        <rFont val="Noto Sans CJK SC"/>
        <family val="2"/>
      </rPr>
      <t xml:space="preserve">雨 </t>
    </r>
    <r>
      <rPr>
        <sz val="10"/>
        <rFont val="Arial"/>
        <family val="0"/>
        <charset val="1"/>
      </rPr>
      <t xml:space="preserve">(mưa) + </t>
    </r>
    <r>
      <rPr>
        <sz val="10"/>
        <rFont val="Noto Sans CJK SC"/>
        <family val="2"/>
      </rPr>
      <t xml:space="preserve">田 </t>
    </r>
    <r>
      <rPr>
        <sz val="10"/>
        <rFont val="Arial"/>
        <family val="0"/>
        <charset val="1"/>
      </rPr>
      <t xml:space="preserve">+ nét móc = tia sét ngoằn ngoèo trong cơn mưa → ĐIỆN.</t>
    </r>
  </si>
  <si>
    <r>
      <rPr>
        <sz val="10"/>
        <rFont val="Arial"/>
        <family val="0"/>
        <charset val="1"/>
      </rPr>
      <t xml:space="preserve">Minna bài 17 (1/3) — Thể </t>
    </r>
    <r>
      <rPr>
        <sz val="10"/>
        <rFont val="Noto Sans CJK SC"/>
        <family val="2"/>
      </rPr>
      <t xml:space="preserve">ない — </t>
    </r>
    <r>
      <rPr>
        <sz val="10"/>
        <rFont val="Arial"/>
        <family val="0"/>
        <charset val="1"/>
      </rPr>
      <t xml:space="preserve">Cấm, Bắt buộc, Không cần
• Cách chia thể </t>
    </r>
    <r>
      <rPr>
        <sz val="10"/>
        <rFont val="Noto Sans CJK SC"/>
        <family val="2"/>
      </rPr>
      <t xml:space="preserve">ない  </t>
    </r>
    <r>
      <rPr>
        <sz val="10"/>
        <rFont val="Arial"/>
        <family val="0"/>
        <charset val="1"/>
      </rPr>
      <t xml:space="preserve">(Nhóm I: đổi hàng </t>
    </r>
    <r>
      <rPr>
        <sz val="10"/>
        <rFont val="Noto Sans CJK SC"/>
        <family val="2"/>
      </rPr>
      <t xml:space="preserve">い </t>
    </r>
    <r>
      <rPr>
        <sz val="10"/>
        <rFont val="Arial"/>
        <family val="0"/>
        <charset val="1"/>
      </rPr>
      <t xml:space="preserve">sang hàng </t>
    </r>
    <r>
      <rPr>
        <sz val="10"/>
        <rFont val="Noto Sans CJK SC"/>
        <family val="2"/>
      </rPr>
      <t xml:space="preserve">あ </t>
    </r>
    <r>
      <rPr>
        <sz val="10"/>
        <rFont val="Arial"/>
        <family val="0"/>
        <charset val="1"/>
      </rPr>
      <t xml:space="preserve">+ </t>
    </r>
    <r>
      <rPr>
        <sz val="10"/>
        <rFont val="Noto Sans CJK SC"/>
        <family val="2"/>
      </rPr>
      <t xml:space="preserve">ない </t>
    </r>
    <r>
      <rPr>
        <sz val="10"/>
        <rFont val="Arial"/>
        <family val="0"/>
        <charset val="1"/>
      </rPr>
      <t xml:space="preserve">(</t>
    </r>
    <r>
      <rPr>
        <sz val="10"/>
        <rFont val="Noto Sans CJK SC"/>
        <family val="2"/>
      </rPr>
      <t xml:space="preserve">飲みます→飲まない</t>
    </r>
    <r>
      <rPr>
        <sz val="10"/>
        <rFont val="Arial"/>
        <family val="0"/>
        <charset val="1"/>
      </rPr>
      <t xml:space="preserve">). Nhóm II: bỏ </t>
    </r>
    <r>
      <rPr>
        <sz val="10"/>
        <rFont val="Noto Sans CJK SC"/>
        <family val="2"/>
      </rPr>
      <t xml:space="preserve">ます </t>
    </r>
    <r>
      <rPr>
        <sz val="10"/>
        <rFont val="Arial"/>
        <family val="0"/>
        <charset val="1"/>
      </rPr>
      <t xml:space="preserve">thêm </t>
    </r>
    <r>
      <rPr>
        <sz val="10"/>
        <rFont val="Noto Sans CJK SC"/>
        <family val="2"/>
      </rPr>
      <t xml:space="preserve">ない</t>
    </r>
    <r>
      <rPr>
        <sz val="10"/>
        <rFont val="Arial"/>
        <family val="0"/>
        <charset val="1"/>
      </rPr>
      <t xml:space="preserve">. Nhóm III: </t>
    </r>
    <r>
      <rPr>
        <sz val="10"/>
        <rFont val="Noto Sans CJK SC"/>
        <family val="2"/>
      </rPr>
      <t xml:space="preserve">します→しない</t>
    </r>
    <r>
      <rPr>
        <sz val="10"/>
        <rFont val="Arial"/>
        <family val="0"/>
        <charset val="1"/>
      </rPr>
      <t xml:space="preserve">, </t>
    </r>
    <r>
      <rPr>
        <sz val="10"/>
        <rFont val="Noto Sans CJK SC"/>
        <family val="2"/>
      </rPr>
      <t xml:space="preserve">来ます→来ない </t>
    </r>
    <r>
      <rPr>
        <sz val="10"/>
        <rFont val="Arial"/>
        <family val="0"/>
        <charset val="1"/>
      </rPr>
      <t xml:space="preserve">(</t>
    </r>
    <r>
      <rPr>
        <sz val="10"/>
        <rFont val="Noto Sans CJK SC"/>
        <family val="2"/>
      </rPr>
      <t xml:space="preserve">こない</t>
    </r>
    <r>
      <rPr>
        <sz val="10"/>
        <rFont val="Arial"/>
        <family val="0"/>
        <charset val="1"/>
      </rPr>
      <t xml:space="preserve">).)
   Ví dụ: </t>
    </r>
    <r>
      <rPr>
        <sz val="10"/>
        <rFont val="Noto Sans CJK SC"/>
        <family val="2"/>
      </rPr>
      <t xml:space="preserve">行きます → 行かない  </t>
    </r>
    <r>
      <rPr>
        <sz val="10"/>
        <rFont val="Arial"/>
        <family val="0"/>
        <charset val="1"/>
      </rPr>
      <t xml:space="preserve">= đi → không đi
• V </t>
    </r>
    <r>
      <rPr>
        <sz val="10"/>
        <rFont val="Noto Sans CJK SC"/>
        <family val="2"/>
      </rPr>
      <t xml:space="preserve">ない で ください  </t>
    </r>
    <r>
      <rPr>
        <sz val="10"/>
        <rFont val="Arial"/>
        <family val="0"/>
        <charset val="1"/>
      </rPr>
      <t xml:space="preserve">(Xin đừng làm ~.)
   Ví dụ: </t>
    </r>
    <r>
      <rPr>
        <sz val="10"/>
        <rFont val="Noto Sans CJK SC"/>
        <family val="2"/>
      </rPr>
      <t xml:space="preserve">ここに 車を 止めないで ください。  </t>
    </r>
    <r>
      <rPr>
        <sz val="10"/>
        <rFont val="Arial"/>
        <family val="0"/>
        <charset val="1"/>
      </rPr>
      <t xml:space="preserve">= Xin đừng đỗ xe ở đây.
→ Làm </t>
    </r>
    <r>
      <rPr>
        <sz val="10"/>
        <rFont val="Noto Sans CJK SC"/>
        <family val="2"/>
      </rPr>
      <t xml:space="preserve">練習</t>
    </r>
    <r>
      <rPr>
        <sz val="10"/>
        <rFont val="Arial"/>
        <family val="0"/>
        <charset val="1"/>
      </rPr>
      <t xml:space="preserve">A của bài 17 trong sách, mỗi mẫu tự đặt 3 câu.</t>
    </r>
  </si>
  <si>
    <r>
      <rPr>
        <sz val="10"/>
        <rFont val="Arial"/>
        <family val="0"/>
        <charset val="1"/>
      </rPr>
      <t xml:space="preserve">Từ mới Minna bài 17:
• </t>
    </r>
    <r>
      <rPr>
        <sz val="10"/>
        <rFont val="Noto Sans CJK SC"/>
        <family val="2"/>
      </rPr>
      <t xml:space="preserve">ぬぎます（脱ぎます） </t>
    </r>
    <r>
      <rPr>
        <sz val="10"/>
        <rFont val="Arial"/>
        <family val="0"/>
        <charset val="1"/>
      </rPr>
      <t xml:space="preserve">= Cởi (quần áo, giày)
   Mẹo: </t>
    </r>
    <r>
      <rPr>
        <sz val="10"/>
        <rFont val="Noto Sans CJK SC"/>
        <family val="2"/>
      </rPr>
      <t xml:space="preserve">脱 </t>
    </r>
    <r>
      <rPr>
        <sz val="10"/>
        <rFont val="Arial"/>
        <family val="0"/>
        <charset val="1"/>
      </rPr>
      <t xml:space="preserve">có bộ </t>
    </r>
    <r>
      <rPr>
        <sz val="10"/>
        <rFont val="Noto Sans CJK SC"/>
        <family val="2"/>
      </rPr>
      <t xml:space="preserve">月 </t>
    </r>
    <r>
      <rPr>
        <sz val="10"/>
        <rFont val="Arial"/>
        <family val="0"/>
        <charset val="1"/>
      </rPr>
      <t xml:space="preserve">(thân thể) → tách khỏi thân = CỞI.
• </t>
    </r>
    <r>
      <rPr>
        <sz val="10"/>
        <rFont val="Noto Sans CJK SC"/>
        <family val="2"/>
      </rPr>
      <t xml:space="preserve">もっていきます（持って 行きます） </t>
    </r>
    <r>
      <rPr>
        <sz val="10"/>
        <rFont val="Arial"/>
        <family val="0"/>
        <charset val="1"/>
      </rPr>
      <t xml:space="preserve">= Mang đi
   Mẹo: </t>
    </r>
    <r>
      <rPr>
        <sz val="10"/>
        <rFont val="Noto Sans CJK SC"/>
        <family val="2"/>
      </rPr>
      <t xml:space="preserve">持つ </t>
    </r>
    <r>
      <rPr>
        <sz val="10"/>
        <rFont val="Arial"/>
        <family val="0"/>
        <charset val="1"/>
      </rPr>
      <t xml:space="preserve">(cầm) + </t>
    </r>
    <r>
      <rPr>
        <sz val="10"/>
        <rFont val="Noto Sans CJK SC"/>
        <family val="2"/>
      </rPr>
      <t xml:space="preserve">行く </t>
    </r>
    <r>
      <rPr>
        <sz val="10"/>
        <rFont val="Arial"/>
        <family val="0"/>
        <charset val="1"/>
      </rPr>
      <t xml:space="preserve">(đi) = cầm mà đi.
• </t>
    </r>
    <r>
      <rPr>
        <sz val="10"/>
        <rFont val="Noto Sans CJK SC"/>
        <family val="2"/>
      </rPr>
      <t xml:space="preserve">もってきます（持って 来ます） </t>
    </r>
    <r>
      <rPr>
        <sz val="10"/>
        <rFont val="Arial"/>
        <family val="0"/>
        <charset val="1"/>
      </rPr>
      <t xml:space="preserve">= Mang đến
   Mẹo: </t>
    </r>
    <r>
      <rPr>
        <sz val="10"/>
        <rFont val="Noto Sans CJK SC"/>
        <family val="2"/>
      </rPr>
      <t xml:space="preserve">持つ </t>
    </r>
    <r>
      <rPr>
        <sz val="10"/>
        <rFont val="Arial"/>
        <family val="0"/>
        <charset val="1"/>
      </rPr>
      <t xml:space="preserve">(cầm) + </t>
    </r>
    <r>
      <rPr>
        <sz val="10"/>
        <rFont val="Noto Sans CJK SC"/>
        <family val="2"/>
      </rPr>
      <t xml:space="preserve">来る </t>
    </r>
    <r>
      <rPr>
        <sz val="10"/>
        <rFont val="Arial"/>
        <family val="0"/>
        <charset val="1"/>
      </rPr>
      <t xml:space="preserve">(đến) = cầm mà đến.
• </t>
    </r>
    <r>
      <rPr>
        <sz val="10"/>
        <rFont val="Noto Sans CJK SC"/>
        <family val="2"/>
      </rPr>
      <t xml:space="preserve">しんぱいします（心配します） </t>
    </r>
    <r>
      <rPr>
        <sz val="10"/>
        <rFont val="Arial"/>
        <family val="0"/>
        <charset val="1"/>
      </rPr>
      <t xml:space="preserve">= Lo lắng
   Mẹo: TÂM PHỐI = lòng bị phân chia → LO. </t>
    </r>
    <r>
      <rPr>
        <sz val="10"/>
        <rFont val="Noto Sans CJK SC"/>
        <family val="2"/>
      </rPr>
      <t xml:space="preserve">心配しないで ください </t>
    </r>
    <r>
      <rPr>
        <sz val="10"/>
        <rFont val="Arial"/>
        <family val="0"/>
        <charset val="1"/>
      </rPr>
      <t xml:space="preserve">= đừng lo.
• </t>
    </r>
    <r>
      <rPr>
        <sz val="10"/>
        <rFont val="Noto Sans CJK SC"/>
        <family val="2"/>
      </rPr>
      <t xml:space="preserve">ざんぎょうします（残業します） </t>
    </r>
    <r>
      <rPr>
        <sz val="10"/>
        <rFont val="Arial"/>
        <family val="0"/>
        <charset val="1"/>
      </rPr>
      <t xml:space="preserve">= Làm thêm giờ
   Mẹo: TÀN NGHIỆP = việc còn sót lại, làm nốt sau giờ.
→ Đối chiếu thêm với mục </t>
    </r>
    <r>
      <rPr>
        <sz val="10"/>
        <rFont val="Noto Sans CJK SC"/>
        <family val="2"/>
      </rPr>
      <t xml:space="preserve">語彙 </t>
    </r>
    <r>
      <rPr>
        <sz val="10"/>
        <rFont val="Arial"/>
        <family val="0"/>
        <charset val="1"/>
      </rPr>
      <t xml:space="preserve">của bài 17 trong sách để bổ sung.</t>
    </r>
  </si>
  <si>
    <r>
      <rPr>
        <b val="true"/>
        <sz val="12"/>
        <color rgb="FF1F3864"/>
        <rFont val="Arial"/>
        <family val="0"/>
        <charset val="1"/>
      </rPr>
      <t xml:space="preserve">NGÀY 54  ·  Tuần 8  ·  Minna Bài 17 (2/3)  ·  Thể </t>
    </r>
    <r>
      <rPr>
        <b val="true"/>
        <sz val="12"/>
        <color rgb="FF1F3864"/>
        <rFont val="Noto Sans CJK SC"/>
        <family val="2"/>
      </rPr>
      <t xml:space="preserve">ない — </t>
    </r>
    <r>
      <rPr>
        <b val="true"/>
        <sz val="12"/>
        <color rgb="FF1F3864"/>
        <rFont val="Arial"/>
        <family val="0"/>
        <charset val="1"/>
      </rPr>
      <t xml:space="preserve">Cấm, Bắt buộc, Không cần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</si>
  <si>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十 </t>
    </r>
    <r>
      <rPr>
        <sz val="10"/>
        <rFont val="Arial"/>
        <family val="0"/>
        <charset val="1"/>
      </rPr>
      <t xml:space="preserve">(</t>
    </r>
    <r>
      <rPr>
        <sz val="10"/>
        <rFont val="Noto Sans CJK SC"/>
        <family val="2"/>
      </rPr>
      <t xml:space="preserve">じゅう</t>
    </r>
    <r>
      <rPr>
        <sz val="10"/>
        <rFont val="Arial"/>
        <family val="0"/>
        <charset val="1"/>
      </rPr>
      <t xml:space="preserve">) = Mười, đầy đủ
   Mẹo nhớ: Dấu cộng = số mười
   Kanji chứa bộ này: </t>
    </r>
    <r>
      <rPr>
        <sz val="10"/>
        <rFont val="Noto Sans CJK SC"/>
        <family val="2"/>
      </rPr>
      <t xml:space="preserve">十・千・南・午</t>
    </r>
  </si>
  <si>
    <r>
      <rPr>
        <sz val="10"/>
        <rFont val="Arial"/>
        <family val="0"/>
        <charset val="1"/>
      </rPr>
      <t xml:space="preserve">Học 2 chữ. Mỗi chữ viết tay 10 lần đúng thứ tự nét.
• </t>
    </r>
    <r>
      <rPr>
        <sz val="10"/>
        <rFont val="Noto Sans CJK SC"/>
        <family val="2"/>
      </rPr>
      <t xml:space="preserve">口 </t>
    </r>
    <r>
      <rPr>
        <sz val="10"/>
        <rFont val="Arial"/>
        <family val="0"/>
        <charset val="1"/>
      </rPr>
      <t xml:space="preserve">[KHẨU] Miệng, cửa — On: </t>
    </r>
    <r>
      <rPr>
        <sz val="10"/>
        <rFont val="Noto Sans CJK SC"/>
        <family val="2"/>
      </rPr>
      <t xml:space="preserve">コウ </t>
    </r>
    <r>
      <rPr>
        <sz val="10"/>
        <rFont val="Arial"/>
        <family val="0"/>
        <charset val="1"/>
      </rPr>
      <t xml:space="preserve">/ Kun: </t>
    </r>
    <r>
      <rPr>
        <sz val="10"/>
        <rFont val="Noto Sans CJK SC"/>
        <family val="2"/>
      </rPr>
      <t xml:space="preserve">くち </t>
    </r>
    <r>
      <rPr>
        <sz val="10"/>
        <rFont val="Arial"/>
        <family val="0"/>
        <charset val="1"/>
      </rPr>
      <t xml:space="preserve">(3 nét)
   Từ ghép: </t>
    </r>
    <r>
      <rPr>
        <sz val="10"/>
        <rFont val="Noto Sans CJK SC"/>
        <family val="2"/>
      </rPr>
      <t xml:space="preserve">口 </t>
    </r>
    <r>
      <rPr>
        <sz val="10"/>
        <rFont val="Arial"/>
        <family val="0"/>
        <charset val="1"/>
      </rPr>
      <t xml:space="preserve">(</t>
    </r>
    <r>
      <rPr>
        <sz val="10"/>
        <rFont val="Noto Sans CJK SC"/>
        <family val="2"/>
      </rPr>
      <t xml:space="preserve">くち</t>
    </r>
    <r>
      <rPr>
        <sz val="10"/>
        <rFont val="Arial"/>
        <family val="0"/>
        <charset val="1"/>
      </rPr>
      <t xml:space="preserve">) miệng </t>
    </r>
    <r>
      <rPr>
        <sz val="10"/>
        <rFont val="Noto Sans CJK SC"/>
        <family val="2"/>
      </rPr>
      <t xml:space="preserve">・ 入口 </t>
    </r>
    <r>
      <rPr>
        <sz val="10"/>
        <rFont val="Arial"/>
        <family val="0"/>
        <charset val="1"/>
      </rPr>
      <t xml:space="preserve">(</t>
    </r>
    <r>
      <rPr>
        <sz val="10"/>
        <rFont val="Noto Sans CJK SC"/>
        <family val="2"/>
      </rPr>
      <t xml:space="preserve">いりぐち</t>
    </r>
    <r>
      <rPr>
        <sz val="10"/>
        <rFont val="Arial"/>
        <family val="0"/>
        <charset val="1"/>
      </rPr>
      <t xml:space="preserve">) lối vào </t>
    </r>
    <r>
      <rPr>
        <sz val="10"/>
        <rFont val="Noto Sans CJK SC"/>
        <family val="2"/>
      </rPr>
      <t xml:space="preserve">・ 人口 </t>
    </r>
    <r>
      <rPr>
        <sz val="10"/>
        <rFont val="Arial"/>
        <family val="0"/>
        <charset val="1"/>
      </rPr>
      <t xml:space="preserve">(</t>
    </r>
    <r>
      <rPr>
        <sz val="10"/>
        <rFont val="Noto Sans CJK SC"/>
        <family val="2"/>
      </rPr>
      <t xml:space="preserve">じんこう</t>
    </r>
    <r>
      <rPr>
        <sz val="10"/>
        <rFont val="Arial"/>
        <family val="0"/>
        <charset val="1"/>
      </rPr>
      <t xml:space="preserve">) dân số
   Mẹo: Ô vuông = cái MIỆNG đang há. Từ nghĩa miệng → cái cửa (nơi ra vào).
• </t>
    </r>
    <r>
      <rPr>
        <sz val="10"/>
        <rFont val="Noto Sans CJK SC"/>
        <family val="2"/>
      </rPr>
      <t xml:space="preserve">少 </t>
    </r>
    <r>
      <rPr>
        <sz val="10"/>
        <rFont val="Arial"/>
        <family val="0"/>
        <charset val="1"/>
      </rPr>
      <t xml:space="preserve">[THIỂU] Ít — On: </t>
    </r>
    <r>
      <rPr>
        <sz val="10"/>
        <rFont val="Noto Sans CJK SC"/>
        <family val="2"/>
      </rPr>
      <t xml:space="preserve">ショウ </t>
    </r>
    <r>
      <rPr>
        <sz val="10"/>
        <rFont val="Arial"/>
        <family val="0"/>
        <charset val="1"/>
      </rPr>
      <t xml:space="preserve">/ Kun: </t>
    </r>
    <r>
      <rPr>
        <sz val="10"/>
        <rFont val="Noto Sans CJK SC"/>
        <family val="2"/>
      </rPr>
      <t xml:space="preserve">すく</t>
    </r>
    <r>
      <rPr>
        <sz val="10"/>
        <rFont val="Arial"/>
        <family val="0"/>
        <charset val="1"/>
      </rPr>
      <t xml:space="preserve">(</t>
    </r>
    <r>
      <rPr>
        <sz val="10"/>
        <rFont val="Noto Sans CJK SC"/>
        <family val="2"/>
      </rPr>
      <t xml:space="preserve">ない</t>
    </r>
    <r>
      <rPr>
        <sz val="10"/>
        <rFont val="Arial"/>
        <family val="0"/>
        <charset val="1"/>
      </rPr>
      <t xml:space="preserve">)</t>
    </r>
    <r>
      <rPr>
        <sz val="10"/>
        <rFont val="Noto Sans CJK SC"/>
        <family val="2"/>
      </rPr>
      <t xml:space="preserve">・すこ</t>
    </r>
    <r>
      <rPr>
        <sz val="10"/>
        <rFont val="Arial"/>
        <family val="0"/>
        <charset val="1"/>
      </rPr>
      <t xml:space="preserve">(</t>
    </r>
    <r>
      <rPr>
        <sz val="10"/>
        <rFont val="Noto Sans CJK SC"/>
        <family val="2"/>
      </rPr>
      <t xml:space="preserve">し</t>
    </r>
    <r>
      <rPr>
        <sz val="10"/>
        <rFont val="Arial"/>
        <family val="0"/>
        <charset val="1"/>
      </rPr>
      <t xml:space="preserve">) (4 nét)
   Từ ghép: </t>
    </r>
    <r>
      <rPr>
        <sz val="10"/>
        <rFont val="Noto Sans CJK SC"/>
        <family val="2"/>
      </rPr>
      <t xml:space="preserve">少ない </t>
    </r>
    <r>
      <rPr>
        <sz val="10"/>
        <rFont val="Arial"/>
        <family val="0"/>
        <charset val="1"/>
      </rPr>
      <t xml:space="preserve">(</t>
    </r>
    <r>
      <rPr>
        <sz val="10"/>
        <rFont val="Noto Sans CJK SC"/>
        <family val="2"/>
      </rPr>
      <t xml:space="preserve">すくない</t>
    </r>
    <r>
      <rPr>
        <sz val="10"/>
        <rFont val="Arial"/>
        <family val="0"/>
        <charset val="1"/>
      </rPr>
      <t xml:space="preserve">) ít </t>
    </r>
    <r>
      <rPr>
        <sz val="10"/>
        <rFont val="Noto Sans CJK SC"/>
        <family val="2"/>
      </rPr>
      <t xml:space="preserve">・ 少し </t>
    </r>
    <r>
      <rPr>
        <sz val="10"/>
        <rFont val="Arial"/>
        <family val="0"/>
        <charset val="1"/>
      </rPr>
      <t xml:space="preserve">(</t>
    </r>
    <r>
      <rPr>
        <sz val="10"/>
        <rFont val="Noto Sans CJK SC"/>
        <family val="2"/>
      </rPr>
      <t xml:space="preserve">すこし</t>
    </r>
    <r>
      <rPr>
        <sz val="10"/>
        <rFont val="Arial"/>
        <family val="0"/>
        <charset val="1"/>
      </rPr>
      <t xml:space="preserve">) một chút </t>
    </r>
    <r>
      <rPr>
        <sz val="10"/>
        <rFont val="Noto Sans CJK SC"/>
        <family val="2"/>
      </rPr>
      <t xml:space="preserve">・ 少々 </t>
    </r>
    <r>
      <rPr>
        <sz val="10"/>
        <rFont val="Arial"/>
        <family val="0"/>
        <charset val="1"/>
      </rPr>
      <t xml:space="preserve">(</t>
    </r>
    <r>
      <rPr>
        <sz val="10"/>
        <rFont val="Noto Sans CJK SC"/>
        <family val="2"/>
      </rPr>
      <t xml:space="preserve">しょうしょう</t>
    </r>
    <r>
      <rPr>
        <sz val="10"/>
        <rFont val="Arial"/>
        <family val="0"/>
        <charset val="1"/>
      </rPr>
      <t xml:space="preserve">) một lát
   Mẹo: Chữ </t>
    </r>
    <r>
      <rPr>
        <sz val="10"/>
        <rFont val="Noto Sans CJK SC"/>
        <family val="2"/>
      </rPr>
      <t xml:space="preserve">小 </t>
    </r>
    <r>
      <rPr>
        <sz val="10"/>
        <rFont val="Arial"/>
        <family val="0"/>
        <charset val="1"/>
      </rPr>
      <t xml:space="preserve">(nhỏ) bị gạch mất một nét = nhỏ hơn cả nhỏ → ÍT.</t>
    </r>
  </si>
  <si>
    <r>
      <rPr>
        <sz val="10"/>
        <rFont val="Arial"/>
        <family val="0"/>
        <charset val="1"/>
      </rPr>
      <t xml:space="preserve">Minna bài 17 (2/3) — Thể </t>
    </r>
    <r>
      <rPr>
        <sz val="10"/>
        <rFont val="Noto Sans CJK SC"/>
        <family val="2"/>
      </rPr>
      <t xml:space="preserve">ない — </t>
    </r>
    <r>
      <rPr>
        <sz val="10"/>
        <rFont val="Arial"/>
        <family val="0"/>
        <charset val="1"/>
      </rPr>
      <t xml:space="preserve">Cấm, Bắt buộc, Không cần
• V </t>
    </r>
    <r>
      <rPr>
        <sz val="10"/>
        <rFont val="Noto Sans CJK SC"/>
        <family val="2"/>
      </rPr>
      <t xml:space="preserve">なければ なりません  </t>
    </r>
    <r>
      <rPr>
        <sz val="10"/>
        <rFont val="Arial"/>
        <family val="0"/>
        <charset val="1"/>
      </rPr>
      <t xml:space="preserve">(Phải làm ~ (bắt buộc). Bỏ </t>
    </r>
    <r>
      <rPr>
        <sz val="10"/>
        <rFont val="Noto Sans CJK SC"/>
        <family val="2"/>
      </rPr>
      <t xml:space="preserve">ない </t>
    </r>
    <r>
      <rPr>
        <sz val="10"/>
        <rFont val="Arial"/>
        <family val="0"/>
        <charset val="1"/>
      </rPr>
      <t xml:space="preserve">thêm </t>
    </r>
    <r>
      <rPr>
        <sz val="10"/>
        <rFont val="Noto Sans CJK SC"/>
        <family val="2"/>
      </rPr>
      <t xml:space="preserve">ければ なりません</t>
    </r>
    <r>
      <rPr>
        <sz val="10"/>
        <rFont val="Arial"/>
        <family val="0"/>
        <charset val="1"/>
      </rPr>
      <t xml:space="preserve">.)
   Ví dụ: </t>
    </r>
    <r>
      <rPr>
        <sz val="10"/>
        <rFont val="Noto Sans CJK SC"/>
        <family val="2"/>
      </rPr>
      <t xml:space="preserve">毎日 薬を 飲まなければ なりません。  </t>
    </r>
    <r>
      <rPr>
        <sz val="10"/>
        <rFont val="Arial"/>
        <family val="0"/>
        <charset val="1"/>
      </rPr>
      <t xml:space="preserve">= Tôi phải uống thuốc mỗi ngày.
• V </t>
    </r>
    <r>
      <rPr>
        <sz val="10"/>
        <rFont val="Noto Sans CJK SC"/>
        <family val="2"/>
      </rPr>
      <t xml:space="preserve">なくても いいです  </t>
    </r>
    <r>
      <rPr>
        <sz val="10"/>
        <rFont val="Arial"/>
        <family val="0"/>
        <charset val="1"/>
      </rPr>
      <t xml:space="preserve">(Không cần phải làm ~.)
   Ví dụ: </t>
    </r>
    <r>
      <rPr>
        <sz val="10"/>
        <rFont val="Noto Sans CJK SC"/>
        <family val="2"/>
      </rPr>
      <t xml:space="preserve">あした 来なくても いいです。  </t>
    </r>
    <r>
      <rPr>
        <sz val="10"/>
        <rFont val="Arial"/>
        <family val="0"/>
        <charset val="1"/>
      </rPr>
      <t xml:space="preserve">= Ngày mai bạn không cần đến cũng được.
→ Làm </t>
    </r>
    <r>
      <rPr>
        <sz val="10"/>
        <rFont val="Noto Sans CJK SC"/>
        <family val="2"/>
      </rPr>
      <t xml:space="preserve">練習</t>
    </r>
    <r>
      <rPr>
        <sz val="10"/>
        <rFont val="Arial"/>
        <family val="0"/>
        <charset val="1"/>
      </rPr>
      <t xml:space="preserve">A của bài 17 trong sách, mỗi mẫu tự đặt 3 câu.</t>
    </r>
  </si>
  <si>
    <r>
      <rPr>
        <sz val="10"/>
        <rFont val="Arial"/>
        <family val="0"/>
        <charset val="1"/>
      </rPr>
      <t xml:space="preserve">Từ mới Minna bài 17:
• </t>
    </r>
    <r>
      <rPr>
        <sz val="10"/>
        <rFont val="Noto Sans CJK SC"/>
        <family val="2"/>
      </rPr>
      <t xml:space="preserve">しゅっちょうします（出張します） </t>
    </r>
    <r>
      <rPr>
        <sz val="10"/>
        <rFont val="Arial"/>
        <family val="0"/>
        <charset val="1"/>
      </rPr>
      <t xml:space="preserve">= Đi công tác
   Mẹo: XUẤT TRƯƠNG = ra ngoài mở rộng công việc.
• </t>
    </r>
    <r>
      <rPr>
        <sz val="10"/>
        <rFont val="Noto Sans CJK SC"/>
        <family val="2"/>
      </rPr>
      <t xml:space="preserve">のみます（飲みます） </t>
    </r>
    <r>
      <rPr>
        <sz val="10"/>
        <rFont val="Arial"/>
        <family val="0"/>
        <charset val="1"/>
      </rPr>
      <t xml:space="preserve">= Uống (cả thuốc)
   Mẹo: </t>
    </r>
    <r>
      <rPr>
        <sz val="10"/>
        <rFont val="Noto Sans CJK SC"/>
        <family val="2"/>
      </rPr>
      <t xml:space="preserve">薬を 飲みます </t>
    </r>
    <r>
      <rPr>
        <sz val="10"/>
        <rFont val="Arial"/>
        <family val="0"/>
        <charset val="1"/>
      </rPr>
      <t xml:space="preserve">= UỐNG thuốc. Tiếng Nhật uống thuốc, không 'ăn' thuốc.
• </t>
    </r>
    <r>
      <rPr>
        <sz val="10"/>
        <rFont val="Noto Sans CJK SC"/>
        <family val="2"/>
      </rPr>
      <t xml:space="preserve">だいじょうぶ（大丈夫） </t>
    </r>
    <r>
      <rPr>
        <sz val="10"/>
        <rFont val="Arial"/>
        <family val="0"/>
        <charset val="1"/>
      </rPr>
      <t xml:space="preserve">= Không sao, ổn
   Mẹo: ĐẠI TRƯỢNG PHU = đàn ông vững vàng → không sao đâu.
• </t>
    </r>
    <r>
      <rPr>
        <sz val="10"/>
        <rFont val="Noto Sans CJK SC"/>
        <family val="2"/>
      </rPr>
      <t xml:space="preserve">たいへん（大変） </t>
    </r>
    <r>
      <rPr>
        <sz val="10"/>
        <rFont val="Arial"/>
        <family val="0"/>
        <charset val="1"/>
      </rPr>
      <t xml:space="preserve">= Vất vả, ghê gớm
   Mẹo: ĐẠI BIẾN = biến cố lớn → vất vả.
• </t>
    </r>
    <r>
      <rPr>
        <sz val="10"/>
        <rFont val="Noto Sans CJK SC"/>
        <family val="2"/>
      </rPr>
      <t xml:space="preserve">パスポート </t>
    </r>
    <r>
      <rPr>
        <sz val="10"/>
        <rFont val="Arial"/>
        <family val="0"/>
        <charset val="1"/>
      </rPr>
      <t xml:space="preserve">= Hộ chiếu
   Mẹo: Từ 'passport'.
→ Đối chiếu thêm với mục </t>
    </r>
    <r>
      <rPr>
        <sz val="10"/>
        <rFont val="Noto Sans CJK SC"/>
        <family val="2"/>
      </rPr>
      <t xml:space="preserve">語彙 </t>
    </r>
    <r>
      <rPr>
        <sz val="10"/>
        <rFont val="Arial"/>
        <family val="0"/>
        <charset val="1"/>
      </rPr>
      <t xml:space="preserve">của bài 17 trong sách để bổ sung.</t>
    </r>
  </si>
  <si>
    <r>
      <rPr>
        <b val="true"/>
        <sz val="12"/>
        <color rgb="FF1F3864"/>
        <rFont val="Arial"/>
        <family val="0"/>
        <charset val="1"/>
      </rPr>
      <t xml:space="preserve">NGÀY 55  ·  Tuần 8  ·  Minna Bài 17 (3/3)  ·  Thể </t>
    </r>
    <r>
      <rPr>
        <b val="true"/>
        <sz val="12"/>
        <color rgb="FF1F3864"/>
        <rFont val="Noto Sans CJK SC"/>
        <family val="2"/>
      </rPr>
      <t xml:space="preserve">ない — </t>
    </r>
    <r>
      <rPr>
        <b val="true"/>
        <sz val="12"/>
        <color rgb="FF1F3864"/>
        <rFont val="Arial"/>
        <family val="0"/>
        <charset val="1"/>
      </rPr>
      <t xml:space="preserve">Cấm, Bắt buộc, Không cần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</si>
  <si>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白 </t>
    </r>
    <r>
      <rPr>
        <sz val="10"/>
        <rFont val="Arial"/>
        <family val="0"/>
        <charset val="1"/>
      </rPr>
      <t xml:space="preserve">(</t>
    </r>
    <r>
      <rPr>
        <sz val="10"/>
        <rFont val="Noto Sans CJK SC"/>
        <family val="2"/>
      </rPr>
      <t xml:space="preserve">しろ</t>
    </r>
    <r>
      <rPr>
        <sz val="10"/>
        <rFont val="Arial"/>
        <family val="0"/>
        <charset val="1"/>
      </rPr>
      <t xml:space="preserve">) = Trắng, sáng
   Mẹo nhớ: Mặt trời có tia sáng nhô lên
   Kanji chứa bộ này: </t>
    </r>
    <r>
      <rPr>
        <sz val="10"/>
        <rFont val="Noto Sans CJK SC"/>
        <family val="2"/>
      </rPr>
      <t xml:space="preserve">白・百・的</t>
    </r>
  </si>
  <si>
    <r>
      <rPr>
        <sz val="10"/>
        <rFont val="Arial"/>
        <family val="0"/>
        <charset val="1"/>
      </rPr>
      <t xml:space="preserve">Học 2 chữ. Mỗi chữ viết tay 10 lần đúng thứ tự nét.
• </t>
    </r>
    <r>
      <rPr>
        <sz val="10"/>
        <rFont val="Noto Sans CJK SC"/>
        <family val="2"/>
      </rPr>
      <t xml:space="preserve">校 </t>
    </r>
    <r>
      <rPr>
        <sz val="10"/>
        <rFont val="Arial"/>
        <family val="0"/>
        <charset val="1"/>
      </rPr>
      <t xml:space="preserve">[HIỆU] Trường học — On: </t>
    </r>
    <r>
      <rPr>
        <sz val="10"/>
        <rFont val="Noto Sans CJK SC"/>
        <family val="2"/>
      </rPr>
      <t xml:space="preserve">コウ </t>
    </r>
    <r>
      <rPr>
        <sz val="10"/>
        <rFont val="Arial"/>
        <family val="0"/>
        <charset val="1"/>
      </rPr>
      <t xml:space="preserve">/ Kun: — (10 nét)
   Từ ghép: </t>
    </r>
    <r>
      <rPr>
        <sz val="10"/>
        <rFont val="Noto Sans CJK SC"/>
        <family val="2"/>
      </rPr>
      <t xml:space="preserve">学校 </t>
    </r>
    <r>
      <rPr>
        <sz val="10"/>
        <rFont val="Arial"/>
        <family val="0"/>
        <charset val="1"/>
      </rPr>
      <t xml:space="preserve">(</t>
    </r>
    <r>
      <rPr>
        <sz val="10"/>
        <rFont val="Noto Sans CJK SC"/>
        <family val="2"/>
      </rPr>
      <t xml:space="preserve">がっこう</t>
    </r>
    <r>
      <rPr>
        <sz val="10"/>
        <rFont val="Arial"/>
        <family val="0"/>
        <charset val="1"/>
      </rPr>
      <t xml:space="preserve">) trường học </t>
    </r>
    <r>
      <rPr>
        <sz val="10"/>
        <rFont val="Noto Sans CJK SC"/>
        <family val="2"/>
      </rPr>
      <t xml:space="preserve">・ 高校 </t>
    </r>
    <r>
      <rPr>
        <sz val="10"/>
        <rFont val="Arial"/>
        <family val="0"/>
        <charset val="1"/>
      </rPr>
      <t xml:space="preserve">(</t>
    </r>
    <r>
      <rPr>
        <sz val="10"/>
        <rFont val="Noto Sans CJK SC"/>
        <family val="2"/>
      </rPr>
      <t xml:space="preserve">こうこう</t>
    </r>
    <r>
      <rPr>
        <sz val="10"/>
        <rFont val="Arial"/>
        <family val="0"/>
        <charset val="1"/>
      </rPr>
      <t xml:space="preserve">) cấp 3 </t>
    </r>
    <r>
      <rPr>
        <sz val="10"/>
        <rFont val="Noto Sans CJK SC"/>
        <family val="2"/>
      </rPr>
      <t xml:space="preserve">・ 校長 </t>
    </r>
    <r>
      <rPr>
        <sz val="10"/>
        <rFont val="Arial"/>
        <family val="0"/>
        <charset val="1"/>
      </rPr>
      <t xml:space="preserve">(</t>
    </r>
    <r>
      <rPr>
        <sz val="10"/>
        <rFont val="Noto Sans CJK SC"/>
        <family val="2"/>
      </rPr>
      <t xml:space="preserve">こうちょう</t>
    </r>
    <r>
      <rPr>
        <sz val="10"/>
        <rFont val="Arial"/>
        <family val="0"/>
        <charset val="1"/>
      </rPr>
      <t xml:space="preserve">) hiệu trưởng
   Mẹo: </t>
    </r>
    <r>
      <rPr>
        <sz val="10"/>
        <rFont val="Noto Sans CJK SC"/>
        <family val="2"/>
      </rPr>
      <t xml:space="preserve">木 </t>
    </r>
    <r>
      <rPr>
        <sz val="10"/>
        <rFont val="Arial"/>
        <family val="0"/>
        <charset val="1"/>
      </rPr>
      <t xml:space="preserve">(gỗ) + </t>
    </r>
    <r>
      <rPr>
        <sz val="10"/>
        <rFont val="Noto Sans CJK SC"/>
        <family val="2"/>
      </rPr>
      <t xml:space="preserve">交 </t>
    </r>
    <r>
      <rPr>
        <sz val="10"/>
        <rFont val="Arial"/>
        <family val="0"/>
        <charset val="1"/>
      </rPr>
      <t xml:space="preserve">(giao nhau) = ngôi nhà gỗ nơi mọi người GIAO LƯU học tập → TRƯỜNG.
• </t>
    </r>
    <r>
      <rPr>
        <sz val="10"/>
        <rFont val="Noto Sans CJK SC"/>
        <family val="2"/>
      </rPr>
      <t xml:space="preserve">語 </t>
    </r>
    <r>
      <rPr>
        <sz val="10"/>
        <rFont val="Arial"/>
        <family val="0"/>
        <charset val="1"/>
      </rPr>
      <t xml:space="preserve">[NGỮ] Ngôn ngữ, từ — On: </t>
    </r>
    <r>
      <rPr>
        <sz val="10"/>
        <rFont val="Noto Sans CJK SC"/>
        <family val="2"/>
      </rPr>
      <t xml:space="preserve">ゴ </t>
    </r>
    <r>
      <rPr>
        <sz val="10"/>
        <rFont val="Arial"/>
        <family val="0"/>
        <charset val="1"/>
      </rPr>
      <t xml:space="preserve">/ Kun: </t>
    </r>
    <r>
      <rPr>
        <sz val="10"/>
        <rFont val="Noto Sans CJK SC"/>
        <family val="2"/>
      </rPr>
      <t xml:space="preserve">かた</t>
    </r>
    <r>
      <rPr>
        <sz val="10"/>
        <rFont val="Arial"/>
        <family val="0"/>
        <charset val="1"/>
      </rPr>
      <t xml:space="preserve">(</t>
    </r>
    <r>
      <rPr>
        <sz val="10"/>
        <rFont val="Noto Sans CJK SC"/>
        <family val="2"/>
      </rPr>
      <t xml:space="preserve">る</t>
    </r>
    <r>
      <rPr>
        <sz val="10"/>
        <rFont val="Arial"/>
        <family val="0"/>
        <charset val="1"/>
      </rPr>
      <t xml:space="preserve">) (14 nét)
   Từ ghép: </t>
    </r>
    <r>
      <rPr>
        <sz val="10"/>
        <rFont val="Noto Sans CJK SC"/>
        <family val="2"/>
      </rPr>
      <t xml:space="preserve">日本語 </t>
    </r>
    <r>
      <rPr>
        <sz val="10"/>
        <rFont val="Arial"/>
        <family val="0"/>
        <charset val="1"/>
      </rPr>
      <t xml:space="preserve">(</t>
    </r>
    <r>
      <rPr>
        <sz val="10"/>
        <rFont val="Noto Sans CJK SC"/>
        <family val="2"/>
      </rPr>
      <t xml:space="preserve">にほんご</t>
    </r>
    <r>
      <rPr>
        <sz val="10"/>
        <rFont val="Arial"/>
        <family val="0"/>
        <charset val="1"/>
      </rPr>
      <t xml:space="preserve">) tiếng Nhật </t>
    </r>
    <r>
      <rPr>
        <sz val="10"/>
        <rFont val="Noto Sans CJK SC"/>
        <family val="2"/>
      </rPr>
      <t xml:space="preserve">・ 英語 </t>
    </r>
    <r>
      <rPr>
        <sz val="10"/>
        <rFont val="Arial"/>
        <family val="0"/>
        <charset val="1"/>
      </rPr>
      <t xml:space="preserve">(</t>
    </r>
    <r>
      <rPr>
        <sz val="10"/>
        <rFont val="Noto Sans CJK SC"/>
        <family val="2"/>
      </rPr>
      <t xml:space="preserve">えいご</t>
    </r>
    <r>
      <rPr>
        <sz val="10"/>
        <rFont val="Arial"/>
        <family val="0"/>
        <charset val="1"/>
      </rPr>
      <t xml:space="preserve">) tiếng Anh </t>
    </r>
    <r>
      <rPr>
        <sz val="10"/>
        <rFont val="Noto Sans CJK SC"/>
        <family val="2"/>
      </rPr>
      <t xml:space="preserve">・ 単語 </t>
    </r>
    <r>
      <rPr>
        <sz val="10"/>
        <rFont val="Arial"/>
        <family val="0"/>
        <charset val="1"/>
      </rPr>
      <t xml:space="preserve">(</t>
    </r>
    <r>
      <rPr>
        <sz val="10"/>
        <rFont val="Noto Sans CJK SC"/>
        <family val="2"/>
      </rPr>
      <t xml:space="preserve">たんご</t>
    </r>
    <r>
      <rPr>
        <sz val="10"/>
        <rFont val="Arial"/>
        <family val="0"/>
        <charset val="1"/>
      </rPr>
      <t xml:space="preserve">) từ vựng
   Mẹo: </t>
    </r>
    <r>
      <rPr>
        <sz val="10"/>
        <rFont val="Noto Sans CJK SC"/>
        <family val="2"/>
      </rPr>
      <t xml:space="preserve">言 </t>
    </r>
    <r>
      <rPr>
        <sz val="10"/>
        <rFont val="Arial"/>
        <family val="0"/>
        <charset val="1"/>
      </rPr>
      <t xml:space="preserve">(nói) + </t>
    </r>
    <r>
      <rPr>
        <sz val="10"/>
        <rFont val="Noto Sans CJK SC"/>
        <family val="2"/>
      </rPr>
      <t xml:space="preserve">五 </t>
    </r>
    <r>
      <rPr>
        <sz val="10"/>
        <rFont val="Arial"/>
        <family val="0"/>
        <charset val="1"/>
      </rPr>
      <t xml:space="preserve">(năm) + </t>
    </r>
    <r>
      <rPr>
        <sz val="10"/>
        <rFont val="Noto Sans CJK SC"/>
        <family val="2"/>
      </rPr>
      <t xml:space="preserve">口 </t>
    </r>
    <r>
      <rPr>
        <sz val="10"/>
        <rFont val="Arial"/>
        <family val="0"/>
        <charset val="1"/>
      </rPr>
      <t xml:space="preserve">(miệng) = năm cái miệng cùng nói → NGÔN NGỮ.</t>
    </r>
  </si>
  <si>
    <r>
      <rPr>
        <sz val="10"/>
        <rFont val="Arial"/>
        <family val="0"/>
        <charset val="1"/>
      </rPr>
      <t xml:space="preserve">Minna bài 17 (3/3) — Thể </t>
    </r>
    <r>
      <rPr>
        <sz val="10"/>
        <rFont val="Noto Sans CJK SC"/>
        <family val="2"/>
      </rPr>
      <t xml:space="preserve">ない — </t>
    </r>
    <r>
      <rPr>
        <sz val="10"/>
        <rFont val="Arial"/>
        <family val="0"/>
        <charset val="1"/>
      </rPr>
      <t xml:space="preserve">Cấm, Bắt buộc, Không cần
• </t>
    </r>
    <r>
      <rPr>
        <sz val="10"/>
        <rFont val="Noto Sans CJK SC"/>
        <family val="2"/>
      </rPr>
      <t xml:space="preserve">時 まで に </t>
    </r>
    <r>
      <rPr>
        <sz val="10"/>
        <rFont val="Arial"/>
        <family val="0"/>
        <charset val="1"/>
      </rPr>
      <t xml:space="preserve">V  (Phải làm gì trước thời hạn nào.)
   Ví dụ: 5</t>
    </r>
    <r>
      <rPr>
        <sz val="10"/>
        <rFont val="Noto Sans CJK SC"/>
        <family val="2"/>
      </rPr>
      <t xml:space="preserve">時までに 帰ります。  </t>
    </r>
    <r>
      <rPr>
        <sz val="10"/>
        <rFont val="Arial"/>
        <family val="0"/>
        <charset val="1"/>
      </rPr>
      <t xml:space="preserve">= Tôi sẽ về trước 5 giờ.
→ Làm </t>
    </r>
    <r>
      <rPr>
        <sz val="10"/>
        <rFont val="Noto Sans CJK SC"/>
        <family val="2"/>
      </rPr>
      <t xml:space="preserve">練習</t>
    </r>
    <r>
      <rPr>
        <sz val="10"/>
        <rFont val="Arial"/>
        <family val="0"/>
        <charset val="1"/>
      </rPr>
      <t xml:space="preserve">A của bài 17 trong sách, mỗi mẫu tự đặt 3 câu.</t>
    </r>
  </si>
  <si>
    <r>
      <rPr>
        <sz val="10"/>
        <rFont val="Arial"/>
        <family val="0"/>
        <charset val="1"/>
      </rPr>
      <t xml:space="preserve">Từ mới Minna bài 17:
• </t>
    </r>
    <r>
      <rPr>
        <sz val="10"/>
        <rFont val="Noto Sans CJK SC"/>
        <family val="2"/>
      </rPr>
      <t xml:space="preserve">びょうき（病気） </t>
    </r>
    <r>
      <rPr>
        <sz val="10"/>
        <rFont val="Arial"/>
        <family val="0"/>
        <charset val="1"/>
      </rPr>
      <t xml:space="preserve">= Bệnh
   Mẹo: BỆNH KHÍ = khí bệnh trong người.
• </t>
    </r>
    <r>
      <rPr>
        <sz val="10"/>
        <rFont val="Noto Sans CJK SC"/>
        <family val="2"/>
      </rPr>
      <t xml:space="preserve">ねつ（熱） </t>
    </r>
    <r>
      <rPr>
        <sz val="10"/>
        <rFont val="Arial"/>
        <family val="0"/>
        <charset val="1"/>
      </rPr>
      <t xml:space="preserve">= Sốt
   Mẹo: </t>
    </r>
    <r>
      <rPr>
        <sz val="10"/>
        <rFont val="Noto Sans CJK SC"/>
        <family val="2"/>
      </rPr>
      <t xml:space="preserve">熱 </t>
    </r>
    <r>
      <rPr>
        <sz val="10"/>
        <rFont val="Arial"/>
        <family val="0"/>
        <charset val="1"/>
      </rPr>
      <t xml:space="preserve">có </t>
    </r>
    <r>
      <rPr>
        <sz val="10"/>
        <rFont val="Noto Sans CJK SC"/>
        <family val="2"/>
      </rPr>
      <t xml:space="preserve">灬 </t>
    </r>
    <r>
      <rPr>
        <sz val="10"/>
        <rFont val="Arial"/>
        <family val="0"/>
        <charset val="1"/>
      </rPr>
      <t xml:space="preserve">(lửa) ở dưới → người nóng như lửa = SỐT.
• </t>
    </r>
    <r>
      <rPr>
        <sz val="10"/>
        <rFont val="Noto Sans CJK SC"/>
        <family val="2"/>
      </rPr>
      <t xml:space="preserve">くすり（薬） </t>
    </r>
    <r>
      <rPr>
        <sz val="10"/>
        <rFont val="Arial"/>
        <family val="0"/>
        <charset val="1"/>
      </rPr>
      <t xml:space="preserve">= Thuốc
   Mẹo: </t>
    </r>
    <r>
      <rPr>
        <sz val="10"/>
        <rFont val="Noto Sans CJK SC"/>
        <family val="2"/>
      </rPr>
      <t xml:space="preserve">薬 </t>
    </r>
    <r>
      <rPr>
        <sz val="10"/>
        <rFont val="Arial"/>
        <family val="0"/>
        <charset val="1"/>
      </rPr>
      <t xml:space="preserve">có bộ </t>
    </r>
    <r>
      <rPr>
        <sz val="10"/>
        <rFont val="Noto Sans CJK SC"/>
        <family val="2"/>
      </rPr>
      <t xml:space="preserve">艹 </t>
    </r>
    <r>
      <rPr>
        <sz val="10"/>
        <rFont val="Arial"/>
        <family val="0"/>
        <charset val="1"/>
      </rPr>
      <t xml:space="preserve">(cỏ cây) + </t>
    </r>
    <r>
      <rPr>
        <sz val="10"/>
        <rFont val="Noto Sans CJK SC"/>
        <family val="2"/>
      </rPr>
      <t xml:space="preserve">楽 </t>
    </r>
    <r>
      <rPr>
        <sz val="10"/>
        <rFont val="Arial"/>
        <family val="0"/>
        <charset val="1"/>
      </rPr>
      <t xml:space="preserve">(vui) → cây cỏ làm ta khỏe vui = THUỐC.
• </t>
    </r>
    <r>
      <rPr>
        <sz val="10"/>
        <rFont val="Noto Sans CJK SC"/>
        <family val="2"/>
      </rPr>
      <t xml:space="preserve">たいせつ</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（大切</t>
    </r>
    <r>
      <rPr>
        <sz val="10"/>
        <rFont val="Arial"/>
        <family val="0"/>
        <charset val="1"/>
      </rPr>
      <t xml:space="preserve">[</t>
    </r>
    <r>
      <rPr>
        <sz val="10"/>
        <rFont val="Noto Sans CJK SC"/>
        <family val="2"/>
      </rPr>
      <t xml:space="preserve">な</t>
    </r>
    <r>
      <rPr>
        <sz val="10"/>
        <rFont val="Arial"/>
        <family val="0"/>
        <charset val="1"/>
      </rPr>
      <t xml:space="preserve">]</t>
    </r>
    <r>
      <rPr>
        <sz val="10"/>
        <rFont val="Noto Sans CJK SC"/>
        <family val="2"/>
      </rPr>
      <t xml:space="preserve">） </t>
    </r>
    <r>
      <rPr>
        <sz val="10"/>
        <rFont val="Arial"/>
        <family val="0"/>
        <charset val="1"/>
      </rPr>
      <t xml:space="preserve">= Quan trọng
   Mẹo: ĐẠI THIẾT = cắt ra phần lớn nhất → điều quan trọng nhất.
→ Đối chiếu thêm với mục </t>
    </r>
    <r>
      <rPr>
        <sz val="10"/>
        <rFont val="Noto Sans CJK SC"/>
        <family val="2"/>
      </rPr>
      <t xml:space="preserve">語彙 </t>
    </r>
    <r>
      <rPr>
        <sz val="10"/>
        <rFont val="Arial"/>
        <family val="0"/>
        <charset val="1"/>
      </rPr>
      <t xml:space="preserve">của bài 17 trong sách để bổ sung.</t>
    </r>
  </si>
  <si>
    <r>
      <rPr>
        <b val="true"/>
        <sz val="12"/>
        <color rgb="FF1F3864"/>
        <rFont val="Arial"/>
        <family val="0"/>
        <charset val="1"/>
      </rPr>
      <t xml:space="preserve">NGÀY 56  ·  Tuần 8  ·  Minna Ôn bài 15–17  ·  Ôn tập tuần 8 — Minna bài 15–17      </t>
    </r>
    <r>
      <rPr>
        <b val="true"/>
        <sz val="12"/>
        <color rgb="FF1F3864"/>
        <rFont val="Noto Sans CJK SC"/>
        <family val="2"/>
      </rPr>
      <t xml:space="preserve">〔</t>
    </r>
    <r>
      <rPr>
        <b val="true"/>
        <sz val="12"/>
        <color rgb="FF1F3864"/>
        <rFont val="Arial"/>
        <family val="0"/>
        <charset val="1"/>
      </rPr>
      <t xml:space="preserve">105 phút · 5 việc</t>
    </r>
    <r>
      <rPr>
        <b val="true"/>
        <sz val="12"/>
        <color rgb="FF1F3864"/>
        <rFont val="Noto Sans CJK SC"/>
        <family val="2"/>
      </rPr>
      <t xml:space="preserve">〕</t>
    </r>
  </si>
  <si>
    <r>
      <rPr>
        <sz val="10"/>
        <rFont val="Arial"/>
        <family val="0"/>
        <charset val="1"/>
      </rPr>
      <t xml:space="preserve">Làm phần </t>
    </r>
    <r>
      <rPr>
        <sz val="10"/>
        <rFont val="Noto Sans CJK SC"/>
        <family val="2"/>
      </rPr>
      <t xml:space="preserve">練習</t>
    </r>
    <r>
      <rPr>
        <sz val="10"/>
        <rFont val="Arial"/>
        <family val="0"/>
        <charset val="1"/>
      </rPr>
      <t xml:space="preserve">B và </t>
    </r>
    <r>
      <rPr>
        <sz val="10"/>
        <rFont val="Noto Sans CJK SC"/>
        <family val="2"/>
      </rPr>
      <t xml:space="preserve">練習</t>
    </r>
    <r>
      <rPr>
        <sz val="10"/>
        <rFont val="Arial"/>
        <family val="0"/>
        <charset val="1"/>
      </rPr>
      <t xml:space="preserve">C trong Minna bài 15–17. Sau đó tự đặt 5 câu mới.</t>
    </r>
  </si>
  <si>
    <t xml:space="preserve">Kiểm tra lại toàn bộ từ vựng Minna bài 15–17. Từ nào quên đánh dấu 'Đang học'.</t>
  </si>
  <si>
    <r>
      <rPr>
        <sz val="10"/>
        <rFont val="Arial"/>
        <family val="0"/>
        <charset val="1"/>
      </rPr>
      <t xml:space="preserve">Làm phần </t>
    </r>
    <r>
      <rPr>
        <sz val="10"/>
        <rFont val="Noto Sans CJK SC"/>
        <family val="2"/>
      </rPr>
      <t xml:space="preserve">問題 </t>
    </r>
    <r>
      <rPr>
        <sz val="10"/>
        <rFont val="Arial"/>
        <family val="0"/>
        <charset val="1"/>
      </rPr>
      <t xml:space="preserve">(nghe + đọc) cuối mỗi bài trong Minna bài 15–17. Ghi lỗi sai vào cột Ghi chú.</t>
    </r>
  </si>
  <si>
    <r>
      <rPr>
        <b val="true"/>
        <sz val="12"/>
        <color rgb="FF1F3864"/>
        <rFont val="Arial"/>
        <family val="0"/>
        <charset val="1"/>
      </rPr>
      <t xml:space="preserve">NGÀY 57  ·  Tuần 9  ·  Minna Bài 18 (1/2)  ·  Thể từ điển &amp; Khả năng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</si>
  <si>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立 </t>
    </r>
    <r>
      <rPr>
        <sz val="10"/>
        <rFont val="Arial"/>
        <family val="0"/>
        <charset val="1"/>
      </rPr>
      <t xml:space="preserve">(</t>
    </r>
    <r>
      <rPr>
        <sz val="10"/>
        <rFont val="Noto Sans CJK SC"/>
        <family val="2"/>
      </rPr>
      <t xml:space="preserve">たつ </t>
    </r>
    <r>
      <rPr>
        <sz val="10"/>
        <rFont val="Arial"/>
        <family val="0"/>
        <charset val="1"/>
      </rPr>
      <t xml:space="preserve">/ </t>
    </r>
    <r>
      <rPr>
        <sz val="10"/>
        <rFont val="Noto Sans CJK SC"/>
        <family val="2"/>
      </rPr>
      <t xml:space="preserve">たつへん</t>
    </r>
    <r>
      <rPr>
        <sz val="10"/>
        <rFont val="Arial"/>
        <family val="0"/>
        <charset val="1"/>
      </rPr>
      <t xml:space="preserve">) = Đứng, dựng lên
   Mẹo nhớ: Người đứng trên mặt đất
   Kanji chứa bộ này: </t>
    </r>
    <r>
      <rPr>
        <sz val="10"/>
        <rFont val="Noto Sans CJK SC"/>
        <family val="2"/>
      </rPr>
      <t xml:space="preserve">立・音・章・親</t>
    </r>
  </si>
  <si>
    <r>
      <rPr>
        <sz val="10"/>
        <rFont val="Arial"/>
        <family val="0"/>
        <charset val="1"/>
      </rPr>
      <t xml:space="preserve">Học 2 chữ. Mỗi chữ viết tay 10 lần đúng thứ tự nét.
• </t>
    </r>
    <r>
      <rPr>
        <sz val="10"/>
        <rFont val="Noto Sans CJK SC"/>
        <family val="2"/>
      </rPr>
      <t xml:space="preserve">空 </t>
    </r>
    <r>
      <rPr>
        <sz val="10"/>
        <rFont val="Arial"/>
        <family val="0"/>
        <charset val="1"/>
      </rPr>
      <t xml:space="preserve">[KHÔNG] Bầu trời, trống — On: </t>
    </r>
    <r>
      <rPr>
        <sz val="10"/>
        <rFont val="Noto Sans CJK SC"/>
        <family val="2"/>
      </rPr>
      <t xml:space="preserve">クウ </t>
    </r>
    <r>
      <rPr>
        <sz val="10"/>
        <rFont val="Arial"/>
        <family val="0"/>
        <charset val="1"/>
      </rPr>
      <t xml:space="preserve">/ Kun: </t>
    </r>
    <r>
      <rPr>
        <sz val="10"/>
        <rFont val="Noto Sans CJK SC"/>
        <family val="2"/>
      </rPr>
      <t xml:space="preserve">そら・あ</t>
    </r>
    <r>
      <rPr>
        <sz val="10"/>
        <rFont val="Arial"/>
        <family val="0"/>
        <charset val="1"/>
      </rPr>
      <t xml:space="preserve">(</t>
    </r>
    <r>
      <rPr>
        <sz val="10"/>
        <rFont val="Noto Sans CJK SC"/>
        <family val="2"/>
      </rPr>
      <t xml:space="preserve">く</t>
    </r>
    <r>
      <rPr>
        <sz val="10"/>
        <rFont val="Arial"/>
        <family val="0"/>
        <charset val="1"/>
      </rPr>
      <t xml:space="preserve">) (8 nét)
   Từ ghép: </t>
    </r>
    <r>
      <rPr>
        <sz val="10"/>
        <rFont val="Noto Sans CJK SC"/>
        <family val="2"/>
      </rPr>
      <t xml:space="preserve">空 </t>
    </r>
    <r>
      <rPr>
        <sz val="10"/>
        <rFont val="Arial"/>
        <family val="0"/>
        <charset val="1"/>
      </rPr>
      <t xml:space="preserve">(</t>
    </r>
    <r>
      <rPr>
        <sz val="10"/>
        <rFont val="Noto Sans CJK SC"/>
        <family val="2"/>
      </rPr>
      <t xml:space="preserve">そら</t>
    </r>
    <r>
      <rPr>
        <sz val="10"/>
        <rFont val="Arial"/>
        <family val="0"/>
        <charset val="1"/>
      </rPr>
      <t xml:space="preserve">) bầu trời </t>
    </r>
    <r>
      <rPr>
        <sz val="10"/>
        <rFont val="Noto Sans CJK SC"/>
        <family val="2"/>
      </rPr>
      <t xml:space="preserve">・ 空港 </t>
    </r>
    <r>
      <rPr>
        <sz val="10"/>
        <rFont val="Arial"/>
        <family val="0"/>
        <charset val="1"/>
      </rPr>
      <t xml:space="preserve">(</t>
    </r>
    <r>
      <rPr>
        <sz val="10"/>
        <rFont val="Noto Sans CJK SC"/>
        <family val="2"/>
      </rPr>
      <t xml:space="preserve">くうこう</t>
    </r>
    <r>
      <rPr>
        <sz val="10"/>
        <rFont val="Arial"/>
        <family val="0"/>
        <charset val="1"/>
      </rPr>
      <t xml:space="preserve">) sân bay </t>
    </r>
    <r>
      <rPr>
        <sz val="10"/>
        <rFont val="Noto Sans CJK SC"/>
        <family val="2"/>
      </rPr>
      <t xml:space="preserve">・ 空気 </t>
    </r>
    <r>
      <rPr>
        <sz val="10"/>
        <rFont val="Arial"/>
        <family val="0"/>
        <charset val="1"/>
      </rPr>
      <t xml:space="preserve">(</t>
    </r>
    <r>
      <rPr>
        <sz val="10"/>
        <rFont val="Noto Sans CJK SC"/>
        <family val="2"/>
      </rPr>
      <t xml:space="preserve">くうき</t>
    </r>
    <r>
      <rPr>
        <sz val="10"/>
        <rFont val="Arial"/>
        <family val="0"/>
        <charset val="1"/>
      </rPr>
      <t xml:space="preserve">) không khí
   Mẹo: Bộ </t>
    </r>
    <r>
      <rPr>
        <sz val="10"/>
        <rFont val="Noto Sans CJK SC"/>
        <family val="2"/>
      </rPr>
      <t xml:space="preserve">穴 </t>
    </r>
    <r>
      <rPr>
        <sz val="10"/>
        <rFont val="Arial"/>
        <family val="0"/>
        <charset val="1"/>
      </rPr>
      <t xml:space="preserve">(cái hang) + </t>
    </r>
    <r>
      <rPr>
        <sz val="10"/>
        <rFont val="Noto Sans CJK SC"/>
        <family val="2"/>
      </rPr>
      <t xml:space="preserve">工 </t>
    </r>
    <r>
      <rPr>
        <sz val="10"/>
        <rFont val="Arial"/>
        <family val="0"/>
        <charset val="1"/>
      </rPr>
      <t xml:space="preserve">= khoảng RỖNG bên trên. Rỗng → bầu trời.
• </t>
    </r>
    <r>
      <rPr>
        <sz val="10"/>
        <rFont val="Noto Sans CJK SC"/>
        <family val="2"/>
      </rPr>
      <t xml:space="preserve">土 </t>
    </r>
    <r>
      <rPr>
        <sz val="10"/>
        <rFont val="Arial"/>
        <family val="0"/>
        <charset val="1"/>
      </rPr>
      <t xml:space="preserve">[THỔ] Đất — On: </t>
    </r>
    <r>
      <rPr>
        <sz val="10"/>
        <rFont val="Noto Sans CJK SC"/>
        <family val="2"/>
      </rPr>
      <t xml:space="preserve">ド </t>
    </r>
    <r>
      <rPr>
        <sz val="10"/>
        <rFont val="Arial"/>
        <family val="0"/>
        <charset val="1"/>
      </rPr>
      <t xml:space="preserve">/ Kun: </t>
    </r>
    <r>
      <rPr>
        <sz val="10"/>
        <rFont val="Noto Sans CJK SC"/>
        <family val="2"/>
      </rPr>
      <t xml:space="preserve">つち </t>
    </r>
    <r>
      <rPr>
        <sz val="10"/>
        <rFont val="Arial"/>
        <family val="0"/>
        <charset val="1"/>
      </rPr>
      <t xml:space="preserve">(3 nét)
   Từ ghép: </t>
    </r>
    <r>
      <rPr>
        <sz val="10"/>
        <rFont val="Noto Sans CJK SC"/>
        <family val="2"/>
      </rPr>
      <t xml:space="preserve">土曜日 </t>
    </r>
    <r>
      <rPr>
        <sz val="10"/>
        <rFont val="Arial"/>
        <family val="0"/>
        <charset val="1"/>
      </rPr>
      <t xml:space="preserve">(</t>
    </r>
    <r>
      <rPr>
        <sz val="10"/>
        <rFont val="Noto Sans CJK SC"/>
        <family val="2"/>
      </rPr>
      <t xml:space="preserve">どようび</t>
    </r>
    <r>
      <rPr>
        <sz val="10"/>
        <rFont val="Arial"/>
        <family val="0"/>
        <charset val="1"/>
      </rPr>
      <t xml:space="preserve">) thứ Bảy </t>
    </r>
    <r>
      <rPr>
        <sz val="10"/>
        <rFont val="Noto Sans CJK SC"/>
        <family val="2"/>
      </rPr>
      <t xml:space="preserve">・ 土 </t>
    </r>
    <r>
      <rPr>
        <sz val="10"/>
        <rFont val="Arial"/>
        <family val="0"/>
        <charset val="1"/>
      </rPr>
      <t xml:space="preserve">(</t>
    </r>
    <r>
      <rPr>
        <sz val="10"/>
        <rFont val="Noto Sans CJK SC"/>
        <family val="2"/>
      </rPr>
      <t xml:space="preserve">つち</t>
    </r>
    <r>
      <rPr>
        <sz val="10"/>
        <rFont val="Arial"/>
        <family val="0"/>
        <charset val="1"/>
      </rPr>
      <t xml:space="preserve">) đất </t>
    </r>
    <r>
      <rPr>
        <sz val="10"/>
        <rFont val="Noto Sans CJK SC"/>
        <family val="2"/>
      </rPr>
      <t xml:space="preserve">・ 土地 </t>
    </r>
    <r>
      <rPr>
        <sz val="10"/>
        <rFont val="Arial"/>
        <family val="0"/>
        <charset val="1"/>
      </rPr>
      <t xml:space="preserve">(</t>
    </r>
    <r>
      <rPr>
        <sz val="10"/>
        <rFont val="Noto Sans CJK SC"/>
        <family val="2"/>
      </rPr>
      <t xml:space="preserve">とち</t>
    </r>
    <r>
      <rPr>
        <sz val="10"/>
        <rFont val="Arial"/>
        <family val="0"/>
        <charset val="1"/>
      </rPr>
      <t xml:space="preserve">) đất đai
   Mẹo: Cây mầm cắm xuống mặt ĐẤT. Giống </t>
    </r>
    <r>
      <rPr>
        <sz val="10"/>
        <rFont val="Noto Sans CJK SC"/>
        <family val="2"/>
      </rPr>
      <t xml:space="preserve">士 </t>
    </r>
    <r>
      <rPr>
        <sz val="10"/>
        <rFont val="Arial"/>
        <family val="0"/>
        <charset val="1"/>
      </rPr>
      <t xml:space="preserve">nhưng vạch dưới dài hơn vạch trên.</t>
    </r>
  </si>
  <si>
    <r>
      <rPr>
        <sz val="10"/>
        <rFont val="Arial"/>
        <family val="0"/>
        <charset val="1"/>
      </rPr>
      <t xml:space="preserve">Minna bài 18 (1/2) — Thể từ điển &amp; Khả năng
• Thể từ điển (</t>
    </r>
    <r>
      <rPr>
        <sz val="10"/>
        <rFont val="Noto Sans CJK SC"/>
        <family val="2"/>
      </rPr>
      <t xml:space="preserve">辞書形</t>
    </r>
    <r>
      <rPr>
        <sz val="10"/>
        <rFont val="Arial"/>
        <family val="0"/>
        <charset val="1"/>
      </rPr>
      <t xml:space="preserve">)  (Nhóm I: đổi </t>
    </r>
    <r>
      <rPr>
        <sz val="10"/>
        <rFont val="Noto Sans CJK SC"/>
        <family val="2"/>
      </rPr>
      <t xml:space="preserve">ます</t>
    </r>
    <r>
      <rPr>
        <sz val="10"/>
        <rFont val="Arial"/>
        <family val="0"/>
        <charset val="1"/>
      </rPr>
      <t xml:space="preserve">-stem về hàng </t>
    </r>
    <r>
      <rPr>
        <sz val="10"/>
        <rFont val="Noto Sans CJK SC"/>
        <family val="2"/>
      </rPr>
      <t xml:space="preserve">う </t>
    </r>
    <r>
      <rPr>
        <sz val="10"/>
        <rFont val="Arial"/>
        <family val="0"/>
        <charset val="1"/>
      </rPr>
      <t xml:space="preserve">(</t>
    </r>
    <r>
      <rPr>
        <sz val="10"/>
        <rFont val="Noto Sans CJK SC"/>
        <family val="2"/>
      </rPr>
      <t xml:space="preserve">書きます→書く</t>
    </r>
    <r>
      <rPr>
        <sz val="10"/>
        <rFont val="Arial"/>
        <family val="0"/>
        <charset val="1"/>
      </rPr>
      <t xml:space="preserve">). Nhóm II: bỏ </t>
    </r>
    <r>
      <rPr>
        <sz val="10"/>
        <rFont val="Noto Sans CJK SC"/>
        <family val="2"/>
      </rPr>
      <t xml:space="preserve">ます </t>
    </r>
    <r>
      <rPr>
        <sz val="10"/>
        <rFont val="Arial"/>
        <family val="0"/>
        <charset val="1"/>
      </rPr>
      <t xml:space="preserve">thêm </t>
    </r>
    <r>
      <rPr>
        <sz val="10"/>
        <rFont val="Noto Sans CJK SC"/>
        <family val="2"/>
      </rPr>
      <t xml:space="preserve">る</t>
    </r>
    <r>
      <rPr>
        <sz val="10"/>
        <rFont val="Arial"/>
        <family val="0"/>
        <charset val="1"/>
      </rPr>
      <t xml:space="preserve">. Nhóm III: </t>
    </r>
    <r>
      <rPr>
        <sz val="10"/>
        <rFont val="Noto Sans CJK SC"/>
        <family val="2"/>
      </rPr>
      <t xml:space="preserve">します→する</t>
    </r>
    <r>
      <rPr>
        <sz val="10"/>
        <rFont val="Arial"/>
        <family val="0"/>
        <charset val="1"/>
      </rPr>
      <t xml:space="preserve">, </t>
    </r>
    <r>
      <rPr>
        <sz val="10"/>
        <rFont val="Noto Sans CJK SC"/>
        <family val="2"/>
      </rPr>
      <t xml:space="preserve">来ます→来る </t>
    </r>
    <r>
      <rPr>
        <sz val="10"/>
        <rFont val="Arial"/>
        <family val="0"/>
        <charset val="1"/>
      </rPr>
      <t xml:space="preserve">(</t>
    </r>
    <r>
      <rPr>
        <sz val="10"/>
        <rFont val="Noto Sans CJK SC"/>
        <family val="2"/>
      </rPr>
      <t xml:space="preserve">くる</t>
    </r>
    <r>
      <rPr>
        <sz val="10"/>
        <rFont val="Arial"/>
        <family val="0"/>
        <charset val="1"/>
      </rPr>
      <t xml:space="preserve">).)
   Ví dụ: </t>
    </r>
    <r>
      <rPr>
        <sz val="10"/>
        <rFont val="Noto Sans CJK SC"/>
        <family val="2"/>
      </rPr>
      <t xml:space="preserve">食べます → 食べる  </t>
    </r>
    <r>
      <rPr>
        <sz val="10"/>
        <rFont val="Arial"/>
        <family val="0"/>
        <charset val="1"/>
      </rPr>
      <t xml:space="preserve">= ăn (thể lịch sự) → ăn (thể từ điển)
• N </t>
    </r>
    <r>
      <rPr>
        <sz val="10"/>
        <rFont val="Noto Sans CJK SC"/>
        <family val="2"/>
      </rPr>
      <t xml:space="preserve">が できます  </t>
    </r>
    <r>
      <rPr>
        <sz val="10"/>
        <rFont val="Arial"/>
        <family val="0"/>
        <charset val="1"/>
      </rPr>
      <t xml:space="preserve">(Có thể / biết làm N.)
   Ví dụ: </t>
    </r>
    <r>
      <rPr>
        <sz val="10"/>
        <rFont val="Noto Sans CJK SC"/>
        <family val="2"/>
      </rPr>
      <t xml:space="preserve">わたしは 日本語が できます。  </t>
    </r>
    <r>
      <rPr>
        <sz val="10"/>
        <rFont val="Arial"/>
        <family val="0"/>
        <charset val="1"/>
      </rPr>
      <t xml:space="preserve">= Tôi biết tiếng Nhật.
• V </t>
    </r>
    <r>
      <rPr>
        <sz val="10"/>
        <rFont val="Noto Sans CJK SC"/>
        <family val="2"/>
      </rPr>
      <t xml:space="preserve">る こと が できます  </t>
    </r>
    <r>
      <rPr>
        <sz val="10"/>
        <rFont val="Arial"/>
        <family val="0"/>
        <charset val="1"/>
      </rPr>
      <t xml:space="preserve">(Có thể làm ~.)
   Ví dụ: </t>
    </r>
    <r>
      <rPr>
        <sz val="10"/>
        <rFont val="Noto Sans CJK SC"/>
        <family val="2"/>
      </rPr>
      <t xml:space="preserve">ピアノを 弾く ことが できます。  </t>
    </r>
    <r>
      <rPr>
        <sz val="10"/>
        <rFont val="Arial"/>
        <family val="0"/>
        <charset val="1"/>
      </rPr>
      <t xml:space="preserve">= Tôi có thể chơi piano.
→ Làm </t>
    </r>
    <r>
      <rPr>
        <sz val="10"/>
        <rFont val="Noto Sans CJK SC"/>
        <family val="2"/>
      </rPr>
      <t xml:space="preserve">練習</t>
    </r>
    <r>
      <rPr>
        <sz val="10"/>
        <rFont val="Arial"/>
        <family val="0"/>
        <charset val="1"/>
      </rPr>
      <t xml:space="preserve">A của bài 18 trong sách, mỗi mẫu tự đặt 3 câu.</t>
    </r>
  </si>
  <si>
    <r>
      <rPr>
        <sz val="10"/>
        <rFont val="Arial"/>
        <family val="0"/>
        <charset val="1"/>
      </rPr>
      <t xml:space="preserve">Từ mới Minna bài 18:
• </t>
    </r>
    <r>
      <rPr>
        <sz val="10"/>
        <rFont val="Noto Sans CJK SC"/>
        <family val="2"/>
      </rPr>
      <t xml:space="preserve">できます </t>
    </r>
    <r>
      <rPr>
        <sz val="10"/>
        <rFont val="Arial"/>
        <family val="0"/>
        <charset val="1"/>
      </rPr>
      <t xml:space="preserve">= Có thể, làm được
   Mẹo: Đối tượng dùng </t>
    </r>
    <r>
      <rPr>
        <sz val="10"/>
        <rFont val="Noto Sans CJK SC"/>
        <family val="2"/>
      </rPr>
      <t xml:space="preserve">が</t>
    </r>
    <r>
      <rPr>
        <sz val="10"/>
        <rFont val="Arial"/>
        <family val="0"/>
        <charset val="1"/>
      </rPr>
      <t xml:space="preserve">: </t>
    </r>
    <r>
      <rPr>
        <sz val="10"/>
        <rFont val="Noto Sans CJK SC"/>
        <family val="2"/>
      </rPr>
      <t xml:space="preserve">日本語が できます</t>
    </r>
    <r>
      <rPr>
        <sz val="10"/>
        <rFont val="Arial"/>
        <family val="0"/>
        <charset val="1"/>
      </rPr>
      <t xml:space="preserve">.
• </t>
    </r>
    <r>
      <rPr>
        <sz val="10"/>
        <rFont val="Noto Sans CJK SC"/>
        <family val="2"/>
      </rPr>
      <t xml:space="preserve">ひきます（弾きます） </t>
    </r>
    <r>
      <rPr>
        <sz val="10"/>
        <rFont val="Arial"/>
        <family val="0"/>
        <charset val="1"/>
      </rPr>
      <t xml:space="preserve">= Chơi (nhạc cụ dây, phím)
   Mẹo: </t>
    </r>
    <r>
      <rPr>
        <sz val="10"/>
        <rFont val="Noto Sans CJK SC"/>
        <family val="2"/>
      </rPr>
      <t xml:space="preserve">ピアノを 弾きます</t>
    </r>
    <r>
      <rPr>
        <sz val="10"/>
        <rFont val="Arial"/>
        <family val="0"/>
        <charset val="1"/>
      </rPr>
      <t xml:space="preserve">. Khác với </t>
    </r>
    <r>
      <rPr>
        <sz val="10"/>
        <rFont val="Noto Sans CJK SC"/>
        <family val="2"/>
      </rPr>
      <t xml:space="preserve">歌います </t>
    </r>
    <r>
      <rPr>
        <sz val="10"/>
        <rFont val="Arial"/>
        <family val="0"/>
        <charset val="1"/>
      </rPr>
      <t xml:space="preserve">(hát).
• </t>
    </r>
    <r>
      <rPr>
        <sz val="10"/>
        <rFont val="Noto Sans CJK SC"/>
        <family val="2"/>
      </rPr>
      <t xml:space="preserve">うたいます（歌います） </t>
    </r>
    <r>
      <rPr>
        <sz val="10"/>
        <rFont val="Arial"/>
        <family val="0"/>
        <charset val="1"/>
      </rPr>
      <t xml:space="preserve">= Hát
   Mẹo: </t>
    </r>
    <r>
      <rPr>
        <sz val="10"/>
        <rFont val="Noto Sans CJK SC"/>
        <family val="2"/>
      </rPr>
      <t xml:space="preserve">歌 </t>
    </r>
    <r>
      <rPr>
        <sz val="10"/>
        <rFont val="Arial"/>
        <family val="0"/>
        <charset val="1"/>
      </rPr>
      <t xml:space="preserve">có bộ </t>
    </r>
    <r>
      <rPr>
        <sz val="10"/>
        <rFont val="Noto Sans CJK SC"/>
        <family val="2"/>
      </rPr>
      <t xml:space="preserve">欠 </t>
    </r>
    <r>
      <rPr>
        <sz val="10"/>
        <rFont val="Arial"/>
        <family val="0"/>
        <charset val="1"/>
      </rPr>
      <t xml:space="preserve">(há miệng) → há miệng mà HÁT.
• </t>
    </r>
    <r>
      <rPr>
        <sz val="10"/>
        <rFont val="Noto Sans CJK SC"/>
        <family val="2"/>
      </rPr>
      <t xml:space="preserve">あつめます（集めます） </t>
    </r>
    <r>
      <rPr>
        <sz val="10"/>
        <rFont val="Arial"/>
        <family val="0"/>
        <charset val="1"/>
      </rPr>
      <t xml:space="preserve">= Sưu tầm, tập hợp
   Mẹo: </t>
    </r>
    <r>
      <rPr>
        <sz val="10"/>
        <rFont val="Noto Sans CJK SC"/>
        <family val="2"/>
      </rPr>
      <t xml:space="preserve">集 </t>
    </r>
    <r>
      <rPr>
        <sz val="10"/>
        <rFont val="Arial"/>
        <family val="0"/>
        <charset val="1"/>
      </rPr>
      <t xml:space="preserve">= </t>
    </r>
    <r>
      <rPr>
        <sz val="10"/>
        <rFont val="Noto Sans CJK SC"/>
        <family val="2"/>
      </rPr>
      <t xml:space="preserve">隹 </t>
    </r>
    <r>
      <rPr>
        <sz val="10"/>
        <rFont val="Arial"/>
        <family val="0"/>
        <charset val="1"/>
      </rPr>
      <t xml:space="preserve">(con chim) trên </t>
    </r>
    <r>
      <rPr>
        <sz val="10"/>
        <rFont val="Noto Sans CJK SC"/>
        <family val="2"/>
      </rPr>
      <t xml:space="preserve">木 </t>
    </r>
    <r>
      <rPr>
        <sz val="10"/>
        <rFont val="Arial"/>
        <family val="0"/>
        <charset val="1"/>
      </rPr>
      <t xml:space="preserve">(cây) → chim TỤ TẬP trên cây.
• </t>
    </r>
    <r>
      <rPr>
        <sz val="10"/>
        <rFont val="Noto Sans CJK SC"/>
        <family val="2"/>
      </rPr>
      <t xml:space="preserve">すてます（捨てます） </t>
    </r>
    <r>
      <rPr>
        <sz val="10"/>
        <rFont val="Arial"/>
        <family val="0"/>
        <charset val="1"/>
      </rPr>
      <t xml:space="preserve">= Vứt bỏ
   Mẹo: </t>
    </r>
    <r>
      <rPr>
        <sz val="10"/>
        <rFont val="Noto Sans CJK SC"/>
        <family val="2"/>
      </rPr>
      <t xml:space="preserve">捨 </t>
    </r>
    <r>
      <rPr>
        <sz val="10"/>
        <rFont val="Arial"/>
        <family val="0"/>
        <charset val="1"/>
      </rPr>
      <t xml:space="preserve">có </t>
    </r>
    <r>
      <rPr>
        <sz val="10"/>
        <rFont val="Noto Sans CJK SC"/>
        <family val="2"/>
      </rPr>
      <t xml:space="preserve">扌 </t>
    </r>
    <r>
      <rPr>
        <sz val="10"/>
        <rFont val="Arial"/>
        <family val="0"/>
        <charset val="1"/>
      </rPr>
      <t xml:space="preserve">(tay) → tay ném đi = VỨT.
• </t>
    </r>
    <r>
      <rPr>
        <sz val="10"/>
        <rFont val="Noto Sans CJK SC"/>
        <family val="2"/>
      </rPr>
      <t xml:space="preserve">うんてんします（運転します） </t>
    </r>
    <r>
      <rPr>
        <sz val="10"/>
        <rFont val="Arial"/>
        <family val="0"/>
        <charset val="1"/>
      </rPr>
      <t xml:space="preserve">= Lái xe
   Mẹo: VẬN CHUYỂN = điều khiển cho di chuyển.
• </t>
    </r>
    <r>
      <rPr>
        <sz val="10"/>
        <rFont val="Noto Sans CJK SC"/>
        <family val="2"/>
      </rPr>
      <t xml:space="preserve">よやくします（予約します） </t>
    </r>
    <r>
      <rPr>
        <sz val="10"/>
        <rFont val="Arial"/>
        <family val="0"/>
        <charset val="1"/>
      </rPr>
      <t xml:space="preserve">= Đặt trước
   Mẹo: DỰ ƯỚC = hẹn trước.
→ Đối chiếu thêm với mục </t>
    </r>
    <r>
      <rPr>
        <sz val="10"/>
        <rFont val="Noto Sans CJK SC"/>
        <family val="2"/>
      </rPr>
      <t xml:space="preserve">語彙 </t>
    </r>
    <r>
      <rPr>
        <sz val="10"/>
        <rFont val="Arial"/>
        <family val="0"/>
        <charset val="1"/>
      </rPr>
      <t xml:space="preserve">của bài 18 trong sách để bổ sung.</t>
    </r>
  </si>
  <si>
    <r>
      <rPr>
        <b val="true"/>
        <sz val="12"/>
        <color rgb="FF1F3864"/>
        <rFont val="Arial"/>
        <family val="0"/>
        <charset val="1"/>
      </rPr>
      <t xml:space="preserve">NGÀY 58  ·  Tuần 9  ·  Minna Bài 18 (2/2)  ·  Thể từ điển &amp; Khả năng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</si>
  <si>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馬 </t>
    </r>
    <r>
      <rPr>
        <sz val="10"/>
        <rFont val="Arial"/>
        <family val="0"/>
        <charset val="1"/>
      </rPr>
      <t xml:space="preserve">(</t>
    </r>
    <r>
      <rPr>
        <sz val="10"/>
        <rFont val="Noto Sans CJK SC"/>
        <family val="2"/>
      </rPr>
      <t xml:space="preserve">うま </t>
    </r>
    <r>
      <rPr>
        <sz val="10"/>
        <rFont val="Arial"/>
        <family val="0"/>
        <charset val="1"/>
      </rPr>
      <t xml:space="preserve">/ </t>
    </r>
    <r>
      <rPr>
        <sz val="10"/>
        <rFont val="Noto Sans CJK SC"/>
        <family val="2"/>
      </rPr>
      <t xml:space="preserve">うまへん</t>
    </r>
    <r>
      <rPr>
        <sz val="10"/>
        <rFont val="Arial"/>
        <family val="0"/>
        <charset val="1"/>
      </rPr>
      <t xml:space="preserve">) = Ngựa
   Mẹo nhớ: Bờm, thân và bốn chân ngựa
   Kanji chứa bộ này: </t>
    </r>
    <r>
      <rPr>
        <sz val="10"/>
        <rFont val="Noto Sans CJK SC"/>
        <family val="2"/>
      </rPr>
      <t xml:space="preserve">駅・験・駐</t>
    </r>
  </si>
  <si>
    <r>
      <rPr>
        <sz val="10"/>
        <rFont val="Arial"/>
        <family val="0"/>
        <charset val="1"/>
      </rPr>
      <t xml:space="preserve">Học 2 chữ. Mỗi chữ viết tay 10 lần đúng thứ tự nét.
• </t>
    </r>
    <r>
      <rPr>
        <sz val="10"/>
        <rFont val="Noto Sans CJK SC"/>
        <family val="2"/>
      </rPr>
      <t xml:space="preserve">木 </t>
    </r>
    <r>
      <rPr>
        <sz val="10"/>
        <rFont val="Arial"/>
        <family val="0"/>
        <charset val="1"/>
      </rPr>
      <t xml:space="preserve">[MỘC] Cây, gỗ — On: </t>
    </r>
    <r>
      <rPr>
        <sz val="10"/>
        <rFont val="Noto Sans CJK SC"/>
        <family val="2"/>
      </rPr>
      <t xml:space="preserve">モク・ボク </t>
    </r>
    <r>
      <rPr>
        <sz val="10"/>
        <rFont val="Arial"/>
        <family val="0"/>
        <charset val="1"/>
      </rPr>
      <t xml:space="preserve">/ Kun: </t>
    </r>
    <r>
      <rPr>
        <sz val="10"/>
        <rFont val="Noto Sans CJK SC"/>
        <family val="2"/>
      </rPr>
      <t xml:space="preserve">き </t>
    </r>
    <r>
      <rPr>
        <sz val="10"/>
        <rFont val="Arial"/>
        <family val="0"/>
        <charset val="1"/>
      </rPr>
      <t xml:space="preserve">(4 nét)
   Từ ghép: </t>
    </r>
    <r>
      <rPr>
        <sz val="10"/>
        <rFont val="Noto Sans CJK SC"/>
        <family val="2"/>
      </rPr>
      <t xml:space="preserve">木 </t>
    </r>
    <r>
      <rPr>
        <sz val="10"/>
        <rFont val="Arial"/>
        <family val="0"/>
        <charset val="1"/>
      </rPr>
      <t xml:space="preserve">(</t>
    </r>
    <r>
      <rPr>
        <sz val="10"/>
        <rFont val="Noto Sans CJK SC"/>
        <family val="2"/>
      </rPr>
      <t xml:space="preserve">き</t>
    </r>
    <r>
      <rPr>
        <sz val="10"/>
        <rFont val="Arial"/>
        <family val="0"/>
        <charset val="1"/>
      </rPr>
      <t xml:space="preserve">) cây </t>
    </r>
    <r>
      <rPr>
        <sz val="10"/>
        <rFont val="Noto Sans CJK SC"/>
        <family val="2"/>
      </rPr>
      <t xml:space="preserve">・ 木曜日 </t>
    </r>
    <r>
      <rPr>
        <sz val="10"/>
        <rFont val="Arial"/>
        <family val="0"/>
        <charset val="1"/>
      </rPr>
      <t xml:space="preserve">(</t>
    </r>
    <r>
      <rPr>
        <sz val="10"/>
        <rFont val="Noto Sans CJK SC"/>
        <family val="2"/>
      </rPr>
      <t xml:space="preserve">もくようび</t>
    </r>
    <r>
      <rPr>
        <sz val="10"/>
        <rFont val="Arial"/>
        <family val="0"/>
        <charset val="1"/>
      </rPr>
      <t xml:space="preserve">) thứ Năm </t>
    </r>
    <r>
      <rPr>
        <sz val="10"/>
        <rFont val="Noto Sans CJK SC"/>
        <family val="2"/>
      </rPr>
      <t xml:space="preserve">・ 木村 </t>
    </r>
    <r>
      <rPr>
        <sz val="10"/>
        <rFont val="Arial"/>
        <family val="0"/>
        <charset val="1"/>
      </rPr>
      <t xml:space="preserve">(</t>
    </r>
    <r>
      <rPr>
        <sz val="10"/>
        <rFont val="Noto Sans CJK SC"/>
        <family val="2"/>
      </rPr>
      <t xml:space="preserve">きむら</t>
    </r>
    <r>
      <rPr>
        <sz val="10"/>
        <rFont val="Arial"/>
        <family val="0"/>
        <charset val="1"/>
      </rPr>
      <t xml:space="preserve">) Kimura
   Mẹo: Thân cây thẳng, có cành vươn ngang và rễ tỏa xuống.
• </t>
    </r>
    <r>
      <rPr>
        <sz val="10"/>
        <rFont val="Noto Sans CJK SC"/>
        <family val="2"/>
      </rPr>
      <t xml:space="preserve">聞 </t>
    </r>
    <r>
      <rPr>
        <sz val="10"/>
        <rFont val="Arial"/>
        <family val="0"/>
        <charset val="1"/>
      </rPr>
      <t xml:space="preserve">[VĂN] Nghe, hỏi — On: </t>
    </r>
    <r>
      <rPr>
        <sz val="10"/>
        <rFont val="Noto Sans CJK SC"/>
        <family val="2"/>
      </rPr>
      <t xml:space="preserve">ブン </t>
    </r>
    <r>
      <rPr>
        <sz val="10"/>
        <rFont val="Arial"/>
        <family val="0"/>
        <charset val="1"/>
      </rPr>
      <t xml:space="preserve">/ Kun: </t>
    </r>
    <r>
      <rPr>
        <sz val="10"/>
        <rFont val="Noto Sans CJK SC"/>
        <family val="2"/>
      </rPr>
      <t xml:space="preserve">き</t>
    </r>
    <r>
      <rPr>
        <sz val="10"/>
        <rFont val="Arial"/>
        <family val="0"/>
        <charset val="1"/>
      </rPr>
      <t xml:space="preserve">(</t>
    </r>
    <r>
      <rPr>
        <sz val="10"/>
        <rFont val="Noto Sans CJK SC"/>
        <family val="2"/>
      </rPr>
      <t xml:space="preserve">く</t>
    </r>
    <r>
      <rPr>
        <sz val="10"/>
        <rFont val="Arial"/>
        <family val="0"/>
        <charset val="1"/>
      </rPr>
      <t xml:space="preserve">) (14 nét)
   Từ ghép: </t>
    </r>
    <r>
      <rPr>
        <sz val="10"/>
        <rFont val="Noto Sans CJK SC"/>
        <family val="2"/>
      </rPr>
      <t xml:space="preserve">聞きます </t>
    </r>
    <r>
      <rPr>
        <sz val="10"/>
        <rFont val="Arial"/>
        <family val="0"/>
        <charset val="1"/>
      </rPr>
      <t xml:space="preserve">(</t>
    </r>
    <r>
      <rPr>
        <sz val="10"/>
        <rFont val="Noto Sans CJK SC"/>
        <family val="2"/>
      </rPr>
      <t xml:space="preserve">ききます</t>
    </r>
    <r>
      <rPr>
        <sz val="10"/>
        <rFont val="Arial"/>
        <family val="0"/>
        <charset val="1"/>
      </rPr>
      <t xml:space="preserve">) nghe </t>
    </r>
    <r>
      <rPr>
        <sz val="10"/>
        <rFont val="Noto Sans CJK SC"/>
        <family val="2"/>
      </rPr>
      <t xml:space="preserve">・ 新聞 </t>
    </r>
    <r>
      <rPr>
        <sz val="10"/>
        <rFont val="Arial"/>
        <family val="0"/>
        <charset val="1"/>
      </rPr>
      <t xml:space="preserve">(</t>
    </r>
    <r>
      <rPr>
        <sz val="10"/>
        <rFont val="Noto Sans CJK SC"/>
        <family val="2"/>
      </rPr>
      <t xml:space="preserve">しんぶん</t>
    </r>
    <r>
      <rPr>
        <sz val="10"/>
        <rFont val="Arial"/>
        <family val="0"/>
        <charset val="1"/>
      </rPr>
      <t xml:space="preserve">) báo </t>
    </r>
    <r>
      <rPr>
        <sz val="10"/>
        <rFont val="Noto Sans CJK SC"/>
        <family val="2"/>
      </rPr>
      <t xml:space="preserve">・ 聞こえます </t>
    </r>
    <r>
      <rPr>
        <sz val="10"/>
        <rFont val="Arial"/>
        <family val="0"/>
        <charset val="1"/>
      </rPr>
      <t xml:space="preserve">nghe thấy
   Mẹo: </t>
    </r>
    <r>
      <rPr>
        <sz val="10"/>
        <rFont val="Noto Sans CJK SC"/>
        <family val="2"/>
      </rPr>
      <t xml:space="preserve">門 </t>
    </r>
    <r>
      <rPr>
        <sz val="10"/>
        <rFont val="Arial"/>
        <family val="0"/>
        <charset val="1"/>
      </rPr>
      <t xml:space="preserve">(cánh cửa) có </t>
    </r>
    <r>
      <rPr>
        <sz val="10"/>
        <rFont val="Noto Sans CJK SC"/>
        <family val="2"/>
      </rPr>
      <t xml:space="preserve">耳 </t>
    </r>
    <r>
      <rPr>
        <sz val="10"/>
        <rFont val="Arial"/>
        <family val="0"/>
        <charset val="1"/>
      </rPr>
      <t xml:space="preserve">(cái tai) áp vào giữa = áp tai vào cửa để NGHE trộm.</t>
    </r>
  </si>
  <si>
    <r>
      <rPr>
        <sz val="10"/>
        <rFont val="Arial"/>
        <family val="0"/>
        <charset val="1"/>
      </rPr>
      <t xml:space="preserve">Minna bài 18 (2/2) — Thể từ điển &amp; Khả năng
• </t>
    </r>
    <r>
      <rPr>
        <sz val="10"/>
        <rFont val="Noto Sans CJK SC"/>
        <family val="2"/>
      </rPr>
      <t xml:space="preserve">わたしの 趣味は </t>
    </r>
    <r>
      <rPr>
        <sz val="10"/>
        <rFont val="Arial"/>
        <family val="0"/>
        <charset val="1"/>
      </rPr>
      <t xml:space="preserve">V </t>
    </r>
    <r>
      <rPr>
        <sz val="10"/>
        <rFont val="Noto Sans CJK SC"/>
        <family val="2"/>
      </rPr>
      <t xml:space="preserve">る ことです  </t>
    </r>
    <r>
      <rPr>
        <sz val="10"/>
        <rFont val="Arial"/>
        <family val="0"/>
        <charset val="1"/>
      </rPr>
      <t xml:space="preserve">(Sở thích của tôi là ~.)
   Ví dụ: </t>
    </r>
    <r>
      <rPr>
        <sz val="10"/>
        <rFont val="Noto Sans CJK SC"/>
        <family val="2"/>
      </rPr>
      <t xml:space="preserve">わたしの 趣味は 本を 読む ことです。  </t>
    </r>
    <r>
      <rPr>
        <sz val="10"/>
        <rFont val="Arial"/>
        <family val="0"/>
        <charset val="1"/>
      </rPr>
      <t xml:space="preserve">= Sở thích của tôi là đọc sách.
• V </t>
    </r>
    <r>
      <rPr>
        <sz val="10"/>
        <rFont val="Noto Sans CJK SC"/>
        <family val="2"/>
      </rPr>
      <t xml:space="preserve">る まえに </t>
    </r>
    <r>
      <rPr>
        <sz val="10"/>
        <rFont val="Arial"/>
        <family val="0"/>
        <charset val="1"/>
      </rPr>
      <t xml:space="preserve">/ N </t>
    </r>
    <r>
      <rPr>
        <sz val="10"/>
        <rFont val="Noto Sans CJK SC"/>
        <family val="2"/>
      </rPr>
      <t xml:space="preserve">の まえに </t>
    </r>
    <r>
      <rPr>
        <sz val="10"/>
        <rFont val="Arial"/>
        <family val="0"/>
        <charset val="1"/>
      </rPr>
      <t xml:space="preserve">/ </t>
    </r>
    <r>
      <rPr>
        <sz val="10"/>
        <rFont val="Noto Sans CJK SC"/>
        <family val="2"/>
      </rPr>
      <t xml:space="preserve">期間 まえに  </t>
    </r>
    <r>
      <rPr>
        <sz val="10"/>
        <rFont val="Arial"/>
        <family val="0"/>
        <charset val="1"/>
      </rPr>
      <t xml:space="preserve">(Trước khi ~. Trước danh từ dùng </t>
    </r>
    <r>
      <rPr>
        <sz val="10"/>
        <rFont val="Noto Sans CJK SC"/>
        <family val="2"/>
      </rPr>
      <t xml:space="preserve">の</t>
    </r>
    <r>
      <rPr>
        <sz val="10"/>
        <rFont val="Arial"/>
        <family val="0"/>
        <charset val="1"/>
      </rPr>
      <t xml:space="preserve">.)
   Ví dụ: </t>
    </r>
    <r>
      <rPr>
        <sz val="10"/>
        <rFont val="Noto Sans CJK SC"/>
        <family val="2"/>
      </rPr>
      <t xml:space="preserve">寝る まえに 歯を 磨きます。  </t>
    </r>
    <r>
      <rPr>
        <sz val="10"/>
        <rFont val="Arial"/>
        <family val="0"/>
        <charset val="1"/>
      </rPr>
      <t xml:space="preserve">= Trước khi ngủ tôi đánh răng.
→ Làm </t>
    </r>
    <r>
      <rPr>
        <sz val="10"/>
        <rFont val="Noto Sans CJK SC"/>
        <family val="2"/>
      </rPr>
      <t xml:space="preserve">練習</t>
    </r>
    <r>
      <rPr>
        <sz val="10"/>
        <rFont val="Arial"/>
        <family val="0"/>
        <charset val="1"/>
      </rPr>
      <t xml:space="preserve">A của bài 18 trong sách, mỗi mẫu tự đặt 3 câu.</t>
    </r>
  </si>
  <si>
    <r>
      <rPr>
        <sz val="10"/>
        <rFont val="Arial"/>
        <family val="0"/>
        <charset val="1"/>
      </rPr>
      <t xml:space="preserve">Từ mới Minna bài 18:
• </t>
    </r>
    <r>
      <rPr>
        <sz val="10"/>
        <rFont val="Noto Sans CJK SC"/>
        <family val="2"/>
      </rPr>
      <t xml:space="preserve">しゅみ（趣味） </t>
    </r>
    <r>
      <rPr>
        <sz val="10"/>
        <rFont val="Arial"/>
        <family val="0"/>
        <charset val="1"/>
      </rPr>
      <t xml:space="preserve">= Sở thích
   Mẹo: THÚ VỊ = điều thấy thú vị.
• </t>
    </r>
    <r>
      <rPr>
        <sz val="10"/>
        <rFont val="Noto Sans CJK SC"/>
        <family val="2"/>
      </rPr>
      <t xml:space="preserve">にっき（日記） </t>
    </r>
    <r>
      <rPr>
        <sz val="10"/>
        <rFont val="Arial"/>
        <family val="0"/>
        <charset val="1"/>
      </rPr>
      <t xml:space="preserve">= Nhật ký
   Mẹo: NHẬT KÝ — âm Hán Việt y hệt tiếng Việt.
• </t>
    </r>
    <r>
      <rPr>
        <sz val="10"/>
        <rFont val="Noto Sans CJK SC"/>
        <family val="2"/>
      </rPr>
      <t xml:space="preserve">ピアノ </t>
    </r>
    <r>
      <rPr>
        <sz val="10"/>
        <rFont val="Arial"/>
        <family val="0"/>
        <charset val="1"/>
      </rPr>
      <t xml:space="preserve">= Đàn piano
   Mẹo: Từ 'piano'.
• </t>
    </r>
    <r>
      <rPr>
        <sz val="10"/>
        <rFont val="Noto Sans CJK SC"/>
        <family val="2"/>
      </rPr>
      <t xml:space="preserve">インターネット </t>
    </r>
    <r>
      <rPr>
        <sz val="10"/>
        <rFont val="Arial"/>
        <family val="0"/>
        <charset val="1"/>
      </rPr>
      <t xml:space="preserve">= Internet
   Mẹo: Từ 'internet'.
• </t>
    </r>
    <r>
      <rPr>
        <sz val="10"/>
        <rFont val="Noto Sans CJK SC"/>
        <family val="2"/>
      </rPr>
      <t xml:space="preserve">はいります（入ります） </t>
    </r>
    <r>
      <rPr>
        <sz val="10"/>
        <rFont val="Arial"/>
        <family val="0"/>
        <charset val="1"/>
      </rPr>
      <t xml:space="preserve">= Vào
   Mẹo: </t>
    </r>
    <r>
      <rPr>
        <sz val="10"/>
        <rFont val="Noto Sans CJK SC"/>
        <family val="2"/>
      </rPr>
      <t xml:space="preserve">お風呂に 入ります </t>
    </r>
    <r>
      <rPr>
        <sz val="10"/>
        <rFont val="Arial"/>
        <family val="0"/>
        <charset val="1"/>
      </rPr>
      <t xml:space="preserve">= đi tắm bồn. Dùng trợ từ </t>
    </r>
    <r>
      <rPr>
        <sz val="10"/>
        <rFont val="Noto Sans CJK SC"/>
        <family val="2"/>
      </rPr>
      <t xml:space="preserve">に</t>
    </r>
    <r>
      <rPr>
        <sz val="10"/>
        <rFont val="Arial"/>
        <family val="0"/>
        <charset val="1"/>
      </rPr>
      <t xml:space="preserve">.
• </t>
    </r>
    <r>
      <rPr>
        <sz val="10"/>
        <rFont val="Noto Sans CJK SC"/>
        <family val="2"/>
      </rPr>
      <t xml:space="preserve">あたま（頭） </t>
    </r>
    <r>
      <rPr>
        <sz val="10"/>
        <rFont val="Arial"/>
        <family val="0"/>
        <charset val="1"/>
      </rPr>
      <t xml:space="preserve">= Đầu
   Mẹo: </t>
    </r>
    <r>
      <rPr>
        <sz val="10"/>
        <rFont val="Noto Sans CJK SC"/>
        <family val="2"/>
      </rPr>
      <t xml:space="preserve">頭 </t>
    </r>
    <r>
      <rPr>
        <sz val="10"/>
        <rFont val="Arial"/>
        <family val="0"/>
        <charset val="1"/>
      </rPr>
      <t xml:space="preserve">có bộ </t>
    </r>
    <r>
      <rPr>
        <sz val="10"/>
        <rFont val="Noto Sans CJK SC"/>
        <family val="2"/>
      </rPr>
      <t xml:space="preserve">頁 </t>
    </r>
    <r>
      <rPr>
        <sz val="10"/>
        <rFont val="Arial"/>
        <family val="0"/>
        <charset val="1"/>
      </rPr>
      <t xml:space="preserve">(cái đầu người). </t>
    </r>
    <r>
      <rPr>
        <sz val="10"/>
        <rFont val="Noto Sans CJK SC"/>
        <family val="2"/>
      </rPr>
      <t xml:space="preserve">頭が いい </t>
    </r>
    <r>
      <rPr>
        <sz val="10"/>
        <rFont val="Arial"/>
        <family val="0"/>
        <charset val="1"/>
      </rPr>
      <t xml:space="preserve">= thông minh.
• </t>
    </r>
    <r>
      <rPr>
        <sz val="10"/>
        <rFont val="Noto Sans CJK SC"/>
        <family val="2"/>
      </rPr>
      <t xml:space="preserve">いちど（一度） </t>
    </r>
    <r>
      <rPr>
        <sz val="10"/>
        <rFont val="Arial"/>
        <family val="0"/>
        <charset val="1"/>
      </rPr>
      <t xml:space="preserve">= Một lần
   Mẹo: NHẤT ĐỘ. </t>
    </r>
    <r>
      <rPr>
        <sz val="10"/>
        <rFont val="Noto Sans CJK SC"/>
        <family val="2"/>
      </rPr>
      <t xml:space="preserve">もう一度 </t>
    </r>
    <r>
      <rPr>
        <sz val="10"/>
        <rFont val="Arial"/>
        <family val="0"/>
        <charset val="1"/>
      </rPr>
      <t xml:space="preserve">= một lần nữa — câu cực kỳ hay dùng.
→ Đối chiếu thêm với mục </t>
    </r>
    <r>
      <rPr>
        <sz val="10"/>
        <rFont val="Noto Sans CJK SC"/>
        <family val="2"/>
      </rPr>
      <t xml:space="preserve">語彙 </t>
    </r>
    <r>
      <rPr>
        <sz val="10"/>
        <rFont val="Arial"/>
        <family val="0"/>
        <charset val="1"/>
      </rPr>
      <t xml:space="preserve">của bài 18 trong sách để bổ sung.</t>
    </r>
  </si>
  <si>
    <r>
      <rPr>
        <b val="true"/>
        <sz val="12"/>
        <color rgb="FF1F3864"/>
        <rFont val="Arial"/>
        <family val="0"/>
        <charset val="1"/>
      </rPr>
      <t xml:space="preserve">NGÀY 59  ·  Tuần 9  ·  Minna Bài 19 (1/3)  ·  Thể </t>
    </r>
    <r>
      <rPr>
        <b val="true"/>
        <sz val="12"/>
        <color rgb="FF1F3864"/>
        <rFont val="Noto Sans CJK SC"/>
        <family val="2"/>
      </rPr>
      <t xml:space="preserve">た — </t>
    </r>
    <r>
      <rPr>
        <b val="true"/>
        <sz val="12"/>
        <color rgb="FF1F3864"/>
        <rFont val="Arial"/>
        <family val="0"/>
        <charset val="1"/>
      </rPr>
      <t xml:space="preserve">Kinh nghiệm &amp; Liệt kê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</si>
  <si>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貝 </t>
    </r>
    <r>
      <rPr>
        <sz val="10"/>
        <rFont val="Arial"/>
        <family val="0"/>
        <charset val="1"/>
      </rPr>
      <t xml:space="preserve">(</t>
    </r>
    <r>
      <rPr>
        <sz val="10"/>
        <rFont val="Noto Sans CJK SC"/>
        <family val="2"/>
      </rPr>
      <t xml:space="preserve">かい </t>
    </r>
    <r>
      <rPr>
        <sz val="10"/>
        <rFont val="Arial"/>
        <family val="0"/>
        <charset val="1"/>
      </rPr>
      <t xml:space="preserve">/ </t>
    </r>
    <r>
      <rPr>
        <sz val="10"/>
        <rFont val="Noto Sans CJK SC"/>
        <family val="2"/>
      </rPr>
      <t xml:space="preserve">かいへん</t>
    </r>
    <r>
      <rPr>
        <sz val="10"/>
        <rFont val="Arial"/>
        <family val="0"/>
        <charset val="1"/>
      </rPr>
      <t xml:space="preserve">) = Vỏ sò, tiền bạc
   Mẹo nhớ: Ngày xưa vỏ sò dùng làm tiền
   Kanji chứa bộ này: </t>
    </r>
    <r>
      <rPr>
        <sz val="10"/>
        <rFont val="Noto Sans CJK SC"/>
        <family val="2"/>
      </rPr>
      <t xml:space="preserve">買・貝・財・買</t>
    </r>
  </si>
  <si>
    <r>
      <rPr>
        <sz val="10"/>
        <rFont val="Arial"/>
        <family val="0"/>
        <charset val="1"/>
      </rPr>
      <t xml:space="preserve">Học 2 chữ. Mỗi chữ viết tay 10 lần đúng thứ tự nét.
• </t>
    </r>
    <r>
      <rPr>
        <sz val="10"/>
        <rFont val="Noto Sans CJK SC"/>
        <family val="2"/>
      </rPr>
      <t xml:space="preserve">食 </t>
    </r>
    <r>
      <rPr>
        <sz val="10"/>
        <rFont val="Arial"/>
        <family val="0"/>
        <charset val="1"/>
      </rPr>
      <t xml:space="preserve">[THỰC] Ăn — On: </t>
    </r>
    <r>
      <rPr>
        <sz val="10"/>
        <rFont val="Noto Sans CJK SC"/>
        <family val="2"/>
      </rPr>
      <t xml:space="preserve">ショク </t>
    </r>
    <r>
      <rPr>
        <sz val="10"/>
        <rFont val="Arial"/>
        <family val="0"/>
        <charset val="1"/>
      </rPr>
      <t xml:space="preserve">/ Kun: </t>
    </r>
    <r>
      <rPr>
        <sz val="10"/>
        <rFont val="Noto Sans CJK SC"/>
        <family val="2"/>
      </rPr>
      <t xml:space="preserve">た</t>
    </r>
    <r>
      <rPr>
        <sz val="10"/>
        <rFont val="Arial"/>
        <family val="0"/>
        <charset val="1"/>
      </rPr>
      <t xml:space="preserve">(</t>
    </r>
    <r>
      <rPr>
        <sz val="10"/>
        <rFont val="Noto Sans CJK SC"/>
        <family val="2"/>
      </rPr>
      <t xml:space="preserve">べる</t>
    </r>
    <r>
      <rPr>
        <sz val="10"/>
        <rFont val="Arial"/>
        <family val="0"/>
        <charset val="1"/>
      </rPr>
      <t xml:space="preserve">) (9 nét)
   Từ ghép: </t>
    </r>
    <r>
      <rPr>
        <sz val="10"/>
        <rFont val="Noto Sans CJK SC"/>
        <family val="2"/>
      </rPr>
      <t xml:space="preserve">食べます </t>
    </r>
    <r>
      <rPr>
        <sz val="10"/>
        <rFont val="Arial"/>
        <family val="0"/>
        <charset val="1"/>
      </rPr>
      <t xml:space="preserve">(</t>
    </r>
    <r>
      <rPr>
        <sz val="10"/>
        <rFont val="Noto Sans CJK SC"/>
        <family val="2"/>
      </rPr>
      <t xml:space="preserve">たべます</t>
    </r>
    <r>
      <rPr>
        <sz val="10"/>
        <rFont val="Arial"/>
        <family val="0"/>
        <charset val="1"/>
      </rPr>
      <t xml:space="preserve">) ăn </t>
    </r>
    <r>
      <rPr>
        <sz val="10"/>
        <rFont val="Noto Sans CJK SC"/>
        <family val="2"/>
      </rPr>
      <t xml:space="preserve">・ 食堂 </t>
    </r>
    <r>
      <rPr>
        <sz val="10"/>
        <rFont val="Arial"/>
        <family val="0"/>
        <charset val="1"/>
      </rPr>
      <t xml:space="preserve">(</t>
    </r>
    <r>
      <rPr>
        <sz val="10"/>
        <rFont val="Noto Sans CJK SC"/>
        <family val="2"/>
      </rPr>
      <t xml:space="preserve">しょくどう</t>
    </r>
    <r>
      <rPr>
        <sz val="10"/>
        <rFont val="Arial"/>
        <family val="0"/>
        <charset val="1"/>
      </rPr>
      <t xml:space="preserve">) nhà ăn </t>
    </r>
    <r>
      <rPr>
        <sz val="10"/>
        <rFont val="Noto Sans CJK SC"/>
        <family val="2"/>
      </rPr>
      <t xml:space="preserve">・ 食事 </t>
    </r>
    <r>
      <rPr>
        <sz val="10"/>
        <rFont val="Arial"/>
        <family val="0"/>
        <charset val="1"/>
      </rPr>
      <t xml:space="preserve">(</t>
    </r>
    <r>
      <rPr>
        <sz val="10"/>
        <rFont val="Noto Sans CJK SC"/>
        <family val="2"/>
      </rPr>
      <t xml:space="preserve">しょくじ</t>
    </r>
    <r>
      <rPr>
        <sz val="10"/>
        <rFont val="Arial"/>
        <family val="0"/>
        <charset val="1"/>
      </rPr>
      <t xml:space="preserve">) bữa ăn
   Mẹo: Cái mái che </t>
    </r>
    <r>
      <rPr>
        <sz val="10"/>
        <rFont val="Noto Sans CJK SC"/>
        <family val="2"/>
      </rPr>
      <t xml:space="preserve">亼 </t>
    </r>
    <r>
      <rPr>
        <sz val="10"/>
        <rFont val="Arial"/>
        <family val="0"/>
        <charset val="1"/>
      </rPr>
      <t xml:space="preserve">úp trên mâm cơm đầy = bữa ĂN.
• </t>
    </r>
    <r>
      <rPr>
        <sz val="10"/>
        <rFont val="Noto Sans CJK SC"/>
        <family val="2"/>
      </rPr>
      <t xml:space="preserve">車 </t>
    </r>
    <r>
      <rPr>
        <sz val="10"/>
        <rFont val="Arial"/>
        <family val="0"/>
        <charset val="1"/>
      </rPr>
      <t xml:space="preserve">[XA] Xe — On: </t>
    </r>
    <r>
      <rPr>
        <sz val="10"/>
        <rFont val="Noto Sans CJK SC"/>
        <family val="2"/>
      </rPr>
      <t xml:space="preserve">シャ </t>
    </r>
    <r>
      <rPr>
        <sz val="10"/>
        <rFont val="Arial"/>
        <family val="0"/>
        <charset val="1"/>
      </rPr>
      <t xml:space="preserve">/ Kun: </t>
    </r>
    <r>
      <rPr>
        <sz val="10"/>
        <rFont val="Noto Sans CJK SC"/>
        <family val="2"/>
      </rPr>
      <t xml:space="preserve">くるま </t>
    </r>
    <r>
      <rPr>
        <sz val="10"/>
        <rFont val="Arial"/>
        <family val="0"/>
        <charset val="1"/>
      </rPr>
      <t xml:space="preserve">(7 nét)
   Từ ghép: </t>
    </r>
    <r>
      <rPr>
        <sz val="10"/>
        <rFont val="Noto Sans CJK SC"/>
        <family val="2"/>
      </rPr>
      <t xml:space="preserve">車 </t>
    </r>
    <r>
      <rPr>
        <sz val="10"/>
        <rFont val="Arial"/>
        <family val="0"/>
        <charset val="1"/>
      </rPr>
      <t xml:space="preserve">(</t>
    </r>
    <r>
      <rPr>
        <sz val="10"/>
        <rFont val="Noto Sans CJK SC"/>
        <family val="2"/>
      </rPr>
      <t xml:space="preserve">くるま</t>
    </r>
    <r>
      <rPr>
        <sz val="10"/>
        <rFont val="Arial"/>
        <family val="0"/>
        <charset val="1"/>
      </rPr>
      <t xml:space="preserve">) ô tô </t>
    </r>
    <r>
      <rPr>
        <sz val="10"/>
        <rFont val="Noto Sans CJK SC"/>
        <family val="2"/>
      </rPr>
      <t xml:space="preserve">・ 電車 </t>
    </r>
    <r>
      <rPr>
        <sz val="10"/>
        <rFont val="Arial"/>
        <family val="0"/>
        <charset val="1"/>
      </rPr>
      <t xml:space="preserve">(</t>
    </r>
    <r>
      <rPr>
        <sz val="10"/>
        <rFont val="Noto Sans CJK SC"/>
        <family val="2"/>
      </rPr>
      <t xml:space="preserve">でんしゃ</t>
    </r>
    <r>
      <rPr>
        <sz val="10"/>
        <rFont val="Arial"/>
        <family val="0"/>
        <charset val="1"/>
      </rPr>
      <t xml:space="preserve">) tàu điện </t>
    </r>
    <r>
      <rPr>
        <sz val="10"/>
        <rFont val="Noto Sans CJK SC"/>
        <family val="2"/>
      </rPr>
      <t xml:space="preserve">・ 自転車 </t>
    </r>
    <r>
      <rPr>
        <sz val="10"/>
        <rFont val="Arial"/>
        <family val="0"/>
        <charset val="1"/>
      </rPr>
      <t xml:space="preserve">(</t>
    </r>
    <r>
      <rPr>
        <sz val="10"/>
        <rFont val="Noto Sans CJK SC"/>
        <family val="2"/>
      </rPr>
      <t xml:space="preserve">じてんしゃ</t>
    </r>
    <r>
      <rPr>
        <sz val="10"/>
        <rFont val="Arial"/>
        <family val="0"/>
        <charset val="1"/>
      </rPr>
      <t xml:space="preserve">) xe đạp
   Mẹo: Nhìn chiếc xe từ trên xuống: trục dọc ở giữa, hai bánh hai bên.</t>
    </r>
  </si>
  <si>
    <r>
      <rPr>
        <sz val="10"/>
        <rFont val="Arial"/>
        <family val="0"/>
        <charset val="1"/>
      </rPr>
      <t xml:space="preserve">Minna bài 19 (1/3) — Thể </t>
    </r>
    <r>
      <rPr>
        <sz val="10"/>
        <rFont val="Noto Sans CJK SC"/>
        <family val="2"/>
      </rPr>
      <t xml:space="preserve">た — </t>
    </r>
    <r>
      <rPr>
        <sz val="10"/>
        <rFont val="Arial"/>
        <family val="0"/>
        <charset val="1"/>
      </rPr>
      <t xml:space="preserve">Kinh nghiệm &amp; Liệt kê
• Thể </t>
    </r>
    <r>
      <rPr>
        <sz val="10"/>
        <rFont val="Noto Sans CJK SC"/>
        <family val="2"/>
      </rPr>
      <t xml:space="preserve">た </t>
    </r>
    <r>
      <rPr>
        <sz val="10"/>
        <rFont val="Arial"/>
        <family val="0"/>
        <charset val="1"/>
      </rPr>
      <t xml:space="preserve">(quá khứ thân mật)  (Chia giống thể </t>
    </r>
    <r>
      <rPr>
        <sz val="10"/>
        <rFont val="Noto Sans CJK SC"/>
        <family val="2"/>
      </rPr>
      <t xml:space="preserve">て</t>
    </r>
    <r>
      <rPr>
        <sz val="10"/>
        <rFont val="Arial"/>
        <family val="0"/>
        <charset val="1"/>
      </rPr>
      <t xml:space="preserve">, chỉ đổi </t>
    </r>
    <r>
      <rPr>
        <sz val="10"/>
        <rFont val="Noto Sans CJK SC"/>
        <family val="2"/>
      </rPr>
      <t xml:space="preserve">て→た</t>
    </r>
    <r>
      <rPr>
        <sz val="10"/>
        <rFont val="Arial"/>
        <family val="0"/>
        <charset val="1"/>
      </rPr>
      <t xml:space="preserve">, </t>
    </r>
    <r>
      <rPr>
        <sz val="10"/>
        <rFont val="Noto Sans CJK SC"/>
        <family val="2"/>
      </rPr>
      <t xml:space="preserve">で→だ</t>
    </r>
    <r>
      <rPr>
        <sz val="10"/>
        <rFont val="Arial"/>
        <family val="0"/>
        <charset val="1"/>
      </rPr>
      <t xml:space="preserve">.)
   Ví dụ: </t>
    </r>
    <r>
      <rPr>
        <sz val="10"/>
        <rFont val="Noto Sans CJK SC"/>
        <family val="2"/>
      </rPr>
      <t xml:space="preserve">行って → 行った  </t>
    </r>
    <r>
      <rPr>
        <sz val="10"/>
        <rFont val="Arial"/>
        <family val="0"/>
        <charset val="1"/>
      </rPr>
      <t xml:space="preserve">= đã đi
• V </t>
    </r>
    <r>
      <rPr>
        <sz val="10"/>
        <rFont val="Noto Sans CJK SC"/>
        <family val="2"/>
      </rPr>
      <t xml:space="preserve">た こと が あります  </t>
    </r>
    <r>
      <rPr>
        <sz val="10"/>
        <rFont val="Arial"/>
        <family val="0"/>
        <charset val="1"/>
      </rPr>
      <t xml:space="preserve">(Đã từng làm ~ (kinh nghiệm).)
   Ví dụ: </t>
    </r>
    <r>
      <rPr>
        <sz val="10"/>
        <rFont val="Noto Sans CJK SC"/>
        <family val="2"/>
      </rPr>
      <t xml:space="preserve">日本へ 行った ことが あります。  </t>
    </r>
    <r>
      <rPr>
        <sz val="10"/>
        <rFont val="Arial"/>
        <family val="0"/>
        <charset val="1"/>
      </rPr>
      <t xml:space="preserve">= Tôi đã từng đi Nhật.
→ Làm </t>
    </r>
    <r>
      <rPr>
        <sz val="10"/>
        <rFont val="Noto Sans CJK SC"/>
        <family val="2"/>
      </rPr>
      <t xml:space="preserve">練習</t>
    </r>
    <r>
      <rPr>
        <sz val="10"/>
        <rFont val="Arial"/>
        <family val="0"/>
        <charset val="1"/>
      </rPr>
      <t xml:space="preserve">A của bài 19 trong sách, mỗi mẫu tự đặt 3 câu.</t>
    </r>
  </si>
  <si>
    <r>
      <rPr>
        <sz val="10"/>
        <rFont val="Arial"/>
        <family val="0"/>
        <charset val="1"/>
      </rPr>
      <t xml:space="preserve">Từ mới Minna bài 19:
• </t>
    </r>
    <r>
      <rPr>
        <sz val="10"/>
        <rFont val="Noto Sans CJK SC"/>
        <family val="2"/>
      </rPr>
      <t xml:space="preserve">のぼります（登ります） </t>
    </r>
    <r>
      <rPr>
        <sz val="10"/>
        <rFont val="Arial"/>
        <family val="0"/>
        <charset val="1"/>
      </rPr>
      <t xml:space="preserve">= Leo, trèo
   Mẹo: </t>
    </r>
    <r>
      <rPr>
        <sz val="10"/>
        <rFont val="Noto Sans CJK SC"/>
        <family val="2"/>
      </rPr>
      <t xml:space="preserve">山に 登ります </t>
    </r>
    <r>
      <rPr>
        <sz val="10"/>
        <rFont val="Arial"/>
        <family val="0"/>
        <charset val="1"/>
      </rPr>
      <t xml:space="preserve">= leo núi. Dùng trợ từ </t>
    </r>
    <r>
      <rPr>
        <sz val="10"/>
        <rFont val="Noto Sans CJK SC"/>
        <family val="2"/>
      </rPr>
      <t xml:space="preserve">に</t>
    </r>
    <r>
      <rPr>
        <sz val="10"/>
        <rFont val="Arial"/>
        <family val="0"/>
        <charset val="1"/>
      </rPr>
      <t xml:space="preserve">.
• </t>
    </r>
    <r>
      <rPr>
        <sz val="10"/>
        <rFont val="Noto Sans CJK SC"/>
        <family val="2"/>
      </rPr>
      <t xml:space="preserve">とまります（泊まります） </t>
    </r>
    <r>
      <rPr>
        <sz val="10"/>
        <rFont val="Arial"/>
        <family val="0"/>
        <charset val="1"/>
      </rPr>
      <t xml:space="preserve">= Nghỉ lại qua đêm
   Mẹo: </t>
    </r>
    <r>
      <rPr>
        <sz val="10"/>
        <rFont val="Noto Sans CJK SC"/>
        <family val="2"/>
      </rPr>
      <t xml:space="preserve">泊 </t>
    </r>
    <r>
      <rPr>
        <sz val="10"/>
        <rFont val="Arial"/>
        <family val="0"/>
        <charset val="1"/>
      </rPr>
      <t xml:space="preserve">có </t>
    </r>
    <r>
      <rPr>
        <sz val="10"/>
        <rFont val="Noto Sans CJK SC"/>
        <family val="2"/>
      </rPr>
      <t xml:space="preserve">氵 </t>
    </r>
    <r>
      <rPr>
        <sz val="10"/>
        <rFont val="Arial"/>
        <family val="0"/>
        <charset val="1"/>
      </rPr>
      <t xml:space="preserve">(nước) + </t>
    </r>
    <r>
      <rPr>
        <sz val="10"/>
        <rFont val="Noto Sans CJK SC"/>
        <family val="2"/>
      </rPr>
      <t xml:space="preserve">白 → </t>
    </r>
    <r>
      <rPr>
        <sz val="10"/>
        <rFont val="Arial"/>
        <family val="0"/>
        <charset val="1"/>
      </rPr>
      <t xml:space="preserve">thuyền neo lại bến. Khác </t>
    </r>
    <r>
      <rPr>
        <sz val="10"/>
        <rFont val="Noto Sans CJK SC"/>
        <family val="2"/>
      </rPr>
      <t xml:space="preserve">止まります </t>
    </r>
    <r>
      <rPr>
        <sz val="10"/>
        <rFont val="Arial"/>
        <family val="0"/>
        <charset val="1"/>
      </rPr>
      <t xml:space="preserve">(dừng).
• </t>
    </r>
    <r>
      <rPr>
        <sz val="10"/>
        <rFont val="Noto Sans CJK SC"/>
        <family val="2"/>
      </rPr>
      <t xml:space="preserve">そうじします（掃除します） </t>
    </r>
    <r>
      <rPr>
        <sz val="10"/>
        <rFont val="Arial"/>
        <family val="0"/>
        <charset val="1"/>
      </rPr>
      <t xml:space="preserve">= Dọn dẹp
   Mẹo: TẢO TRỪ = quét và loại bỏ.
• </t>
    </r>
    <r>
      <rPr>
        <sz val="10"/>
        <rFont val="Noto Sans CJK SC"/>
        <family val="2"/>
      </rPr>
      <t xml:space="preserve">せんたくします（洗濯します） </t>
    </r>
    <r>
      <rPr>
        <sz val="10"/>
        <rFont val="Arial"/>
        <family val="0"/>
        <charset val="1"/>
      </rPr>
      <t xml:space="preserve">= Giặt giũ
   Mẹo: TẨY TRẠC = giặt sạch. </t>
    </r>
    <r>
      <rPr>
        <sz val="10"/>
        <rFont val="Noto Sans CJK SC"/>
        <family val="2"/>
      </rPr>
      <t xml:space="preserve">洗 </t>
    </r>
    <r>
      <rPr>
        <sz val="10"/>
        <rFont val="Arial"/>
        <family val="0"/>
        <charset val="1"/>
      </rPr>
      <t xml:space="preserve">có </t>
    </r>
    <r>
      <rPr>
        <sz val="10"/>
        <rFont val="Noto Sans CJK SC"/>
        <family val="2"/>
      </rPr>
      <t xml:space="preserve">氵 </t>
    </r>
    <r>
      <rPr>
        <sz val="10"/>
        <rFont val="Arial"/>
        <family val="0"/>
        <charset val="1"/>
      </rPr>
      <t xml:space="preserve">(nước).
• </t>
    </r>
    <r>
      <rPr>
        <sz val="10"/>
        <rFont val="Noto Sans CJK SC"/>
        <family val="2"/>
      </rPr>
      <t xml:space="preserve">れんしゅうします（練習します） </t>
    </r>
    <r>
      <rPr>
        <sz val="10"/>
        <rFont val="Arial"/>
        <family val="0"/>
        <charset val="1"/>
      </rPr>
      <t xml:space="preserve">= Luyện tập
   Mẹo: LUYỆN TẬP — âm Hán Việt y hệt.
→ Đối chiếu thêm với mục </t>
    </r>
    <r>
      <rPr>
        <sz val="10"/>
        <rFont val="Noto Sans CJK SC"/>
        <family val="2"/>
      </rPr>
      <t xml:space="preserve">語彙 </t>
    </r>
    <r>
      <rPr>
        <sz val="10"/>
        <rFont val="Arial"/>
        <family val="0"/>
        <charset val="1"/>
      </rPr>
      <t xml:space="preserve">của bài 19 trong sách để bổ sung.</t>
    </r>
  </si>
  <si>
    <r>
      <rPr>
        <b val="true"/>
        <sz val="12"/>
        <color rgb="FF1F3864"/>
        <rFont val="Arial"/>
        <family val="0"/>
        <charset val="1"/>
      </rPr>
      <t xml:space="preserve">NGÀY 60  ·  Tuần 9  ·  Minna Bài 19 (2/3)  ·  Thể </t>
    </r>
    <r>
      <rPr>
        <b val="true"/>
        <sz val="12"/>
        <color rgb="FF1F3864"/>
        <rFont val="Noto Sans CJK SC"/>
        <family val="2"/>
      </rPr>
      <t xml:space="preserve">た — </t>
    </r>
    <r>
      <rPr>
        <b val="true"/>
        <sz val="12"/>
        <color rgb="FF1F3864"/>
        <rFont val="Arial"/>
        <family val="0"/>
        <charset val="1"/>
      </rPr>
      <t xml:space="preserve">Kinh nghiệm &amp; Liệt kê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</si>
  <si>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糸 </t>
    </r>
    <r>
      <rPr>
        <sz val="10"/>
        <rFont val="Arial"/>
        <family val="0"/>
        <charset val="1"/>
      </rPr>
      <t xml:space="preserve">(</t>
    </r>
    <r>
      <rPr>
        <sz val="10"/>
        <rFont val="Noto Sans CJK SC"/>
        <family val="2"/>
      </rPr>
      <t xml:space="preserve">いと </t>
    </r>
    <r>
      <rPr>
        <sz val="10"/>
        <rFont val="Arial"/>
        <family val="0"/>
        <charset val="1"/>
      </rPr>
      <t xml:space="preserve">/ </t>
    </r>
    <r>
      <rPr>
        <sz val="10"/>
        <rFont val="Noto Sans CJK SC"/>
        <family val="2"/>
      </rPr>
      <t xml:space="preserve">いとへん</t>
    </r>
    <r>
      <rPr>
        <sz val="10"/>
        <rFont val="Arial"/>
        <family val="0"/>
        <charset val="1"/>
      </rPr>
      <t xml:space="preserve">) = Sợi chỉ, dệt
   Mẹo nhớ: Bó tơ tằm xoắn lại
   Kanji chứa bộ này: </t>
    </r>
    <r>
      <rPr>
        <sz val="10"/>
        <rFont val="Noto Sans CJK SC"/>
        <family val="2"/>
      </rPr>
      <t xml:space="preserve">糸・紙・細・組</t>
    </r>
  </si>
  <si>
    <r>
      <rPr>
        <sz val="10"/>
        <rFont val="Arial"/>
        <family val="0"/>
        <charset val="1"/>
      </rPr>
      <t xml:space="preserve">Học 2 chữ. Mỗi chữ viết tay 10 lần đúng thứ tự nét.
• </t>
    </r>
    <r>
      <rPr>
        <sz val="10"/>
        <rFont val="Noto Sans CJK SC"/>
        <family val="2"/>
      </rPr>
      <t xml:space="preserve">何 </t>
    </r>
    <r>
      <rPr>
        <sz val="10"/>
        <rFont val="Arial"/>
        <family val="0"/>
        <charset val="1"/>
      </rPr>
      <t xml:space="preserve">[HÀ] Cái gì — On: </t>
    </r>
    <r>
      <rPr>
        <sz val="10"/>
        <rFont val="Noto Sans CJK SC"/>
        <family val="2"/>
      </rPr>
      <t xml:space="preserve">カ </t>
    </r>
    <r>
      <rPr>
        <sz val="10"/>
        <rFont val="Arial"/>
        <family val="0"/>
        <charset val="1"/>
      </rPr>
      <t xml:space="preserve">/ Kun: </t>
    </r>
    <r>
      <rPr>
        <sz val="10"/>
        <rFont val="Noto Sans CJK SC"/>
        <family val="2"/>
      </rPr>
      <t xml:space="preserve">なに・なん </t>
    </r>
    <r>
      <rPr>
        <sz val="10"/>
        <rFont val="Arial"/>
        <family val="0"/>
        <charset val="1"/>
      </rPr>
      <t xml:space="preserve">(7 nét)
   Từ ghép: </t>
    </r>
    <r>
      <rPr>
        <sz val="10"/>
        <rFont val="Noto Sans CJK SC"/>
        <family val="2"/>
      </rPr>
      <t xml:space="preserve">何 </t>
    </r>
    <r>
      <rPr>
        <sz val="10"/>
        <rFont val="Arial"/>
        <family val="0"/>
        <charset val="1"/>
      </rPr>
      <t xml:space="preserve">(</t>
    </r>
    <r>
      <rPr>
        <sz val="10"/>
        <rFont val="Noto Sans CJK SC"/>
        <family val="2"/>
      </rPr>
      <t xml:space="preserve">なに</t>
    </r>
    <r>
      <rPr>
        <sz val="10"/>
        <rFont val="Arial"/>
        <family val="0"/>
        <charset val="1"/>
      </rPr>
      <t xml:space="preserve">/</t>
    </r>
    <r>
      <rPr>
        <sz val="10"/>
        <rFont val="Noto Sans CJK SC"/>
        <family val="2"/>
      </rPr>
      <t xml:space="preserve">なん</t>
    </r>
    <r>
      <rPr>
        <sz val="10"/>
        <rFont val="Arial"/>
        <family val="0"/>
        <charset val="1"/>
      </rPr>
      <t xml:space="preserve">) cái gì </t>
    </r>
    <r>
      <rPr>
        <sz val="10"/>
        <rFont val="Noto Sans CJK SC"/>
        <family val="2"/>
      </rPr>
      <t xml:space="preserve">・ 何時 </t>
    </r>
    <r>
      <rPr>
        <sz val="10"/>
        <rFont val="Arial"/>
        <family val="0"/>
        <charset val="1"/>
      </rPr>
      <t xml:space="preserve">(</t>
    </r>
    <r>
      <rPr>
        <sz val="10"/>
        <rFont val="Noto Sans CJK SC"/>
        <family val="2"/>
      </rPr>
      <t xml:space="preserve">なんじ</t>
    </r>
    <r>
      <rPr>
        <sz val="10"/>
        <rFont val="Arial"/>
        <family val="0"/>
        <charset val="1"/>
      </rPr>
      <t xml:space="preserve">) mấy giờ </t>
    </r>
    <r>
      <rPr>
        <sz val="10"/>
        <rFont val="Noto Sans CJK SC"/>
        <family val="2"/>
      </rPr>
      <t xml:space="preserve">・ 何人 </t>
    </r>
    <r>
      <rPr>
        <sz val="10"/>
        <rFont val="Arial"/>
        <family val="0"/>
        <charset val="1"/>
      </rPr>
      <t xml:space="preserve">(</t>
    </r>
    <r>
      <rPr>
        <sz val="10"/>
        <rFont val="Noto Sans CJK SC"/>
        <family val="2"/>
      </rPr>
      <t xml:space="preserve">なんにん</t>
    </r>
    <r>
      <rPr>
        <sz val="10"/>
        <rFont val="Arial"/>
        <family val="0"/>
        <charset val="1"/>
      </rPr>
      <t xml:space="preserve">) mấy người
   Mẹo: </t>
    </r>
    <r>
      <rPr>
        <sz val="10"/>
        <rFont val="Noto Sans CJK SC"/>
        <family val="2"/>
      </rPr>
      <t xml:space="preserve">亻 </t>
    </r>
    <r>
      <rPr>
        <sz val="10"/>
        <rFont val="Arial"/>
        <family val="0"/>
        <charset val="1"/>
      </rPr>
      <t xml:space="preserve">(người) + </t>
    </r>
    <r>
      <rPr>
        <sz val="10"/>
        <rFont val="Noto Sans CJK SC"/>
        <family val="2"/>
      </rPr>
      <t xml:space="preserve">可 </t>
    </r>
    <r>
      <rPr>
        <sz val="10"/>
        <rFont val="Arial"/>
        <family val="0"/>
        <charset val="1"/>
      </rPr>
      <t xml:space="preserve">= người mở miệng hỏi 'CÁI GÌ?'. Trước </t>
    </r>
    <r>
      <rPr>
        <sz val="10"/>
        <rFont val="Noto Sans CJK SC"/>
        <family val="2"/>
      </rPr>
      <t xml:space="preserve">か</t>
    </r>
    <r>
      <rPr>
        <sz val="10"/>
        <rFont val="Arial"/>
        <family val="0"/>
        <charset val="1"/>
      </rPr>
      <t xml:space="preserve">/</t>
    </r>
    <r>
      <rPr>
        <sz val="10"/>
        <rFont val="Noto Sans CJK SC"/>
        <family val="2"/>
      </rPr>
      <t xml:space="preserve">た</t>
    </r>
    <r>
      <rPr>
        <sz val="10"/>
        <rFont val="Arial"/>
        <family val="0"/>
        <charset val="1"/>
      </rPr>
      <t xml:space="preserve">/</t>
    </r>
    <r>
      <rPr>
        <sz val="10"/>
        <rFont val="Noto Sans CJK SC"/>
        <family val="2"/>
      </rPr>
      <t xml:space="preserve">だ </t>
    </r>
    <r>
      <rPr>
        <sz val="10"/>
        <rFont val="Arial"/>
        <family val="0"/>
        <charset val="1"/>
      </rPr>
      <t xml:space="preserve">đọc </t>
    </r>
    <r>
      <rPr>
        <sz val="10"/>
        <rFont val="Noto Sans CJK SC"/>
        <family val="2"/>
      </rPr>
      <t xml:space="preserve">なん</t>
    </r>
    <r>
      <rPr>
        <sz val="10"/>
        <rFont val="Arial"/>
        <family val="0"/>
        <charset val="1"/>
      </rPr>
      <t xml:space="preserve">, còn lại đọc </t>
    </r>
    <r>
      <rPr>
        <sz val="10"/>
        <rFont val="Noto Sans CJK SC"/>
        <family val="2"/>
      </rPr>
      <t xml:space="preserve">なに</t>
    </r>
    <r>
      <rPr>
        <sz val="10"/>
        <rFont val="Arial"/>
        <family val="0"/>
        <charset val="1"/>
      </rPr>
      <t xml:space="preserve">.
• </t>
    </r>
    <r>
      <rPr>
        <sz val="10"/>
        <rFont val="Noto Sans CJK SC"/>
        <family val="2"/>
      </rPr>
      <t xml:space="preserve">南 </t>
    </r>
    <r>
      <rPr>
        <sz val="10"/>
        <rFont val="Arial"/>
        <family val="0"/>
        <charset val="1"/>
      </rPr>
      <t xml:space="preserve">[NAM] Hướng nam — On: </t>
    </r>
    <r>
      <rPr>
        <sz val="10"/>
        <rFont val="Noto Sans CJK SC"/>
        <family val="2"/>
      </rPr>
      <t xml:space="preserve">ナン </t>
    </r>
    <r>
      <rPr>
        <sz val="10"/>
        <rFont val="Arial"/>
        <family val="0"/>
        <charset val="1"/>
      </rPr>
      <t xml:space="preserve">/ Kun: </t>
    </r>
    <r>
      <rPr>
        <sz val="10"/>
        <rFont val="Noto Sans CJK SC"/>
        <family val="2"/>
      </rPr>
      <t xml:space="preserve">みなみ </t>
    </r>
    <r>
      <rPr>
        <sz val="10"/>
        <rFont val="Arial"/>
        <family val="0"/>
        <charset val="1"/>
      </rPr>
      <t xml:space="preserve">(9 nét)
   Từ ghép: </t>
    </r>
    <r>
      <rPr>
        <sz val="10"/>
        <rFont val="Noto Sans CJK SC"/>
        <family val="2"/>
      </rPr>
      <t xml:space="preserve">南 </t>
    </r>
    <r>
      <rPr>
        <sz val="10"/>
        <rFont val="Arial"/>
        <family val="0"/>
        <charset val="1"/>
      </rPr>
      <t xml:space="preserve">(</t>
    </r>
    <r>
      <rPr>
        <sz val="10"/>
        <rFont val="Noto Sans CJK SC"/>
        <family val="2"/>
      </rPr>
      <t xml:space="preserve">みなみ</t>
    </r>
    <r>
      <rPr>
        <sz val="10"/>
        <rFont val="Arial"/>
        <family val="0"/>
        <charset val="1"/>
      </rPr>
      <t xml:space="preserve">) hướng nam </t>
    </r>
    <r>
      <rPr>
        <sz val="10"/>
        <rFont val="Noto Sans CJK SC"/>
        <family val="2"/>
      </rPr>
      <t xml:space="preserve">・ 南口 </t>
    </r>
    <r>
      <rPr>
        <sz val="10"/>
        <rFont val="Arial"/>
        <family val="0"/>
        <charset val="1"/>
      </rPr>
      <t xml:space="preserve">(</t>
    </r>
    <r>
      <rPr>
        <sz val="10"/>
        <rFont val="Noto Sans CJK SC"/>
        <family val="2"/>
      </rPr>
      <t xml:space="preserve">みなみぐち</t>
    </r>
    <r>
      <rPr>
        <sz val="10"/>
        <rFont val="Arial"/>
        <family val="0"/>
        <charset val="1"/>
      </rPr>
      <t xml:space="preserve">) cửa nam </t>
    </r>
    <r>
      <rPr>
        <sz val="10"/>
        <rFont val="Noto Sans CJK SC"/>
        <family val="2"/>
      </rPr>
      <t xml:space="preserve">・ 東南 </t>
    </r>
    <r>
      <rPr>
        <sz val="10"/>
        <rFont val="Arial"/>
        <family val="0"/>
        <charset val="1"/>
      </rPr>
      <t xml:space="preserve">(</t>
    </r>
    <r>
      <rPr>
        <sz val="10"/>
        <rFont val="Noto Sans CJK SC"/>
        <family val="2"/>
      </rPr>
      <t xml:space="preserve">とうなん</t>
    </r>
    <r>
      <rPr>
        <sz val="10"/>
        <rFont val="Arial"/>
        <family val="0"/>
        <charset val="1"/>
      </rPr>
      <t xml:space="preserve">) đông nam
   Mẹo: Hình cái lều mở về hướng ấm áp phía NAM.</t>
    </r>
  </si>
  <si>
    <r>
      <rPr>
        <sz val="10"/>
        <rFont val="Arial"/>
        <family val="0"/>
        <charset val="1"/>
      </rPr>
      <t xml:space="preserve">Minna bài 19 (2/3) — Thể </t>
    </r>
    <r>
      <rPr>
        <sz val="10"/>
        <rFont val="Noto Sans CJK SC"/>
        <family val="2"/>
      </rPr>
      <t xml:space="preserve">た — </t>
    </r>
    <r>
      <rPr>
        <sz val="10"/>
        <rFont val="Arial"/>
        <family val="0"/>
        <charset val="1"/>
      </rPr>
      <t xml:space="preserve">Kinh nghiệm &amp; Liệt kê
• V </t>
    </r>
    <r>
      <rPr>
        <sz val="10"/>
        <rFont val="Noto Sans CJK SC"/>
        <family val="2"/>
      </rPr>
      <t xml:space="preserve">たり </t>
    </r>
    <r>
      <rPr>
        <sz val="10"/>
        <rFont val="Arial"/>
        <family val="0"/>
        <charset val="1"/>
      </rPr>
      <t xml:space="preserve">V </t>
    </r>
    <r>
      <rPr>
        <sz val="10"/>
        <rFont val="Noto Sans CJK SC"/>
        <family val="2"/>
      </rPr>
      <t xml:space="preserve">たり します  </t>
    </r>
    <r>
      <rPr>
        <sz val="10"/>
        <rFont val="Arial"/>
        <family val="0"/>
        <charset val="1"/>
      </rPr>
      <t xml:space="preserve">(Khi thì làm ~, khi thì làm ~ (liệt kê không đầy đủ).)
   Ví dụ: </t>
    </r>
    <r>
      <rPr>
        <sz val="10"/>
        <rFont val="Noto Sans CJK SC"/>
        <family val="2"/>
      </rPr>
      <t xml:space="preserve">日曜日は 本を 読んだり、映画を 見たり します。  </t>
    </r>
    <r>
      <rPr>
        <sz val="10"/>
        <rFont val="Arial"/>
        <family val="0"/>
        <charset val="1"/>
      </rPr>
      <t xml:space="preserve">= Chủ Nhật tôi đọc sách, xem phim...
→ Làm </t>
    </r>
    <r>
      <rPr>
        <sz val="10"/>
        <rFont val="Noto Sans CJK SC"/>
        <family val="2"/>
      </rPr>
      <t xml:space="preserve">練習</t>
    </r>
    <r>
      <rPr>
        <sz val="10"/>
        <rFont val="Arial"/>
        <family val="0"/>
        <charset val="1"/>
      </rPr>
      <t xml:space="preserve">A của bài 19 trong sách, mỗi mẫu tự đặt 3 câu.</t>
    </r>
  </si>
  <si>
    <r>
      <rPr>
        <sz val="10"/>
        <rFont val="Arial"/>
        <family val="0"/>
        <charset val="1"/>
      </rPr>
      <t xml:space="preserve">Từ mới Minna bài 19:
• </t>
    </r>
    <r>
      <rPr>
        <sz val="10"/>
        <rFont val="Noto Sans CJK SC"/>
        <family val="2"/>
      </rPr>
      <t xml:space="preserve">なります </t>
    </r>
    <r>
      <rPr>
        <sz val="10"/>
        <rFont val="Arial"/>
        <family val="0"/>
        <charset val="1"/>
      </rPr>
      <t xml:space="preserve">= Trở nên
   Mẹo: Adj </t>
    </r>
    <r>
      <rPr>
        <sz val="10"/>
        <rFont val="Noto Sans CJK SC"/>
        <family val="2"/>
      </rPr>
      <t xml:space="preserve">い → く なります</t>
    </r>
    <r>
      <rPr>
        <sz val="10"/>
        <rFont val="Arial"/>
        <family val="0"/>
        <charset val="1"/>
      </rPr>
      <t xml:space="preserve">; Adj </t>
    </r>
    <r>
      <rPr>
        <sz val="10"/>
        <rFont val="Noto Sans CJK SC"/>
        <family val="2"/>
      </rPr>
      <t xml:space="preserve">な </t>
    </r>
    <r>
      <rPr>
        <sz val="10"/>
        <rFont val="Arial"/>
        <family val="0"/>
        <charset val="1"/>
      </rPr>
      <t xml:space="preserve">/ N → </t>
    </r>
    <r>
      <rPr>
        <sz val="10"/>
        <rFont val="Noto Sans CJK SC"/>
        <family val="2"/>
      </rPr>
      <t xml:space="preserve">に なります</t>
    </r>
    <r>
      <rPr>
        <sz val="10"/>
        <rFont val="Arial"/>
        <family val="0"/>
        <charset val="1"/>
      </rPr>
      <t xml:space="preserve">.
• </t>
    </r>
    <r>
      <rPr>
        <sz val="10"/>
        <rFont val="Noto Sans CJK SC"/>
        <family val="2"/>
      </rPr>
      <t xml:space="preserve">つよい（強い） </t>
    </r>
    <r>
      <rPr>
        <sz val="10"/>
        <rFont val="Arial"/>
        <family val="0"/>
        <charset val="1"/>
      </rPr>
      <t xml:space="preserve">= Mạnh
   Mẹo: </t>
    </r>
    <r>
      <rPr>
        <sz val="10"/>
        <rFont val="Noto Sans CJK SC"/>
        <family val="2"/>
      </rPr>
      <t xml:space="preserve">強 </t>
    </r>
    <r>
      <rPr>
        <sz val="10"/>
        <rFont val="Arial"/>
        <family val="0"/>
        <charset val="1"/>
      </rPr>
      <t xml:space="preserve">có bộ </t>
    </r>
    <r>
      <rPr>
        <sz val="10"/>
        <rFont val="Noto Sans CJK SC"/>
        <family val="2"/>
      </rPr>
      <t xml:space="preserve">弓 </t>
    </r>
    <r>
      <rPr>
        <sz val="10"/>
        <rFont val="Arial"/>
        <family val="0"/>
        <charset val="1"/>
      </rPr>
      <t xml:space="preserve">(cây cung) → cung căng mạnh.
• </t>
    </r>
    <r>
      <rPr>
        <sz val="10"/>
        <rFont val="Noto Sans CJK SC"/>
        <family val="2"/>
      </rPr>
      <t xml:space="preserve">よわい（弱い） </t>
    </r>
    <r>
      <rPr>
        <sz val="10"/>
        <rFont val="Arial"/>
        <family val="0"/>
        <charset val="1"/>
      </rPr>
      <t xml:space="preserve">= Yếu
   Mẹo: </t>
    </r>
    <r>
      <rPr>
        <sz val="10"/>
        <rFont val="Noto Sans CJK SC"/>
        <family val="2"/>
      </rPr>
      <t xml:space="preserve">弱 </t>
    </r>
    <r>
      <rPr>
        <sz val="10"/>
        <rFont val="Arial"/>
        <family val="0"/>
        <charset val="1"/>
      </rPr>
      <t xml:space="preserve">nhìn như hai cây cung gãy → YẾU.
• </t>
    </r>
    <r>
      <rPr>
        <sz val="10"/>
        <rFont val="Noto Sans CJK SC"/>
        <family val="2"/>
      </rPr>
      <t xml:space="preserve">ちょうし（調子） </t>
    </r>
    <r>
      <rPr>
        <sz val="10"/>
        <rFont val="Arial"/>
        <family val="0"/>
        <charset val="1"/>
      </rPr>
      <t xml:space="preserve">= Tình trạng, phong độ
   Mẹo: ĐIỀU TỬ = nhịp điệu cơ thể. </t>
    </r>
    <r>
      <rPr>
        <sz val="10"/>
        <rFont val="Noto Sans CJK SC"/>
        <family val="2"/>
      </rPr>
      <t xml:space="preserve">調子が いいです </t>
    </r>
    <r>
      <rPr>
        <sz val="10"/>
        <rFont val="Arial"/>
        <family val="0"/>
        <charset val="1"/>
      </rPr>
      <t xml:space="preserve">= trạng thái tốt.
• </t>
    </r>
    <r>
      <rPr>
        <sz val="10"/>
        <rFont val="Noto Sans CJK SC"/>
        <family val="2"/>
      </rPr>
      <t xml:space="preserve">だんだん </t>
    </r>
    <r>
      <rPr>
        <sz val="10"/>
        <rFont val="Arial"/>
        <family val="0"/>
        <charset val="1"/>
      </rPr>
      <t xml:space="preserve">= Dần dần
   Mẹo: </t>
    </r>
    <r>
      <rPr>
        <sz val="10"/>
        <rFont val="Noto Sans CJK SC"/>
        <family val="2"/>
      </rPr>
      <t xml:space="preserve">だんだん 寒く なります </t>
    </r>
    <r>
      <rPr>
        <sz val="10"/>
        <rFont val="Arial"/>
        <family val="0"/>
        <charset val="1"/>
      </rPr>
      <t xml:space="preserve">= trời dần lạnh đi.
→ Đối chiếu thêm với mục </t>
    </r>
    <r>
      <rPr>
        <sz val="10"/>
        <rFont val="Noto Sans CJK SC"/>
        <family val="2"/>
      </rPr>
      <t xml:space="preserve">語彙 </t>
    </r>
    <r>
      <rPr>
        <sz val="10"/>
        <rFont val="Arial"/>
        <family val="0"/>
        <charset val="1"/>
      </rPr>
      <t xml:space="preserve">của bài 19 trong sách để bổ sung.</t>
    </r>
  </si>
  <si>
    <r>
      <rPr>
        <b val="true"/>
        <sz val="12"/>
        <color rgb="FF1F3864"/>
        <rFont val="Arial"/>
        <family val="0"/>
        <charset val="1"/>
      </rPr>
      <t xml:space="preserve">NGÀY 61  ·  Tuần 9  ·  Minna Bài 19 (3/3)  ·  Thể </t>
    </r>
    <r>
      <rPr>
        <b val="true"/>
        <sz val="12"/>
        <color rgb="FF1F3864"/>
        <rFont val="Noto Sans CJK SC"/>
        <family val="2"/>
      </rPr>
      <t xml:space="preserve">た — </t>
    </r>
    <r>
      <rPr>
        <b val="true"/>
        <sz val="12"/>
        <color rgb="FF1F3864"/>
        <rFont val="Arial"/>
        <family val="0"/>
        <charset val="1"/>
      </rPr>
      <t xml:space="preserve">Kinh nghiệm &amp; Liệt kê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</si>
  <si>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米 </t>
    </r>
    <r>
      <rPr>
        <sz val="10"/>
        <rFont val="Arial"/>
        <family val="0"/>
        <charset val="1"/>
      </rPr>
      <t xml:space="preserve">(</t>
    </r>
    <r>
      <rPr>
        <sz val="10"/>
        <rFont val="Noto Sans CJK SC"/>
        <family val="2"/>
      </rPr>
      <t xml:space="preserve">こめ </t>
    </r>
    <r>
      <rPr>
        <sz val="10"/>
        <rFont val="Arial"/>
        <family val="0"/>
        <charset val="1"/>
      </rPr>
      <t xml:space="preserve">/ </t>
    </r>
    <r>
      <rPr>
        <sz val="10"/>
        <rFont val="Noto Sans CJK SC"/>
        <family val="2"/>
      </rPr>
      <t xml:space="preserve">こめへん</t>
    </r>
    <r>
      <rPr>
        <sz val="10"/>
        <rFont val="Arial"/>
        <family val="0"/>
        <charset val="1"/>
      </rPr>
      <t xml:space="preserve">) = Gạo
   Mẹo nhớ: Hạt lúa rơi ra bốn phía
   Kanji chứa bộ này: </t>
    </r>
    <r>
      <rPr>
        <sz val="10"/>
        <rFont val="Noto Sans CJK SC"/>
        <family val="2"/>
      </rPr>
      <t xml:space="preserve">米・料・粉</t>
    </r>
  </si>
  <si>
    <r>
      <rPr>
        <sz val="10"/>
        <rFont val="Arial"/>
        <family val="0"/>
        <charset val="1"/>
      </rPr>
      <t xml:space="preserve">Học 2 chữ. Mỗi chữ viết tay 10 lần đúng thứ tự nét.
• </t>
    </r>
    <r>
      <rPr>
        <sz val="10"/>
        <rFont val="Noto Sans CJK SC"/>
        <family val="2"/>
      </rPr>
      <t xml:space="preserve">足 </t>
    </r>
    <r>
      <rPr>
        <sz val="10"/>
        <rFont val="Arial"/>
        <family val="0"/>
        <charset val="1"/>
      </rPr>
      <t xml:space="preserve">[TÚC] Chân, đủ — On: </t>
    </r>
    <r>
      <rPr>
        <sz val="10"/>
        <rFont val="Noto Sans CJK SC"/>
        <family val="2"/>
      </rPr>
      <t xml:space="preserve">ソク </t>
    </r>
    <r>
      <rPr>
        <sz val="10"/>
        <rFont val="Arial"/>
        <family val="0"/>
        <charset val="1"/>
      </rPr>
      <t xml:space="preserve">/ Kun: </t>
    </r>
    <r>
      <rPr>
        <sz val="10"/>
        <rFont val="Noto Sans CJK SC"/>
        <family val="2"/>
      </rPr>
      <t xml:space="preserve">あし・た</t>
    </r>
    <r>
      <rPr>
        <sz val="10"/>
        <rFont val="Arial"/>
        <family val="0"/>
        <charset val="1"/>
      </rPr>
      <t xml:space="preserve">(</t>
    </r>
    <r>
      <rPr>
        <sz val="10"/>
        <rFont val="Noto Sans CJK SC"/>
        <family val="2"/>
      </rPr>
      <t xml:space="preserve">りる</t>
    </r>
    <r>
      <rPr>
        <sz val="10"/>
        <rFont val="Arial"/>
        <family val="0"/>
        <charset val="1"/>
      </rPr>
      <t xml:space="preserve">) (7 nét)
   Từ ghép: </t>
    </r>
    <r>
      <rPr>
        <sz val="10"/>
        <rFont val="Noto Sans CJK SC"/>
        <family val="2"/>
      </rPr>
      <t xml:space="preserve">足 </t>
    </r>
    <r>
      <rPr>
        <sz val="10"/>
        <rFont val="Arial"/>
        <family val="0"/>
        <charset val="1"/>
      </rPr>
      <t xml:space="preserve">(</t>
    </r>
    <r>
      <rPr>
        <sz val="10"/>
        <rFont val="Noto Sans CJK SC"/>
        <family val="2"/>
      </rPr>
      <t xml:space="preserve">あし</t>
    </r>
    <r>
      <rPr>
        <sz val="10"/>
        <rFont val="Arial"/>
        <family val="0"/>
        <charset val="1"/>
      </rPr>
      <t xml:space="preserve">) chân </t>
    </r>
    <r>
      <rPr>
        <sz val="10"/>
        <rFont val="Noto Sans CJK SC"/>
        <family val="2"/>
      </rPr>
      <t xml:space="preserve">・ 足ります </t>
    </r>
    <r>
      <rPr>
        <sz val="10"/>
        <rFont val="Arial"/>
        <family val="0"/>
        <charset val="1"/>
      </rPr>
      <t xml:space="preserve">(</t>
    </r>
    <r>
      <rPr>
        <sz val="10"/>
        <rFont val="Noto Sans CJK SC"/>
        <family val="2"/>
      </rPr>
      <t xml:space="preserve">たります</t>
    </r>
    <r>
      <rPr>
        <sz val="10"/>
        <rFont val="Arial"/>
        <family val="0"/>
        <charset val="1"/>
      </rPr>
      <t xml:space="preserve">) đủ </t>
    </r>
    <r>
      <rPr>
        <sz val="10"/>
        <rFont val="Noto Sans CJK SC"/>
        <family val="2"/>
      </rPr>
      <t xml:space="preserve">・ 不足 </t>
    </r>
    <r>
      <rPr>
        <sz val="10"/>
        <rFont val="Arial"/>
        <family val="0"/>
        <charset val="1"/>
      </rPr>
      <t xml:space="preserve">(</t>
    </r>
    <r>
      <rPr>
        <sz val="10"/>
        <rFont val="Noto Sans CJK SC"/>
        <family val="2"/>
      </rPr>
      <t xml:space="preserve">ふそく</t>
    </r>
    <r>
      <rPr>
        <sz val="10"/>
        <rFont val="Arial"/>
        <family val="0"/>
        <charset val="1"/>
      </rPr>
      <t xml:space="preserve">) thiếu
   Mẹo: </t>
    </r>
    <r>
      <rPr>
        <sz val="10"/>
        <rFont val="Noto Sans CJK SC"/>
        <family val="2"/>
      </rPr>
      <t xml:space="preserve">口 </t>
    </r>
    <r>
      <rPr>
        <sz val="10"/>
        <rFont val="Arial"/>
        <family val="0"/>
        <charset val="1"/>
      </rPr>
      <t xml:space="preserve">(đầu gối) + </t>
    </r>
    <r>
      <rPr>
        <sz val="10"/>
        <rFont val="Noto Sans CJK SC"/>
        <family val="2"/>
      </rPr>
      <t xml:space="preserve">止 </t>
    </r>
    <r>
      <rPr>
        <sz val="10"/>
        <rFont val="Arial"/>
        <family val="0"/>
        <charset val="1"/>
      </rPr>
      <t xml:space="preserve">(bàn chân) = cả cái CHÂN. Có chân đi được → ĐỦ dùng.
• </t>
    </r>
    <r>
      <rPr>
        <sz val="10"/>
        <rFont val="Noto Sans CJK SC"/>
        <family val="2"/>
      </rPr>
      <t xml:space="preserve">万 </t>
    </r>
    <r>
      <rPr>
        <sz val="10"/>
        <rFont val="Arial"/>
        <family val="0"/>
        <charset val="1"/>
      </rPr>
      <t xml:space="preserve">[VẠN] Vạn (10.000) — On: </t>
    </r>
    <r>
      <rPr>
        <sz val="10"/>
        <rFont val="Noto Sans CJK SC"/>
        <family val="2"/>
      </rPr>
      <t xml:space="preserve">マン・バン </t>
    </r>
    <r>
      <rPr>
        <sz val="10"/>
        <rFont val="Arial"/>
        <family val="0"/>
        <charset val="1"/>
      </rPr>
      <t xml:space="preserve">/ Kun: — (3 nét)
   Từ ghép: </t>
    </r>
    <r>
      <rPr>
        <sz val="10"/>
        <rFont val="Noto Sans CJK SC"/>
        <family val="2"/>
      </rPr>
      <t xml:space="preserve">一万円 </t>
    </r>
    <r>
      <rPr>
        <sz val="10"/>
        <rFont val="Arial"/>
        <family val="0"/>
        <charset val="1"/>
      </rPr>
      <t xml:space="preserve">(</t>
    </r>
    <r>
      <rPr>
        <sz val="10"/>
        <rFont val="Noto Sans CJK SC"/>
        <family val="2"/>
      </rPr>
      <t xml:space="preserve">いちまんえん</t>
    </r>
    <r>
      <rPr>
        <sz val="10"/>
        <rFont val="Arial"/>
        <family val="0"/>
        <charset val="1"/>
      </rPr>
      <t xml:space="preserve">) 10.000 yên </t>
    </r>
    <r>
      <rPr>
        <sz val="10"/>
        <rFont val="Noto Sans CJK SC"/>
        <family val="2"/>
      </rPr>
      <t xml:space="preserve">・ 万年筆 </t>
    </r>
    <r>
      <rPr>
        <sz val="10"/>
        <rFont val="Arial"/>
        <family val="0"/>
        <charset val="1"/>
      </rPr>
      <t xml:space="preserve">(</t>
    </r>
    <r>
      <rPr>
        <sz val="10"/>
        <rFont val="Noto Sans CJK SC"/>
        <family val="2"/>
      </rPr>
      <t xml:space="preserve">まんねんひつ</t>
    </r>
    <r>
      <rPr>
        <sz val="10"/>
        <rFont val="Arial"/>
        <family val="0"/>
        <charset val="1"/>
      </rPr>
      <t xml:space="preserve">) bút máy </t>
    </r>
    <r>
      <rPr>
        <sz val="10"/>
        <rFont val="Noto Sans CJK SC"/>
        <family val="2"/>
      </rPr>
      <t xml:space="preserve">・ 万一 </t>
    </r>
    <r>
      <rPr>
        <sz val="10"/>
        <rFont val="Arial"/>
        <family val="0"/>
        <charset val="1"/>
      </rPr>
      <t xml:space="preserve">(</t>
    </r>
    <r>
      <rPr>
        <sz val="10"/>
        <rFont val="Noto Sans CJK SC"/>
        <family val="2"/>
      </rPr>
      <t xml:space="preserve">まんいち</t>
    </r>
    <r>
      <rPr>
        <sz val="10"/>
        <rFont val="Arial"/>
        <family val="0"/>
        <charset val="1"/>
      </rPr>
      <t xml:space="preserve">) lỡ như
   Mẹo: Ba nét đơn giản. Nhớ: 10.000 yên = </t>
    </r>
    <r>
      <rPr>
        <sz val="10"/>
        <rFont val="Noto Sans CJK SC"/>
        <family val="2"/>
      </rPr>
      <t xml:space="preserve">一万円</t>
    </r>
    <r>
      <rPr>
        <sz val="10"/>
        <rFont val="Arial"/>
        <family val="0"/>
        <charset val="1"/>
      </rPr>
      <t xml:space="preserve">, tờ tiền lớn nhất của Nhật.</t>
    </r>
  </si>
  <si>
    <r>
      <rPr>
        <sz val="10"/>
        <rFont val="Arial"/>
        <family val="0"/>
        <charset val="1"/>
      </rPr>
      <t xml:space="preserve">Minna bài 19 (3/3) — Thể </t>
    </r>
    <r>
      <rPr>
        <sz val="10"/>
        <rFont val="Noto Sans CJK SC"/>
        <family val="2"/>
      </rPr>
      <t xml:space="preserve">た — </t>
    </r>
    <r>
      <rPr>
        <sz val="10"/>
        <rFont val="Arial"/>
        <family val="0"/>
        <charset val="1"/>
      </rPr>
      <t xml:space="preserve">Kinh nghiệm &amp; Liệt kê
• Adj </t>
    </r>
    <r>
      <rPr>
        <sz val="10"/>
        <rFont val="Noto Sans CJK SC"/>
        <family val="2"/>
      </rPr>
      <t xml:space="preserve">く なります </t>
    </r>
    <r>
      <rPr>
        <sz val="10"/>
        <rFont val="Arial"/>
        <family val="0"/>
        <charset val="1"/>
      </rPr>
      <t xml:space="preserve">/ </t>
    </r>
    <r>
      <rPr>
        <sz val="10"/>
        <rFont val="Noto Sans CJK SC"/>
        <family val="2"/>
      </rPr>
      <t xml:space="preserve">に なります  </t>
    </r>
    <r>
      <rPr>
        <sz val="10"/>
        <rFont val="Arial"/>
        <family val="0"/>
        <charset val="1"/>
      </rPr>
      <t xml:space="preserve">(Trở nên ~. </t>
    </r>
    <r>
      <rPr>
        <sz val="10"/>
        <rFont val="Noto Sans CJK SC"/>
        <family val="2"/>
      </rPr>
      <t xml:space="preserve">い</t>
    </r>
    <r>
      <rPr>
        <sz val="10"/>
        <rFont val="Arial"/>
        <family val="0"/>
        <charset val="1"/>
      </rPr>
      <t xml:space="preserve">-adj: </t>
    </r>
    <r>
      <rPr>
        <sz val="10"/>
        <rFont val="Noto Sans CJK SC"/>
        <family val="2"/>
      </rPr>
      <t xml:space="preserve">〜く</t>
    </r>
    <r>
      <rPr>
        <sz val="10"/>
        <rFont val="Arial"/>
        <family val="0"/>
        <charset val="1"/>
      </rPr>
      <t xml:space="preserve">. </t>
    </r>
    <r>
      <rPr>
        <sz val="10"/>
        <rFont val="Noto Sans CJK SC"/>
        <family val="2"/>
      </rPr>
      <t xml:space="preserve">な</t>
    </r>
    <r>
      <rPr>
        <sz val="10"/>
        <rFont val="Arial"/>
        <family val="0"/>
        <charset val="1"/>
      </rPr>
      <t xml:space="preserve">-adj và N: </t>
    </r>
    <r>
      <rPr>
        <sz val="10"/>
        <rFont val="Noto Sans CJK SC"/>
        <family val="2"/>
      </rPr>
      <t xml:space="preserve">〜に</t>
    </r>
    <r>
      <rPr>
        <sz val="10"/>
        <rFont val="Arial"/>
        <family val="0"/>
        <charset val="1"/>
      </rPr>
      <t xml:space="preserve">.)
   Ví dụ: </t>
    </r>
    <r>
      <rPr>
        <sz val="10"/>
        <rFont val="Noto Sans CJK SC"/>
        <family val="2"/>
      </rPr>
      <t xml:space="preserve">寒く なりました。  </t>
    </r>
    <r>
      <rPr>
        <sz val="10"/>
        <rFont val="Arial"/>
        <family val="0"/>
        <charset val="1"/>
      </rPr>
      <t xml:space="preserve">= Trời đã trở lạnh.
→ Làm </t>
    </r>
    <r>
      <rPr>
        <sz val="10"/>
        <rFont val="Noto Sans CJK SC"/>
        <family val="2"/>
      </rPr>
      <t xml:space="preserve">練習</t>
    </r>
    <r>
      <rPr>
        <sz val="10"/>
        <rFont val="Arial"/>
        <family val="0"/>
        <charset val="1"/>
      </rPr>
      <t xml:space="preserve">A của bài 19 trong sách, mỗi mẫu tự đặt 3 câu.</t>
    </r>
  </si>
  <si>
    <r>
      <rPr>
        <sz val="10"/>
        <rFont val="Arial"/>
        <family val="0"/>
        <charset val="1"/>
      </rPr>
      <t xml:space="preserve">Từ mới Minna bài 19:
• </t>
    </r>
    <r>
      <rPr>
        <sz val="10"/>
        <rFont val="Noto Sans CJK SC"/>
        <family val="2"/>
      </rPr>
      <t xml:space="preserve">もうすぐ </t>
    </r>
    <r>
      <rPr>
        <sz val="10"/>
        <rFont val="Arial"/>
        <family val="0"/>
        <charset val="1"/>
      </rPr>
      <t xml:space="preserve">= Sắp, sắp sửa
   Mẹo: </t>
    </r>
    <r>
      <rPr>
        <sz val="10"/>
        <rFont val="Noto Sans CJK SC"/>
        <family val="2"/>
      </rPr>
      <t xml:space="preserve">もうすぐ 春です </t>
    </r>
    <r>
      <rPr>
        <sz val="10"/>
        <rFont val="Arial"/>
        <family val="0"/>
        <charset val="1"/>
      </rPr>
      <t xml:space="preserve">= sắp đến mùa xuân rồi.
• </t>
    </r>
    <r>
      <rPr>
        <sz val="10"/>
        <rFont val="Noto Sans CJK SC"/>
        <family val="2"/>
      </rPr>
      <t xml:space="preserve">ゴルフ </t>
    </r>
    <r>
      <rPr>
        <sz val="10"/>
        <rFont val="Arial"/>
        <family val="0"/>
        <charset val="1"/>
      </rPr>
      <t xml:space="preserve">= Golf
   Mẹo: Từ 'golf'.
• </t>
    </r>
    <r>
      <rPr>
        <sz val="10"/>
        <rFont val="Noto Sans CJK SC"/>
        <family val="2"/>
      </rPr>
      <t xml:space="preserve">おちゃ（お茶） </t>
    </r>
    <r>
      <rPr>
        <sz val="10"/>
        <rFont val="Arial"/>
        <family val="0"/>
        <charset val="1"/>
      </rPr>
      <t xml:space="preserve">= Trà
   Mẹo: </t>
    </r>
    <r>
      <rPr>
        <sz val="10"/>
        <rFont val="Noto Sans CJK SC"/>
        <family val="2"/>
      </rPr>
      <t xml:space="preserve">茶 </t>
    </r>
    <r>
      <rPr>
        <sz val="10"/>
        <rFont val="Arial"/>
        <family val="0"/>
        <charset val="1"/>
      </rPr>
      <t xml:space="preserve">có bộ </t>
    </r>
    <r>
      <rPr>
        <sz val="10"/>
        <rFont val="Noto Sans CJK SC"/>
        <family val="2"/>
      </rPr>
      <t xml:space="preserve">艹 </t>
    </r>
    <r>
      <rPr>
        <sz val="10"/>
        <rFont val="Arial"/>
        <family val="0"/>
        <charset val="1"/>
      </rPr>
      <t xml:space="preserve">(cỏ cây) → lá cây pha nước = TRÀ.
• </t>
    </r>
    <r>
      <rPr>
        <sz val="10"/>
        <rFont val="Noto Sans CJK SC"/>
        <family val="2"/>
      </rPr>
      <t xml:space="preserve">さいきん（最近） </t>
    </r>
    <r>
      <rPr>
        <sz val="10"/>
        <rFont val="Arial"/>
        <family val="0"/>
        <charset val="1"/>
      </rPr>
      <t xml:space="preserve">= Gần đây
   Mẹo: TỐI CẬN = gần nhất về thời gian.
→ Đối chiếu thêm với mục </t>
    </r>
    <r>
      <rPr>
        <sz val="10"/>
        <rFont val="Noto Sans CJK SC"/>
        <family val="2"/>
      </rPr>
      <t xml:space="preserve">語彙 </t>
    </r>
    <r>
      <rPr>
        <sz val="10"/>
        <rFont val="Arial"/>
        <family val="0"/>
        <charset val="1"/>
      </rPr>
      <t xml:space="preserve">của bài 19 trong sách để bổ sung.</t>
    </r>
  </si>
  <si>
    <r>
      <rPr>
        <b val="true"/>
        <sz val="12"/>
        <color rgb="FF1F3864"/>
        <rFont val="Arial"/>
        <family val="0"/>
        <charset val="1"/>
      </rPr>
      <t xml:space="preserve">NGÀY 62  ·  Tuần 9  ·  Minna Bài 20 (1/3)  ·  Thể thông thường (</t>
    </r>
    <r>
      <rPr>
        <b val="true"/>
        <sz val="12"/>
        <color rgb="FF1F3864"/>
        <rFont val="Noto Sans CJK SC"/>
        <family val="2"/>
      </rPr>
      <t xml:space="preserve">普通形</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</si>
  <si>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生 </t>
    </r>
    <r>
      <rPr>
        <sz val="10"/>
        <rFont val="Arial"/>
        <family val="0"/>
        <charset val="1"/>
      </rPr>
      <t xml:space="preserve">(</t>
    </r>
    <r>
      <rPr>
        <sz val="10"/>
        <rFont val="Noto Sans CJK SC"/>
        <family val="2"/>
      </rPr>
      <t xml:space="preserve">うまれる</t>
    </r>
    <r>
      <rPr>
        <sz val="10"/>
        <rFont val="Arial"/>
        <family val="0"/>
        <charset val="1"/>
      </rPr>
      <t xml:space="preserve">) = Sinh ra, sống
   Mẹo nhớ: Mầm cây nhú lên khỏi mặt đất
   Kanji chứa bộ này: </t>
    </r>
    <r>
      <rPr>
        <sz val="10"/>
        <rFont val="Noto Sans CJK SC"/>
        <family val="2"/>
      </rPr>
      <t xml:space="preserve">生・産</t>
    </r>
  </si>
  <si>
    <r>
      <rPr>
        <sz val="10"/>
        <rFont val="Arial"/>
        <family val="0"/>
        <charset val="1"/>
      </rPr>
      <t xml:space="preserve">Học 2 chữ. Mỗi chữ viết tay 10 lần đúng thứ tự nét.
• </t>
    </r>
    <r>
      <rPr>
        <sz val="10"/>
        <rFont val="Noto Sans CJK SC"/>
        <family val="2"/>
      </rPr>
      <t xml:space="preserve">店 </t>
    </r>
    <r>
      <rPr>
        <sz val="10"/>
        <rFont val="Arial"/>
        <family val="0"/>
        <charset val="1"/>
      </rPr>
      <t xml:space="preserve">[ĐIẾM] Cửa hàng — On: </t>
    </r>
    <r>
      <rPr>
        <sz val="10"/>
        <rFont val="Noto Sans CJK SC"/>
        <family val="2"/>
      </rPr>
      <t xml:space="preserve">テン </t>
    </r>
    <r>
      <rPr>
        <sz val="10"/>
        <rFont val="Arial"/>
        <family val="0"/>
        <charset val="1"/>
      </rPr>
      <t xml:space="preserve">/ Kun: </t>
    </r>
    <r>
      <rPr>
        <sz val="10"/>
        <rFont val="Noto Sans CJK SC"/>
        <family val="2"/>
      </rPr>
      <t xml:space="preserve">みせ </t>
    </r>
    <r>
      <rPr>
        <sz val="10"/>
        <rFont val="Arial"/>
        <family val="0"/>
        <charset val="1"/>
      </rPr>
      <t xml:space="preserve">(8 nét)
   Từ ghép: </t>
    </r>
    <r>
      <rPr>
        <sz val="10"/>
        <rFont val="Noto Sans CJK SC"/>
        <family val="2"/>
      </rPr>
      <t xml:space="preserve">店 </t>
    </r>
    <r>
      <rPr>
        <sz val="10"/>
        <rFont val="Arial"/>
        <family val="0"/>
        <charset val="1"/>
      </rPr>
      <t xml:space="preserve">(</t>
    </r>
    <r>
      <rPr>
        <sz val="10"/>
        <rFont val="Noto Sans CJK SC"/>
        <family val="2"/>
      </rPr>
      <t xml:space="preserve">みせ</t>
    </r>
    <r>
      <rPr>
        <sz val="10"/>
        <rFont val="Arial"/>
        <family val="0"/>
        <charset val="1"/>
      </rPr>
      <t xml:space="preserve">) cửa hàng </t>
    </r>
    <r>
      <rPr>
        <sz val="10"/>
        <rFont val="Noto Sans CJK SC"/>
        <family val="2"/>
      </rPr>
      <t xml:space="preserve">・ 喫茶店 </t>
    </r>
    <r>
      <rPr>
        <sz val="10"/>
        <rFont val="Arial"/>
        <family val="0"/>
        <charset val="1"/>
      </rPr>
      <t xml:space="preserve">(</t>
    </r>
    <r>
      <rPr>
        <sz val="10"/>
        <rFont val="Noto Sans CJK SC"/>
        <family val="2"/>
      </rPr>
      <t xml:space="preserve">きっさてん</t>
    </r>
    <r>
      <rPr>
        <sz val="10"/>
        <rFont val="Arial"/>
        <family val="0"/>
        <charset val="1"/>
      </rPr>
      <t xml:space="preserve">) quán cà phê </t>
    </r>
    <r>
      <rPr>
        <sz val="10"/>
        <rFont val="Noto Sans CJK SC"/>
        <family val="2"/>
      </rPr>
      <t xml:space="preserve">・ 店員 </t>
    </r>
    <r>
      <rPr>
        <sz val="10"/>
        <rFont val="Arial"/>
        <family val="0"/>
        <charset val="1"/>
      </rPr>
      <t xml:space="preserve">(</t>
    </r>
    <r>
      <rPr>
        <sz val="10"/>
        <rFont val="Noto Sans CJK SC"/>
        <family val="2"/>
      </rPr>
      <t xml:space="preserve">てんいん</t>
    </r>
    <r>
      <rPr>
        <sz val="10"/>
        <rFont val="Arial"/>
        <family val="0"/>
        <charset val="1"/>
      </rPr>
      <t xml:space="preserve">) nhân viên bán hàng
   Mẹo: Bộ </t>
    </r>
    <r>
      <rPr>
        <sz val="10"/>
        <rFont val="Noto Sans CJK SC"/>
        <family val="2"/>
      </rPr>
      <t xml:space="preserve">广 </t>
    </r>
    <r>
      <rPr>
        <sz val="10"/>
        <rFont val="Arial"/>
        <family val="0"/>
        <charset val="1"/>
      </rPr>
      <t xml:space="preserve">(mái hiên) che </t>
    </r>
    <r>
      <rPr>
        <sz val="10"/>
        <rFont val="Noto Sans CJK SC"/>
        <family val="2"/>
      </rPr>
      <t xml:space="preserve">占 </t>
    </r>
    <r>
      <rPr>
        <sz val="10"/>
        <rFont val="Arial"/>
        <family val="0"/>
        <charset val="1"/>
      </rPr>
      <t xml:space="preserve">(chiếm chỗ) = dựng mái chiếm một chỗ ngoài phố để bán → CỬA HÀNG.
• </t>
    </r>
    <r>
      <rPr>
        <sz val="10"/>
        <rFont val="Noto Sans CJK SC"/>
        <family val="2"/>
      </rPr>
      <t xml:space="preserve">毎 </t>
    </r>
    <r>
      <rPr>
        <sz val="10"/>
        <rFont val="Arial"/>
        <family val="0"/>
        <charset val="1"/>
      </rPr>
      <t xml:space="preserve">[MỖI] Mỗi, hằng — On: </t>
    </r>
    <r>
      <rPr>
        <sz val="10"/>
        <rFont val="Noto Sans CJK SC"/>
        <family val="2"/>
      </rPr>
      <t xml:space="preserve">マイ </t>
    </r>
    <r>
      <rPr>
        <sz val="10"/>
        <rFont val="Arial"/>
        <family val="0"/>
        <charset val="1"/>
      </rPr>
      <t xml:space="preserve">/ Kun: — (6 nét)
   Từ ghép: </t>
    </r>
    <r>
      <rPr>
        <sz val="10"/>
        <rFont val="Noto Sans CJK SC"/>
        <family val="2"/>
      </rPr>
      <t xml:space="preserve">毎日 </t>
    </r>
    <r>
      <rPr>
        <sz val="10"/>
        <rFont val="Arial"/>
        <family val="0"/>
        <charset val="1"/>
      </rPr>
      <t xml:space="preserve">(</t>
    </r>
    <r>
      <rPr>
        <sz val="10"/>
        <rFont val="Noto Sans CJK SC"/>
        <family val="2"/>
      </rPr>
      <t xml:space="preserve">まいにち</t>
    </r>
    <r>
      <rPr>
        <sz val="10"/>
        <rFont val="Arial"/>
        <family val="0"/>
        <charset val="1"/>
      </rPr>
      <t xml:space="preserve">) hằng ngày </t>
    </r>
    <r>
      <rPr>
        <sz val="10"/>
        <rFont val="Noto Sans CJK SC"/>
        <family val="2"/>
      </rPr>
      <t xml:space="preserve">・ 毎朝 </t>
    </r>
    <r>
      <rPr>
        <sz val="10"/>
        <rFont val="Arial"/>
        <family val="0"/>
        <charset val="1"/>
      </rPr>
      <t xml:space="preserve">(</t>
    </r>
    <r>
      <rPr>
        <sz val="10"/>
        <rFont val="Noto Sans CJK SC"/>
        <family val="2"/>
      </rPr>
      <t xml:space="preserve">まいあさ</t>
    </r>
    <r>
      <rPr>
        <sz val="10"/>
        <rFont val="Arial"/>
        <family val="0"/>
        <charset val="1"/>
      </rPr>
      <t xml:space="preserve">) mỗi sáng </t>
    </r>
    <r>
      <rPr>
        <sz val="10"/>
        <rFont val="Noto Sans CJK SC"/>
        <family val="2"/>
      </rPr>
      <t xml:space="preserve">・ 毎年 </t>
    </r>
    <r>
      <rPr>
        <sz val="10"/>
        <rFont val="Arial"/>
        <family val="0"/>
        <charset val="1"/>
      </rPr>
      <t xml:space="preserve">(</t>
    </r>
    <r>
      <rPr>
        <sz val="10"/>
        <rFont val="Noto Sans CJK SC"/>
        <family val="2"/>
      </rPr>
      <t xml:space="preserve">まいとし</t>
    </r>
    <r>
      <rPr>
        <sz val="10"/>
        <rFont val="Arial"/>
        <family val="0"/>
        <charset val="1"/>
      </rPr>
      <t xml:space="preserve">) hằng năm
   Mẹo: Có bộ </t>
    </r>
    <r>
      <rPr>
        <sz val="10"/>
        <rFont val="Noto Sans CJK SC"/>
        <family val="2"/>
      </rPr>
      <t xml:space="preserve">母 </t>
    </r>
    <r>
      <rPr>
        <sz val="10"/>
        <rFont val="Arial"/>
        <family val="0"/>
        <charset val="1"/>
      </rPr>
      <t xml:space="preserve">(mẹ) bên trong = MỖI ngày mẹ đều lo cho ta.</t>
    </r>
  </si>
  <si>
    <r>
      <rPr>
        <sz val="10"/>
        <rFont val="Arial"/>
        <family val="0"/>
        <charset val="1"/>
      </rPr>
      <t xml:space="preserve">Minna bài 20 (1/3) — Thể thông thường (</t>
    </r>
    <r>
      <rPr>
        <sz val="10"/>
        <rFont val="Noto Sans CJK SC"/>
        <family val="2"/>
      </rPr>
      <t xml:space="preserve">普通形</t>
    </r>
    <r>
      <rPr>
        <sz val="10"/>
        <rFont val="Arial"/>
        <family val="0"/>
        <charset val="1"/>
      </rPr>
      <t xml:space="preserve">)
• Thể thông thường của động từ  (</t>
    </r>
    <r>
      <rPr>
        <sz val="10"/>
        <rFont val="Noto Sans CJK SC"/>
        <family val="2"/>
      </rPr>
      <t xml:space="preserve">です・ます → </t>
    </r>
    <r>
      <rPr>
        <sz val="10"/>
        <rFont val="Arial"/>
        <family val="0"/>
        <charset val="1"/>
      </rPr>
      <t xml:space="preserve">thể từ điển / </t>
    </r>
    <r>
      <rPr>
        <sz val="10"/>
        <rFont val="Noto Sans CJK SC"/>
        <family val="2"/>
      </rPr>
      <t xml:space="preserve">ない </t>
    </r>
    <r>
      <rPr>
        <sz val="10"/>
        <rFont val="Arial"/>
        <family val="0"/>
        <charset val="1"/>
      </rPr>
      <t xml:space="preserve">/ </t>
    </r>
    <r>
      <rPr>
        <sz val="10"/>
        <rFont val="Noto Sans CJK SC"/>
        <family val="2"/>
      </rPr>
      <t xml:space="preserve">た </t>
    </r>
    <r>
      <rPr>
        <sz val="10"/>
        <rFont val="Arial"/>
        <family val="0"/>
        <charset val="1"/>
      </rPr>
      <t xml:space="preserve">/ </t>
    </r>
    <r>
      <rPr>
        <sz val="10"/>
        <rFont val="Noto Sans CJK SC"/>
        <family val="2"/>
      </rPr>
      <t xml:space="preserve">なかった</t>
    </r>
    <r>
      <rPr>
        <sz val="10"/>
        <rFont val="Arial"/>
        <family val="0"/>
        <charset val="1"/>
      </rPr>
      <t xml:space="preserve">. Dùng với bạn bè, người thân.)
   Ví dụ: </t>
    </r>
    <r>
      <rPr>
        <sz val="10"/>
        <rFont val="Noto Sans CJK SC"/>
        <family val="2"/>
      </rPr>
      <t xml:space="preserve">あした 東京へ 行く。  </t>
    </r>
    <r>
      <rPr>
        <sz val="10"/>
        <rFont val="Arial"/>
        <family val="0"/>
        <charset val="1"/>
      </rPr>
      <t xml:space="preserve">= Mai tớ đi Tokyo.
• Thể thông thường của tính từ và danh từ  (</t>
    </r>
    <r>
      <rPr>
        <sz val="10"/>
        <rFont val="Noto Sans CJK SC"/>
        <family val="2"/>
      </rPr>
      <t xml:space="preserve">い</t>
    </r>
    <r>
      <rPr>
        <sz val="10"/>
        <rFont val="Arial"/>
        <family val="0"/>
        <charset val="1"/>
      </rPr>
      <t xml:space="preserve">-adj: </t>
    </r>
    <r>
      <rPr>
        <sz val="10"/>
        <rFont val="Noto Sans CJK SC"/>
        <family val="2"/>
      </rPr>
      <t xml:space="preserve">高い </t>
    </r>
    <r>
      <rPr>
        <sz val="10"/>
        <rFont val="Arial"/>
        <family val="0"/>
        <charset val="1"/>
      </rPr>
      <t xml:space="preserve">/ </t>
    </r>
    <r>
      <rPr>
        <sz val="10"/>
        <rFont val="Noto Sans CJK SC"/>
        <family val="2"/>
      </rPr>
      <t xml:space="preserve">高くない </t>
    </r>
    <r>
      <rPr>
        <sz val="10"/>
        <rFont val="Arial"/>
        <family val="0"/>
        <charset val="1"/>
      </rPr>
      <t xml:space="preserve">/ </t>
    </r>
    <r>
      <rPr>
        <sz val="10"/>
        <rFont val="Noto Sans CJK SC"/>
        <family val="2"/>
      </rPr>
      <t xml:space="preserve">高かった</t>
    </r>
    <r>
      <rPr>
        <sz val="10"/>
        <rFont val="Arial"/>
        <family val="0"/>
        <charset val="1"/>
      </rPr>
      <t xml:space="preserve">. </t>
    </r>
    <r>
      <rPr>
        <sz val="10"/>
        <rFont val="Noto Sans CJK SC"/>
        <family val="2"/>
      </rPr>
      <t xml:space="preserve">な</t>
    </r>
    <r>
      <rPr>
        <sz val="10"/>
        <rFont val="Arial"/>
        <family val="0"/>
        <charset val="1"/>
      </rPr>
      <t xml:space="preserve">-adj &amp; N: </t>
    </r>
    <r>
      <rPr>
        <sz val="10"/>
        <rFont val="Noto Sans CJK SC"/>
        <family val="2"/>
      </rPr>
      <t xml:space="preserve">静かだ </t>
    </r>
    <r>
      <rPr>
        <sz val="10"/>
        <rFont val="Arial"/>
        <family val="0"/>
        <charset val="1"/>
      </rPr>
      <t xml:space="preserve">/ </t>
    </r>
    <r>
      <rPr>
        <sz val="10"/>
        <rFont val="Noto Sans CJK SC"/>
        <family val="2"/>
      </rPr>
      <t xml:space="preserve">静かじゃない </t>
    </r>
    <r>
      <rPr>
        <sz val="10"/>
        <rFont val="Arial"/>
        <family val="0"/>
        <charset val="1"/>
      </rPr>
      <t xml:space="preserve">/ </t>
    </r>
    <r>
      <rPr>
        <sz val="10"/>
        <rFont val="Noto Sans CJK SC"/>
        <family val="2"/>
      </rPr>
      <t xml:space="preserve">静かだった</t>
    </r>
    <r>
      <rPr>
        <sz val="10"/>
        <rFont val="Arial"/>
        <family val="0"/>
        <charset val="1"/>
      </rPr>
      <t xml:space="preserve">.)
   Ví dụ: </t>
    </r>
    <r>
      <rPr>
        <sz val="10"/>
        <rFont val="Noto Sans CJK SC"/>
        <family val="2"/>
      </rPr>
      <t xml:space="preserve">この 店は 安い。  </t>
    </r>
    <r>
      <rPr>
        <sz val="10"/>
        <rFont val="Arial"/>
        <family val="0"/>
        <charset val="1"/>
      </rPr>
      <t xml:space="preserve">= Quán này rẻ.
→ Làm </t>
    </r>
    <r>
      <rPr>
        <sz val="10"/>
        <rFont val="Noto Sans CJK SC"/>
        <family val="2"/>
      </rPr>
      <t xml:space="preserve">練習</t>
    </r>
    <r>
      <rPr>
        <sz val="10"/>
        <rFont val="Arial"/>
        <family val="0"/>
        <charset val="1"/>
      </rPr>
      <t xml:space="preserve">A của bài 20 trong sách, mỗi mẫu tự đặt 3 câu.</t>
    </r>
  </si>
  <si>
    <r>
      <rPr>
        <sz val="10"/>
        <rFont val="Arial"/>
        <family val="0"/>
        <charset val="1"/>
      </rPr>
      <t xml:space="preserve">Từ mới Minna bài 20:
• </t>
    </r>
    <r>
      <rPr>
        <sz val="10"/>
        <rFont val="Noto Sans CJK SC"/>
        <family val="2"/>
      </rPr>
      <t xml:space="preserve">いります（要ります） </t>
    </r>
    <r>
      <rPr>
        <sz val="10"/>
        <rFont val="Arial"/>
        <family val="0"/>
        <charset val="1"/>
      </rPr>
      <t xml:space="preserve">= Cần
   Mẹo: </t>
    </r>
    <r>
      <rPr>
        <sz val="10"/>
        <rFont val="Noto Sans CJK SC"/>
        <family val="2"/>
      </rPr>
      <t xml:space="preserve">ビザが 要ります </t>
    </r>
    <r>
      <rPr>
        <sz val="10"/>
        <rFont val="Arial"/>
        <family val="0"/>
        <charset val="1"/>
      </rPr>
      <t xml:space="preserve">= cần visa. Dùng trợ từ </t>
    </r>
    <r>
      <rPr>
        <sz val="10"/>
        <rFont val="Noto Sans CJK SC"/>
        <family val="2"/>
      </rPr>
      <t xml:space="preserve">が</t>
    </r>
    <r>
      <rPr>
        <sz val="10"/>
        <rFont val="Arial"/>
        <family val="0"/>
        <charset val="1"/>
      </rPr>
      <t xml:space="preserve">.
• </t>
    </r>
    <r>
      <rPr>
        <sz val="10"/>
        <rFont val="Noto Sans CJK SC"/>
        <family val="2"/>
      </rPr>
      <t xml:space="preserve">しらべます（調べます） </t>
    </r>
    <r>
      <rPr>
        <sz val="10"/>
        <rFont val="Arial"/>
        <family val="0"/>
        <charset val="1"/>
      </rPr>
      <t xml:space="preserve">= Tra cứu, điều tra
   Mẹo: </t>
    </r>
    <r>
      <rPr>
        <sz val="10"/>
        <rFont val="Noto Sans CJK SC"/>
        <family val="2"/>
      </rPr>
      <t xml:space="preserve">調 </t>
    </r>
    <r>
      <rPr>
        <sz val="10"/>
        <rFont val="Arial"/>
        <family val="0"/>
        <charset val="1"/>
      </rPr>
      <t xml:space="preserve">(điều) = điều tra. </t>
    </r>
    <r>
      <rPr>
        <sz val="10"/>
        <rFont val="Noto Sans CJK SC"/>
        <family val="2"/>
      </rPr>
      <t xml:space="preserve">辞書で 調べます </t>
    </r>
    <r>
      <rPr>
        <sz val="10"/>
        <rFont val="Arial"/>
        <family val="0"/>
        <charset val="1"/>
      </rPr>
      <t xml:space="preserve">= tra từ điển.
• </t>
    </r>
    <r>
      <rPr>
        <sz val="10"/>
        <rFont val="Noto Sans CJK SC"/>
        <family val="2"/>
      </rPr>
      <t xml:space="preserve">なおします（直します） </t>
    </r>
    <r>
      <rPr>
        <sz val="10"/>
        <rFont val="Arial"/>
        <family val="0"/>
        <charset val="1"/>
      </rPr>
      <t xml:space="preserve">= Sửa chữa
   Mẹo: </t>
    </r>
    <r>
      <rPr>
        <sz val="10"/>
        <rFont val="Noto Sans CJK SC"/>
        <family val="2"/>
      </rPr>
      <t xml:space="preserve">直 </t>
    </r>
    <r>
      <rPr>
        <sz val="10"/>
        <rFont val="Arial"/>
        <family val="0"/>
        <charset val="1"/>
      </rPr>
      <t xml:space="preserve">(trực) = làm cho thẳng lại → SỬA.
• </t>
    </r>
    <r>
      <rPr>
        <sz val="10"/>
        <rFont val="Noto Sans CJK SC"/>
        <family val="2"/>
      </rPr>
      <t xml:space="preserve">こわれます（壊れます） </t>
    </r>
    <r>
      <rPr>
        <sz val="10"/>
        <rFont val="Arial"/>
        <family val="0"/>
        <charset val="1"/>
      </rPr>
      <t xml:space="preserve">= Bị hỏng
   Mẹo: </t>
    </r>
    <r>
      <rPr>
        <sz val="10"/>
        <rFont val="Noto Sans CJK SC"/>
        <family val="2"/>
      </rPr>
      <t xml:space="preserve">壊 </t>
    </r>
    <r>
      <rPr>
        <sz val="10"/>
        <rFont val="Arial"/>
        <family val="0"/>
        <charset val="1"/>
      </rPr>
      <t xml:space="preserve">có bộ </t>
    </r>
    <r>
      <rPr>
        <sz val="10"/>
        <rFont val="Noto Sans CJK SC"/>
        <family val="2"/>
      </rPr>
      <t xml:space="preserve">土 </t>
    </r>
    <r>
      <rPr>
        <sz val="10"/>
        <rFont val="Arial"/>
        <family val="0"/>
        <charset val="1"/>
      </rPr>
      <t xml:space="preserve">(đất) → đổ vỡ thành đất cát.
• </t>
    </r>
    <r>
      <rPr>
        <sz val="10"/>
        <rFont val="Noto Sans CJK SC"/>
        <family val="2"/>
      </rPr>
      <t xml:space="preserve">ぼく（僕） </t>
    </r>
    <r>
      <rPr>
        <sz val="10"/>
        <rFont val="Arial"/>
        <family val="0"/>
        <charset val="1"/>
      </rPr>
      <t xml:space="preserve">= Tớ, tôi (nam giới)
   Mẹo: Nam giới dùng trong hội thoại thân mật, thay cho </t>
    </r>
    <r>
      <rPr>
        <sz val="10"/>
        <rFont val="Noto Sans CJK SC"/>
        <family val="2"/>
      </rPr>
      <t xml:space="preserve">わたし</t>
    </r>
    <r>
      <rPr>
        <sz val="10"/>
        <rFont val="Arial"/>
        <family val="0"/>
        <charset val="1"/>
      </rPr>
      <t xml:space="preserve">.
→ Đối chiếu thêm với mục </t>
    </r>
    <r>
      <rPr>
        <sz val="10"/>
        <rFont val="Noto Sans CJK SC"/>
        <family val="2"/>
      </rPr>
      <t xml:space="preserve">語彙 </t>
    </r>
    <r>
      <rPr>
        <sz val="10"/>
        <rFont val="Arial"/>
        <family val="0"/>
        <charset val="1"/>
      </rPr>
      <t xml:space="preserve">của bài 20 trong sách để bổ sung.</t>
    </r>
  </si>
  <si>
    <r>
      <rPr>
        <b val="true"/>
        <sz val="12"/>
        <color rgb="FF1F3864"/>
        <rFont val="Arial"/>
        <family val="0"/>
        <charset val="1"/>
      </rPr>
      <t xml:space="preserve">NGÀY 63  ·  Tuần 9  ·  Minna Ôn bài 18–19  ·  Ôn tập tuần 9 — Minna bài 18–19      </t>
    </r>
    <r>
      <rPr>
        <b val="true"/>
        <sz val="12"/>
        <color rgb="FF1F3864"/>
        <rFont val="Noto Sans CJK SC"/>
        <family val="2"/>
      </rPr>
      <t xml:space="preserve">〔</t>
    </r>
    <r>
      <rPr>
        <b val="true"/>
        <sz val="12"/>
        <color rgb="FF1F3864"/>
        <rFont val="Arial"/>
        <family val="0"/>
        <charset val="1"/>
      </rPr>
      <t xml:space="preserve">105 phút · 5 việc</t>
    </r>
    <r>
      <rPr>
        <b val="true"/>
        <sz val="12"/>
        <color rgb="FF1F3864"/>
        <rFont val="Noto Sans CJK SC"/>
        <family val="2"/>
      </rPr>
      <t xml:space="preserve">〕</t>
    </r>
  </si>
  <si>
    <r>
      <rPr>
        <sz val="10"/>
        <rFont val="Arial"/>
        <family val="0"/>
        <charset val="1"/>
      </rPr>
      <t xml:space="preserve">Làm phần </t>
    </r>
    <r>
      <rPr>
        <sz val="10"/>
        <rFont val="Noto Sans CJK SC"/>
        <family val="2"/>
      </rPr>
      <t xml:space="preserve">練習</t>
    </r>
    <r>
      <rPr>
        <sz val="10"/>
        <rFont val="Arial"/>
        <family val="0"/>
        <charset val="1"/>
      </rPr>
      <t xml:space="preserve">B và </t>
    </r>
    <r>
      <rPr>
        <sz val="10"/>
        <rFont val="Noto Sans CJK SC"/>
        <family val="2"/>
      </rPr>
      <t xml:space="preserve">練習</t>
    </r>
    <r>
      <rPr>
        <sz val="10"/>
        <rFont val="Arial"/>
        <family val="0"/>
        <charset val="1"/>
      </rPr>
      <t xml:space="preserve">C trong Minna bài 18–19. Sau đó tự đặt 5 câu mới.</t>
    </r>
  </si>
  <si>
    <t xml:space="preserve">Kiểm tra lại toàn bộ từ vựng Minna bài 18–19. Từ nào quên đánh dấu 'Đang học'.</t>
  </si>
  <si>
    <r>
      <rPr>
        <sz val="10"/>
        <rFont val="Arial"/>
        <family val="0"/>
        <charset val="1"/>
      </rPr>
      <t xml:space="preserve">Làm phần </t>
    </r>
    <r>
      <rPr>
        <sz val="10"/>
        <rFont val="Noto Sans CJK SC"/>
        <family val="2"/>
      </rPr>
      <t xml:space="preserve">問題 </t>
    </r>
    <r>
      <rPr>
        <sz val="10"/>
        <rFont val="Arial"/>
        <family val="0"/>
        <charset val="1"/>
      </rPr>
      <t xml:space="preserve">(nghe + đọc) cuối mỗi bài trong Minna bài 18–19. Ghi lỗi sai vào cột Ghi chú.</t>
    </r>
  </si>
  <si>
    <r>
      <rPr>
        <b val="true"/>
        <sz val="12"/>
        <color rgb="FF1F3864"/>
        <rFont val="Arial"/>
        <family val="0"/>
        <charset val="1"/>
      </rPr>
      <t xml:space="preserve">NGÀY 64  ·  Tuần 10  ·  Minna Bài 20 (2/3)  ·  Thể thông thường (</t>
    </r>
    <r>
      <rPr>
        <b val="true"/>
        <sz val="12"/>
        <color rgb="FF1F3864"/>
        <rFont val="Noto Sans CJK SC"/>
        <family val="2"/>
      </rPr>
      <t xml:space="preserve">普通形</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</si>
  <si>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一 </t>
    </r>
    <r>
      <rPr>
        <sz val="10"/>
        <rFont val="Arial"/>
        <family val="0"/>
        <charset val="1"/>
      </rPr>
      <t xml:space="preserve">(</t>
    </r>
    <r>
      <rPr>
        <sz val="10"/>
        <rFont val="Noto Sans CJK SC"/>
        <family val="2"/>
      </rPr>
      <t xml:space="preserve">いち</t>
    </r>
    <r>
      <rPr>
        <sz val="10"/>
        <rFont val="Arial"/>
        <family val="0"/>
        <charset val="1"/>
      </rPr>
      <t xml:space="preserve">) = Một, ngang bằng
   Mẹo nhớ: Một nét ngang duy nhất
   Kanji chứa bộ này: </t>
    </r>
    <r>
      <rPr>
        <sz val="10"/>
        <rFont val="Noto Sans CJK SC"/>
        <family val="2"/>
      </rPr>
      <t xml:space="preserve">一・三・上・下</t>
    </r>
  </si>
  <si>
    <r>
      <rPr>
        <sz val="10"/>
        <rFont val="Arial"/>
        <family val="0"/>
        <charset val="1"/>
      </rPr>
      <t xml:space="preserve">Học 2 chữ. Mỗi chữ viết tay 10 lần đúng thứ tự nét.
• </t>
    </r>
    <r>
      <rPr>
        <sz val="10"/>
        <rFont val="Noto Sans CJK SC"/>
        <family val="2"/>
      </rPr>
      <t xml:space="preserve">白 </t>
    </r>
    <r>
      <rPr>
        <sz val="10"/>
        <rFont val="Arial"/>
        <family val="0"/>
        <charset val="1"/>
      </rPr>
      <t xml:space="preserve">[BẠCH] Trắng — On: </t>
    </r>
    <r>
      <rPr>
        <sz val="10"/>
        <rFont val="Noto Sans CJK SC"/>
        <family val="2"/>
      </rPr>
      <t xml:space="preserve">ハク </t>
    </r>
    <r>
      <rPr>
        <sz val="10"/>
        <rFont val="Arial"/>
        <family val="0"/>
        <charset val="1"/>
      </rPr>
      <t xml:space="preserve">/ Kun: </t>
    </r>
    <r>
      <rPr>
        <sz val="10"/>
        <rFont val="Noto Sans CJK SC"/>
        <family val="2"/>
      </rPr>
      <t xml:space="preserve">しろ</t>
    </r>
    <r>
      <rPr>
        <sz val="10"/>
        <rFont val="Arial"/>
        <family val="0"/>
        <charset val="1"/>
      </rPr>
      <t xml:space="preserve">(</t>
    </r>
    <r>
      <rPr>
        <sz val="10"/>
        <rFont val="Noto Sans CJK SC"/>
        <family val="2"/>
      </rPr>
      <t xml:space="preserve">い</t>
    </r>
    <r>
      <rPr>
        <sz val="10"/>
        <rFont val="Arial"/>
        <family val="0"/>
        <charset val="1"/>
      </rPr>
      <t xml:space="preserve">) (5 nét)
   Từ ghép: </t>
    </r>
    <r>
      <rPr>
        <sz val="10"/>
        <rFont val="Noto Sans CJK SC"/>
        <family val="2"/>
      </rPr>
      <t xml:space="preserve">白い </t>
    </r>
    <r>
      <rPr>
        <sz val="10"/>
        <rFont val="Arial"/>
        <family val="0"/>
        <charset val="1"/>
      </rPr>
      <t xml:space="preserve">(</t>
    </r>
    <r>
      <rPr>
        <sz val="10"/>
        <rFont val="Noto Sans CJK SC"/>
        <family val="2"/>
      </rPr>
      <t xml:space="preserve">しろい</t>
    </r>
    <r>
      <rPr>
        <sz val="10"/>
        <rFont val="Arial"/>
        <family val="0"/>
        <charset val="1"/>
      </rPr>
      <t xml:space="preserve">) trắng </t>
    </r>
    <r>
      <rPr>
        <sz val="10"/>
        <rFont val="Noto Sans CJK SC"/>
        <family val="2"/>
      </rPr>
      <t xml:space="preserve">・ 白 </t>
    </r>
    <r>
      <rPr>
        <sz val="10"/>
        <rFont val="Arial"/>
        <family val="0"/>
        <charset val="1"/>
      </rPr>
      <t xml:space="preserve">(</t>
    </r>
    <r>
      <rPr>
        <sz val="10"/>
        <rFont val="Noto Sans CJK SC"/>
        <family val="2"/>
      </rPr>
      <t xml:space="preserve">しろ</t>
    </r>
    <r>
      <rPr>
        <sz val="10"/>
        <rFont val="Arial"/>
        <family val="0"/>
        <charset val="1"/>
      </rPr>
      <t xml:space="preserve">) màu trắng </t>
    </r>
    <r>
      <rPr>
        <sz val="10"/>
        <rFont val="Noto Sans CJK SC"/>
        <family val="2"/>
      </rPr>
      <t xml:space="preserve">・ 面白い </t>
    </r>
    <r>
      <rPr>
        <sz val="10"/>
        <rFont val="Arial"/>
        <family val="0"/>
        <charset val="1"/>
      </rPr>
      <t xml:space="preserve">(</t>
    </r>
    <r>
      <rPr>
        <sz val="10"/>
        <rFont val="Noto Sans CJK SC"/>
        <family val="2"/>
      </rPr>
      <t xml:space="preserve">おもしろい</t>
    </r>
    <r>
      <rPr>
        <sz val="10"/>
        <rFont val="Arial"/>
        <family val="0"/>
        <charset val="1"/>
      </rPr>
      <t xml:space="preserve">) thú vị
   Mẹo: Chữ </t>
    </r>
    <r>
      <rPr>
        <sz val="10"/>
        <rFont val="Noto Sans CJK SC"/>
        <family val="2"/>
      </rPr>
      <t xml:space="preserve">日 </t>
    </r>
    <r>
      <rPr>
        <sz val="10"/>
        <rFont val="Arial"/>
        <family val="0"/>
        <charset val="1"/>
      </rPr>
      <t xml:space="preserve">(mặt trời) có thêm một tia sáng nhô lên = ánh sáng chói → TRẮNG.
• </t>
    </r>
    <r>
      <rPr>
        <sz val="10"/>
        <rFont val="Noto Sans CJK SC"/>
        <family val="2"/>
      </rPr>
      <t xml:space="preserve">古 </t>
    </r>
    <r>
      <rPr>
        <sz val="10"/>
        <rFont val="Arial"/>
        <family val="0"/>
        <charset val="1"/>
      </rPr>
      <t xml:space="preserve">[CỔ] Cũ — On: </t>
    </r>
    <r>
      <rPr>
        <sz val="10"/>
        <rFont val="Noto Sans CJK SC"/>
        <family val="2"/>
      </rPr>
      <t xml:space="preserve">コ </t>
    </r>
    <r>
      <rPr>
        <sz val="10"/>
        <rFont val="Arial"/>
        <family val="0"/>
        <charset val="1"/>
      </rPr>
      <t xml:space="preserve">/ Kun: </t>
    </r>
    <r>
      <rPr>
        <sz val="10"/>
        <rFont val="Noto Sans CJK SC"/>
        <family val="2"/>
      </rPr>
      <t xml:space="preserve">ふる</t>
    </r>
    <r>
      <rPr>
        <sz val="10"/>
        <rFont val="Arial"/>
        <family val="0"/>
        <charset val="1"/>
      </rPr>
      <t xml:space="preserve">(</t>
    </r>
    <r>
      <rPr>
        <sz val="10"/>
        <rFont val="Noto Sans CJK SC"/>
        <family val="2"/>
      </rPr>
      <t xml:space="preserve">い</t>
    </r>
    <r>
      <rPr>
        <sz val="10"/>
        <rFont val="Arial"/>
        <family val="0"/>
        <charset val="1"/>
      </rPr>
      <t xml:space="preserve">) (5 nét)
   Từ ghép: </t>
    </r>
    <r>
      <rPr>
        <sz val="10"/>
        <rFont val="Noto Sans CJK SC"/>
        <family val="2"/>
      </rPr>
      <t xml:space="preserve">古い </t>
    </r>
    <r>
      <rPr>
        <sz val="10"/>
        <rFont val="Arial"/>
        <family val="0"/>
        <charset val="1"/>
      </rPr>
      <t xml:space="preserve">(</t>
    </r>
    <r>
      <rPr>
        <sz val="10"/>
        <rFont val="Noto Sans CJK SC"/>
        <family val="2"/>
      </rPr>
      <t xml:space="preserve">ふるい</t>
    </r>
    <r>
      <rPr>
        <sz val="10"/>
        <rFont val="Arial"/>
        <family val="0"/>
        <charset val="1"/>
      </rPr>
      <t xml:space="preserve">) cũ </t>
    </r>
    <r>
      <rPr>
        <sz val="10"/>
        <rFont val="Noto Sans CJK SC"/>
        <family val="2"/>
      </rPr>
      <t xml:space="preserve">・ 中古 </t>
    </r>
    <r>
      <rPr>
        <sz val="10"/>
        <rFont val="Arial"/>
        <family val="0"/>
        <charset val="1"/>
      </rPr>
      <t xml:space="preserve">(</t>
    </r>
    <r>
      <rPr>
        <sz val="10"/>
        <rFont val="Noto Sans CJK SC"/>
        <family val="2"/>
      </rPr>
      <t xml:space="preserve">ちゅうこ</t>
    </r>
    <r>
      <rPr>
        <sz val="10"/>
        <rFont val="Arial"/>
        <family val="0"/>
        <charset val="1"/>
      </rPr>
      <t xml:space="preserve">) đồ cũ </t>
    </r>
    <r>
      <rPr>
        <sz val="10"/>
        <rFont val="Noto Sans CJK SC"/>
        <family val="2"/>
      </rPr>
      <t xml:space="preserve">・ 古本 </t>
    </r>
    <r>
      <rPr>
        <sz val="10"/>
        <rFont val="Arial"/>
        <family val="0"/>
        <charset val="1"/>
      </rPr>
      <t xml:space="preserve">(</t>
    </r>
    <r>
      <rPr>
        <sz val="10"/>
        <rFont val="Noto Sans CJK SC"/>
        <family val="2"/>
      </rPr>
      <t xml:space="preserve">ふるほん</t>
    </r>
    <r>
      <rPr>
        <sz val="10"/>
        <rFont val="Arial"/>
        <family val="0"/>
        <charset val="1"/>
      </rPr>
      <t xml:space="preserve">) sách cũ
   Mẹo: </t>
    </r>
    <r>
      <rPr>
        <sz val="10"/>
        <rFont val="Noto Sans CJK SC"/>
        <family val="2"/>
      </rPr>
      <t xml:space="preserve">十 </t>
    </r>
    <r>
      <rPr>
        <sz val="10"/>
        <rFont val="Arial"/>
        <family val="0"/>
        <charset val="1"/>
      </rPr>
      <t xml:space="preserve">(mười) + </t>
    </r>
    <r>
      <rPr>
        <sz val="10"/>
        <rFont val="Noto Sans CJK SC"/>
        <family val="2"/>
      </rPr>
      <t xml:space="preserve">口 </t>
    </r>
    <r>
      <rPr>
        <sz val="10"/>
        <rFont val="Arial"/>
        <family val="0"/>
        <charset val="1"/>
      </rPr>
      <t xml:space="preserve">(miệng) = câu chuyện truyền qua mười cái miệng thì đã rất CŨ.</t>
    </r>
  </si>
  <si>
    <r>
      <rPr>
        <sz val="10"/>
        <rFont val="Arial"/>
        <family val="0"/>
        <charset val="1"/>
      </rPr>
      <t xml:space="preserve">Minna bài 20 (2/3) — Thể thông thường (</t>
    </r>
    <r>
      <rPr>
        <sz val="10"/>
        <rFont val="Noto Sans CJK SC"/>
        <family val="2"/>
      </rPr>
      <t xml:space="preserve">普通形</t>
    </r>
    <r>
      <rPr>
        <sz val="10"/>
        <rFont val="Arial"/>
        <family val="0"/>
        <charset val="1"/>
      </rPr>
      <t xml:space="preserve">)
• Câu hỏi thân mật  (Bỏ </t>
    </r>
    <r>
      <rPr>
        <sz val="10"/>
        <rFont val="Noto Sans CJK SC"/>
        <family val="2"/>
      </rPr>
      <t xml:space="preserve">か</t>
    </r>
    <r>
      <rPr>
        <sz val="10"/>
        <rFont val="Arial"/>
        <family val="0"/>
        <charset val="1"/>
      </rPr>
      <t xml:space="preserve">, lên giọng cuối câu. Với </t>
    </r>
    <r>
      <rPr>
        <sz val="10"/>
        <rFont val="Noto Sans CJK SC"/>
        <family val="2"/>
      </rPr>
      <t xml:space="preserve">な</t>
    </r>
    <r>
      <rPr>
        <sz val="10"/>
        <rFont val="Arial"/>
        <family val="0"/>
        <charset val="1"/>
      </rPr>
      <t xml:space="preserve">-adj và N thì bỏ luôn </t>
    </r>
    <r>
      <rPr>
        <sz val="10"/>
        <rFont val="Noto Sans CJK SC"/>
        <family val="2"/>
      </rPr>
      <t xml:space="preserve">だ</t>
    </r>
    <r>
      <rPr>
        <sz val="10"/>
        <rFont val="Arial"/>
        <family val="0"/>
        <charset val="1"/>
      </rPr>
      <t xml:space="preserve">.)
   Ví dụ: </t>
    </r>
    <r>
      <rPr>
        <sz val="10"/>
        <rFont val="Noto Sans CJK SC"/>
        <family val="2"/>
      </rPr>
      <t xml:space="preserve">コーヒーを 飲む？  </t>
    </r>
    <r>
      <rPr>
        <sz val="10"/>
        <rFont val="Arial"/>
        <family val="0"/>
        <charset val="1"/>
      </rPr>
      <t xml:space="preserve">= Uống cà phê không?
→ Làm </t>
    </r>
    <r>
      <rPr>
        <sz val="10"/>
        <rFont val="Noto Sans CJK SC"/>
        <family val="2"/>
      </rPr>
      <t xml:space="preserve">練習</t>
    </r>
    <r>
      <rPr>
        <sz val="10"/>
        <rFont val="Arial"/>
        <family val="0"/>
        <charset val="1"/>
      </rPr>
      <t xml:space="preserve">A của bài 20 trong sách, mỗi mẫu tự đặt 3 câu.</t>
    </r>
  </si>
  <si>
    <r>
      <rPr>
        <sz val="10"/>
        <rFont val="Arial"/>
        <family val="0"/>
        <charset val="1"/>
      </rPr>
      <t xml:space="preserve">Từ mới Minna bài 20:
• </t>
    </r>
    <r>
      <rPr>
        <sz val="10"/>
        <rFont val="Noto Sans CJK SC"/>
        <family val="2"/>
      </rPr>
      <t xml:space="preserve">きみ（君） </t>
    </r>
    <r>
      <rPr>
        <sz val="10"/>
        <rFont val="Arial"/>
        <family val="0"/>
        <charset val="1"/>
      </rPr>
      <t xml:space="preserve">= Cậu, bạn (thân mật)
   Mẹo: Dùng với người ngang hàng hoặc dưới. Cẩn thận khi dùng.
• </t>
    </r>
    <r>
      <rPr>
        <sz val="10"/>
        <rFont val="Noto Sans CJK SC"/>
        <family val="2"/>
      </rPr>
      <t xml:space="preserve">ふつう（普通） </t>
    </r>
    <r>
      <rPr>
        <sz val="10"/>
        <rFont val="Arial"/>
        <family val="0"/>
        <charset val="1"/>
      </rPr>
      <t xml:space="preserve">= Thông thường
   Mẹo: PHỔ THÔNG = bình thường. </t>
    </r>
    <r>
      <rPr>
        <sz val="10"/>
        <rFont val="Noto Sans CJK SC"/>
        <family val="2"/>
      </rPr>
      <t xml:space="preserve">普通形 </t>
    </r>
    <r>
      <rPr>
        <sz val="10"/>
        <rFont val="Arial"/>
        <family val="0"/>
        <charset val="1"/>
      </rPr>
      <t xml:space="preserve">= thể thông thường.
• </t>
    </r>
    <r>
      <rPr>
        <sz val="10"/>
        <rFont val="Noto Sans CJK SC"/>
        <family val="2"/>
      </rPr>
      <t xml:space="preserve">けんきゅうします（研究します） </t>
    </r>
    <r>
      <rPr>
        <sz val="10"/>
        <rFont val="Arial"/>
        <family val="0"/>
        <charset val="1"/>
      </rPr>
      <t xml:space="preserve">= Nghiên cứu
   Mẹo: NGHIÊN CỨU — âm Hán Việt y hệt.
• </t>
    </r>
    <r>
      <rPr>
        <sz val="10"/>
        <rFont val="Noto Sans CJK SC"/>
        <family val="2"/>
      </rPr>
      <t xml:space="preserve">だいがくいん（大学院） </t>
    </r>
    <r>
      <rPr>
        <sz val="10"/>
        <rFont val="Arial"/>
        <family val="0"/>
        <charset val="1"/>
      </rPr>
      <t xml:space="preserve">= Cao học
   Mẹo: ĐẠI HỌC VIỆN = viện sau đại học.
• </t>
    </r>
    <r>
      <rPr>
        <sz val="10"/>
        <rFont val="Noto Sans CJK SC"/>
        <family val="2"/>
      </rPr>
      <t xml:space="preserve">こくさい〜（国際〜） </t>
    </r>
    <r>
      <rPr>
        <sz val="10"/>
        <rFont val="Arial"/>
        <family val="0"/>
        <charset val="1"/>
      </rPr>
      <t xml:space="preserve">= Quốc tế ~
   Mẹo: QUỐC TẾ. </t>
    </r>
    <r>
      <rPr>
        <sz val="10"/>
        <rFont val="Noto Sans CJK SC"/>
        <family val="2"/>
      </rPr>
      <t xml:space="preserve">国際電話 </t>
    </r>
    <r>
      <rPr>
        <sz val="10"/>
        <rFont val="Arial"/>
        <family val="0"/>
        <charset val="1"/>
      </rPr>
      <t xml:space="preserve">= điện thoại quốc tế.
→ Đối chiếu thêm với mục </t>
    </r>
    <r>
      <rPr>
        <sz val="10"/>
        <rFont val="Noto Sans CJK SC"/>
        <family val="2"/>
      </rPr>
      <t xml:space="preserve">語彙 </t>
    </r>
    <r>
      <rPr>
        <sz val="10"/>
        <rFont val="Arial"/>
        <family val="0"/>
        <charset val="1"/>
      </rPr>
      <t xml:space="preserve">của bài 20 trong sách để bổ sung.</t>
    </r>
  </si>
  <si>
    <r>
      <rPr>
        <b val="true"/>
        <sz val="12"/>
        <color rgb="FF1F3864"/>
        <rFont val="Arial"/>
        <family val="0"/>
        <charset val="1"/>
      </rPr>
      <t xml:space="preserve">NGÀY 65  ·  Tuần 10  ·  Minna Bài 20 (3/3)  ·  Thể thông thường (</t>
    </r>
    <r>
      <rPr>
        <b val="true"/>
        <sz val="12"/>
        <color rgb="FF1F3864"/>
        <rFont val="Noto Sans CJK SC"/>
        <family val="2"/>
      </rPr>
      <t xml:space="preserve">普通形</t>
    </r>
    <r>
      <rPr>
        <b val="true"/>
        <sz val="12"/>
        <color rgb="FF1F3864"/>
        <rFont val="Arial"/>
        <family val="0"/>
        <charset val="1"/>
      </rPr>
      <t xml:space="preserve">)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</si>
  <si>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亠 </t>
    </r>
    <r>
      <rPr>
        <sz val="10"/>
        <rFont val="Arial"/>
        <family val="0"/>
        <charset val="1"/>
      </rPr>
      <t xml:space="preserve">(</t>
    </r>
    <r>
      <rPr>
        <sz val="10"/>
        <rFont val="Noto Sans CJK SC"/>
        <family val="2"/>
      </rPr>
      <t xml:space="preserve">なべぶた</t>
    </r>
    <r>
      <rPr>
        <sz val="10"/>
        <rFont val="Arial"/>
        <family val="0"/>
        <charset val="1"/>
      </rPr>
      <t xml:space="preserve">) = Nắp vung, phần che trên
   Mẹo nhớ: Trông như cái nắp nồi
   Kanji chứa bộ này: </t>
    </r>
    <r>
      <rPr>
        <sz val="10"/>
        <rFont val="Noto Sans CJK SC"/>
        <family val="2"/>
      </rPr>
      <t xml:space="preserve">高・京・交</t>
    </r>
  </si>
  <si>
    <r>
      <rPr>
        <sz val="10"/>
        <rFont val="Arial"/>
        <family val="0"/>
        <charset val="1"/>
      </rPr>
      <t xml:space="preserve">Học 2 chữ. Mỗi chữ viết tay 10 lần đúng thứ tự nét.
• </t>
    </r>
    <r>
      <rPr>
        <sz val="10"/>
        <rFont val="Noto Sans CJK SC"/>
        <family val="2"/>
      </rPr>
      <t xml:space="preserve">天 </t>
    </r>
    <r>
      <rPr>
        <sz val="10"/>
        <rFont val="Arial"/>
        <family val="0"/>
        <charset val="1"/>
      </rPr>
      <t xml:space="preserve">[THIÊN] Trời — On: </t>
    </r>
    <r>
      <rPr>
        <sz val="10"/>
        <rFont val="Noto Sans CJK SC"/>
        <family val="2"/>
      </rPr>
      <t xml:space="preserve">テン </t>
    </r>
    <r>
      <rPr>
        <sz val="10"/>
        <rFont val="Arial"/>
        <family val="0"/>
        <charset val="1"/>
      </rPr>
      <t xml:space="preserve">/ Kun: — (4 nét)
   Từ ghép: </t>
    </r>
    <r>
      <rPr>
        <sz val="10"/>
        <rFont val="Noto Sans CJK SC"/>
        <family val="2"/>
      </rPr>
      <t xml:space="preserve">天気 </t>
    </r>
    <r>
      <rPr>
        <sz val="10"/>
        <rFont val="Arial"/>
        <family val="0"/>
        <charset val="1"/>
      </rPr>
      <t xml:space="preserve">(</t>
    </r>
    <r>
      <rPr>
        <sz val="10"/>
        <rFont val="Noto Sans CJK SC"/>
        <family val="2"/>
      </rPr>
      <t xml:space="preserve">てんき</t>
    </r>
    <r>
      <rPr>
        <sz val="10"/>
        <rFont val="Arial"/>
        <family val="0"/>
        <charset val="1"/>
      </rPr>
      <t xml:space="preserve">) thời tiết </t>
    </r>
    <r>
      <rPr>
        <sz val="10"/>
        <rFont val="Noto Sans CJK SC"/>
        <family val="2"/>
      </rPr>
      <t xml:space="preserve">・ 天ぷら </t>
    </r>
    <r>
      <rPr>
        <sz val="10"/>
        <rFont val="Arial"/>
        <family val="0"/>
        <charset val="1"/>
      </rPr>
      <t xml:space="preserve">(</t>
    </r>
    <r>
      <rPr>
        <sz val="10"/>
        <rFont val="Noto Sans CJK SC"/>
        <family val="2"/>
      </rPr>
      <t xml:space="preserve">てんぷら</t>
    </r>
    <r>
      <rPr>
        <sz val="10"/>
        <rFont val="Arial"/>
        <family val="0"/>
        <charset val="1"/>
      </rPr>
      <t xml:space="preserve">) món tempura </t>
    </r>
    <r>
      <rPr>
        <sz val="10"/>
        <rFont val="Noto Sans CJK SC"/>
        <family val="2"/>
      </rPr>
      <t xml:space="preserve">・ 天国 </t>
    </r>
    <r>
      <rPr>
        <sz val="10"/>
        <rFont val="Arial"/>
        <family val="0"/>
        <charset val="1"/>
      </rPr>
      <t xml:space="preserve">(</t>
    </r>
    <r>
      <rPr>
        <sz val="10"/>
        <rFont val="Noto Sans CJK SC"/>
        <family val="2"/>
      </rPr>
      <t xml:space="preserve">てんごく</t>
    </r>
    <r>
      <rPr>
        <sz val="10"/>
        <rFont val="Arial"/>
        <family val="0"/>
        <charset val="1"/>
      </rPr>
      <t xml:space="preserve">) thiên đường
   Mẹo: Chữ </t>
    </r>
    <r>
      <rPr>
        <sz val="10"/>
        <rFont val="Noto Sans CJK SC"/>
        <family val="2"/>
      </rPr>
      <t xml:space="preserve">大 </t>
    </r>
    <r>
      <rPr>
        <sz val="10"/>
        <rFont val="Arial"/>
        <family val="0"/>
        <charset val="1"/>
      </rPr>
      <t xml:space="preserve">(người dang tay) có một vạch trần bên trên = bầu TRỜI ở trên đầu người.
• </t>
    </r>
    <r>
      <rPr>
        <sz val="10"/>
        <rFont val="Noto Sans CJK SC"/>
        <family val="2"/>
      </rPr>
      <t xml:space="preserve">買 </t>
    </r>
    <r>
      <rPr>
        <sz val="10"/>
        <rFont val="Arial"/>
        <family val="0"/>
        <charset val="1"/>
      </rPr>
      <t xml:space="preserve">[MÃI] Mua — On: </t>
    </r>
    <r>
      <rPr>
        <sz val="10"/>
        <rFont val="Noto Sans CJK SC"/>
        <family val="2"/>
      </rPr>
      <t xml:space="preserve">バイ </t>
    </r>
    <r>
      <rPr>
        <sz val="10"/>
        <rFont val="Arial"/>
        <family val="0"/>
        <charset val="1"/>
      </rPr>
      <t xml:space="preserve">/ Kun: </t>
    </r>
    <r>
      <rPr>
        <sz val="10"/>
        <rFont val="Noto Sans CJK SC"/>
        <family val="2"/>
      </rPr>
      <t xml:space="preserve">か</t>
    </r>
    <r>
      <rPr>
        <sz val="10"/>
        <rFont val="Arial"/>
        <family val="0"/>
        <charset val="1"/>
      </rPr>
      <t xml:space="preserve">(</t>
    </r>
    <r>
      <rPr>
        <sz val="10"/>
        <rFont val="Noto Sans CJK SC"/>
        <family val="2"/>
      </rPr>
      <t xml:space="preserve">う</t>
    </r>
    <r>
      <rPr>
        <sz val="10"/>
        <rFont val="Arial"/>
        <family val="0"/>
        <charset val="1"/>
      </rPr>
      <t xml:space="preserve">) (12 nét)
   Từ ghép: </t>
    </r>
    <r>
      <rPr>
        <sz val="10"/>
        <rFont val="Noto Sans CJK SC"/>
        <family val="2"/>
      </rPr>
      <t xml:space="preserve">買います </t>
    </r>
    <r>
      <rPr>
        <sz val="10"/>
        <rFont val="Arial"/>
        <family val="0"/>
        <charset val="1"/>
      </rPr>
      <t xml:space="preserve">(</t>
    </r>
    <r>
      <rPr>
        <sz val="10"/>
        <rFont val="Noto Sans CJK SC"/>
        <family val="2"/>
      </rPr>
      <t xml:space="preserve">かいます</t>
    </r>
    <r>
      <rPr>
        <sz val="10"/>
        <rFont val="Arial"/>
        <family val="0"/>
        <charset val="1"/>
      </rPr>
      <t xml:space="preserve">) mua </t>
    </r>
    <r>
      <rPr>
        <sz val="10"/>
        <rFont val="Noto Sans CJK SC"/>
        <family val="2"/>
      </rPr>
      <t xml:space="preserve">・ 買い物 </t>
    </r>
    <r>
      <rPr>
        <sz val="10"/>
        <rFont val="Arial"/>
        <family val="0"/>
        <charset val="1"/>
      </rPr>
      <t xml:space="preserve">(</t>
    </r>
    <r>
      <rPr>
        <sz val="10"/>
        <rFont val="Noto Sans CJK SC"/>
        <family val="2"/>
      </rPr>
      <t xml:space="preserve">かいもの</t>
    </r>
    <r>
      <rPr>
        <sz val="10"/>
        <rFont val="Arial"/>
        <family val="0"/>
        <charset val="1"/>
      </rPr>
      <t xml:space="preserve">) việc mua sắm </t>
    </r>
    <r>
      <rPr>
        <sz val="10"/>
        <rFont val="Noto Sans CJK SC"/>
        <family val="2"/>
      </rPr>
      <t xml:space="preserve">・ 売買 </t>
    </r>
    <r>
      <rPr>
        <sz val="10"/>
        <rFont val="Arial"/>
        <family val="0"/>
        <charset val="1"/>
      </rPr>
      <t xml:space="preserve">(</t>
    </r>
    <r>
      <rPr>
        <sz val="10"/>
        <rFont val="Noto Sans CJK SC"/>
        <family val="2"/>
      </rPr>
      <t xml:space="preserve">ばいばい</t>
    </r>
    <r>
      <rPr>
        <sz val="10"/>
        <rFont val="Arial"/>
        <family val="0"/>
        <charset val="1"/>
      </rPr>
      <t xml:space="preserve">) mua bán
   Mẹo: Cái lưới </t>
    </r>
    <r>
      <rPr>
        <sz val="10"/>
        <rFont val="Noto Sans CJK SC"/>
        <family val="2"/>
      </rPr>
      <t xml:space="preserve">罒 </t>
    </r>
    <r>
      <rPr>
        <sz val="10"/>
        <rFont val="Arial"/>
        <family val="0"/>
        <charset val="1"/>
      </rPr>
      <t xml:space="preserve">chụp lên </t>
    </r>
    <r>
      <rPr>
        <sz val="10"/>
        <rFont val="Noto Sans CJK SC"/>
        <family val="2"/>
      </rPr>
      <t xml:space="preserve">貝 </t>
    </r>
    <r>
      <rPr>
        <sz val="10"/>
        <rFont val="Arial"/>
        <family val="0"/>
        <charset val="1"/>
      </rPr>
      <t xml:space="preserve">(vỏ sò = tiền) = gom tiền lại để MUA.</t>
    </r>
  </si>
  <si>
    <r>
      <rPr>
        <sz val="10"/>
        <rFont val="Arial"/>
        <family val="0"/>
        <charset val="1"/>
      </rPr>
      <t xml:space="preserve">Minna bài 20 (3/3) — Thể thông thường (</t>
    </r>
    <r>
      <rPr>
        <sz val="10"/>
        <rFont val="Noto Sans CJK SC"/>
        <family val="2"/>
      </rPr>
      <t xml:space="preserve">普通形</t>
    </r>
    <r>
      <rPr>
        <sz val="10"/>
        <rFont val="Arial"/>
        <family val="0"/>
        <charset val="1"/>
      </rPr>
      <t xml:space="preserve">)
• Lược bỏ trợ từ  (Trong hội thoại thân mật, </t>
    </r>
    <r>
      <rPr>
        <sz val="10"/>
        <rFont val="Noto Sans CJK SC"/>
        <family val="2"/>
      </rPr>
      <t xml:space="preserve">は・が・を </t>
    </r>
    <r>
      <rPr>
        <sz val="10"/>
        <rFont val="Arial"/>
        <family val="0"/>
        <charset val="1"/>
      </rPr>
      <t xml:space="preserve">thường được lược bỏ.)
   Ví dụ: </t>
    </r>
    <r>
      <rPr>
        <sz val="10"/>
        <rFont val="Noto Sans CJK SC"/>
        <family val="2"/>
      </rPr>
      <t xml:space="preserve">ごはん、食べた？  </t>
    </r>
    <r>
      <rPr>
        <sz val="10"/>
        <rFont val="Arial"/>
        <family val="0"/>
        <charset val="1"/>
      </rPr>
      <t xml:space="preserve">= Ăn cơm chưa?
→ Làm </t>
    </r>
    <r>
      <rPr>
        <sz val="10"/>
        <rFont val="Noto Sans CJK SC"/>
        <family val="2"/>
      </rPr>
      <t xml:space="preserve">練習</t>
    </r>
    <r>
      <rPr>
        <sz val="10"/>
        <rFont val="Arial"/>
        <family val="0"/>
        <charset val="1"/>
      </rPr>
      <t xml:space="preserve">A của bài 20 trong sách, mỗi mẫu tự đặt 3 câu.</t>
    </r>
  </si>
  <si>
    <r>
      <rPr>
        <sz val="10"/>
        <rFont val="Arial"/>
        <family val="0"/>
        <charset val="1"/>
      </rPr>
      <t xml:space="preserve">Từ mới Minna bài 20:
• </t>
    </r>
    <r>
      <rPr>
        <sz val="10"/>
        <rFont val="Noto Sans CJK SC"/>
        <family val="2"/>
      </rPr>
      <t xml:space="preserve">じゃあ </t>
    </r>
    <r>
      <rPr>
        <sz val="10"/>
        <rFont val="Arial"/>
        <family val="0"/>
        <charset val="1"/>
      </rPr>
      <t xml:space="preserve">= Vậy thì
   Mẹo: Rút gọn của </t>
    </r>
    <r>
      <rPr>
        <sz val="10"/>
        <rFont val="Noto Sans CJK SC"/>
        <family val="2"/>
      </rPr>
      <t xml:space="preserve">では</t>
    </r>
    <r>
      <rPr>
        <sz val="10"/>
        <rFont val="Arial"/>
        <family val="0"/>
        <charset val="1"/>
      </rPr>
      <t xml:space="preserve">, dùng nhiều trong hội thoại.
• </t>
    </r>
    <r>
      <rPr>
        <sz val="10"/>
        <rFont val="Noto Sans CJK SC"/>
        <family val="2"/>
      </rPr>
      <t xml:space="preserve">うん </t>
    </r>
    <r>
      <rPr>
        <sz val="10"/>
        <rFont val="Arial"/>
        <family val="0"/>
        <charset val="1"/>
      </rPr>
      <t xml:space="preserve">/ </t>
    </r>
    <r>
      <rPr>
        <sz val="10"/>
        <rFont val="Noto Sans CJK SC"/>
        <family val="2"/>
      </rPr>
      <t xml:space="preserve">ううん </t>
    </r>
    <r>
      <rPr>
        <sz val="10"/>
        <rFont val="Arial"/>
        <family val="0"/>
        <charset val="1"/>
      </rPr>
      <t xml:space="preserve">= Ừ / không
   Mẹo: Dạng thân mật của </t>
    </r>
    <r>
      <rPr>
        <sz val="10"/>
        <rFont val="Noto Sans CJK SC"/>
        <family val="2"/>
      </rPr>
      <t xml:space="preserve">はい </t>
    </r>
    <r>
      <rPr>
        <sz val="10"/>
        <rFont val="Arial"/>
        <family val="0"/>
        <charset val="1"/>
      </rPr>
      <t xml:space="preserve">/ </t>
    </r>
    <r>
      <rPr>
        <sz val="10"/>
        <rFont val="Noto Sans CJK SC"/>
        <family val="2"/>
      </rPr>
      <t xml:space="preserve">いいえ</t>
    </r>
    <r>
      <rPr>
        <sz val="10"/>
        <rFont val="Arial"/>
        <family val="0"/>
        <charset val="1"/>
      </rPr>
      <t xml:space="preserve">.
• </t>
    </r>
    <r>
      <rPr>
        <sz val="10"/>
        <rFont val="Noto Sans CJK SC"/>
        <family val="2"/>
      </rPr>
      <t xml:space="preserve">すごい </t>
    </r>
    <r>
      <rPr>
        <sz val="10"/>
        <rFont val="Arial"/>
        <family val="0"/>
        <charset val="1"/>
      </rPr>
      <t xml:space="preserve">= Tuyệt, ghê gớm
   Mẹo: Vừa khen vừa chê tùy ngữ cảnh — nghe rất nhiều trong đời sống.
• </t>
    </r>
    <r>
      <rPr>
        <sz val="10"/>
        <rFont val="Noto Sans CJK SC"/>
        <family val="2"/>
      </rPr>
      <t xml:space="preserve">〜けど </t>
    </r>
    <r>
      <rPr>
        <sz val="10"/>
        <rFont val="Arial"/>
        <family val="0"/>
        <charset val="1"/>
      </rPr>
      <t xml:space="preserve">= Nhưng
   Mẹo: Dạng thân mật của </t>
    </r>
    <r>
      <rPr>
        <sz val="10"/>
        <rFont val="Noto Sans CJK SC"/>
        <family val="2"/>
      </rPr>
      <t xml:space="preserve">〜が</t>
    </r>
    <r>
      <rPr>
        <sz val="10"/>
        <rFont val="Arial"/>
        <family val="0"/>
        <charset val="1"/>
      </rPr>
      <t xml:space="preserve">.
→ Đối chiếu thêm với mục </t>
    </r>
    <r>
      <rPr>
        <sz val="10"/>
        <rFont val="Noto Sans CJK SC"/>
        <family val="2"/>
      </rPr>
      <t xml:space="preserve">語彙 </t>
    </r>
    <r>
      <rPr>
        <sz val="10"/>
        <rFont val="Arial"/>
        <family val="0"/>
        <charset val="1"/>
      </rPr>
      <t xml:space="preserve">của bài 20 trong sách để bổ sung.</t>
    </r>
  </si>
  <si>
    <r>
      <rPr>
        <b val="true"/>
        <sz val="12"/>
        <color rgb="FF1F3864"/>
        <rFont val="Arial"/>
        <family val="0"/>
        <charset val="1"/>
      </rPr>
      <t xml:space="preserve">NGÀY 66  ·  Tuần 10  ·  Minna Bài 21 (1/2)  ·  Ý kiến — </t>
    </r>
    <r>
      <rPr>
        <b val="true"/>
        <sz val="12"/>
        <color rgb="FF1F3864"/>
        <rFont val="Noto Sans CJK SC"/>
        <family val="2"/>
      </rPr>
      <t xml:space="preserve">と 思います </t>
    </r>
    <r>
      <rPr>
        <b val="true"/>
        <sz val="12"/>
        <color rgb="FF1F3864"/>
        <rFont val="Arial"/>
        <family val="0"/>
        <charset val="1"/>
      </rPr>
      <t xml:space="preserve">/ </t>
    </r>
    <r>
      <rPr>
        <b val="true"/>
        <sz val="12"/>
        <color rgb="FF1F3864"/>
        <rFont val="Noto Sans CJK SC"/>
        <family val="2"/>
      </rPr>
      <t xml:space="preserve">と 言います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</si>
  <si>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Bộ </t>
    </r>
    <r>
      <rPr>
        <sz val="10"/>
        <rFont val="Noto Sans CJK SC"/>
        <family val="2"/>
      </rPr>
      <t xml:space="preserve">尸 </t>
    </r>
    <r>
      <rPr>
        <sz val="10"/>
        <rFont val="Arial"/>
        <family val="0"/>
        <charset val="1"/>
      </rPr>
      <t xml:space="preserve">(</t>
    </r>
    <r>
      <rPr>
        <sz val="10"/>
        <rFont val="Noto Sans CJK SC"/>
        <family val="2"/>
      </rPr>
      <t xml:space="preserve">しかばね</t>
    </r>
    <r>
      <rPr>
        <sz val="10"/>
        <rFont val="Arial"/>
        <family val="0"/>
        <charset val="1"/>
      </rPr>
      <t xml:space="preserve">) = Mái, thân người nằm
   Mẹo nhớ: Người nằm nghiêng / mái che
   Kanji chứa bộ này: </t>
    </r>
    <r>
      <rPr>
        <sz val="10"/>
        <rFont val="Noto Sans CJK SC"/>
        <family val="2"/>
      </rPr>
      <t xml:space="preserve">屋・局・屋</t>
    </r>
  </si>
  <si>
    <r>
      <rPr>
        <sz val="10"/>
        <rFont val="Arial"/>
        <family val="0"/>
        <charset val="1"/>
      </rPr>
      <t xml:space="preserve">Học 2 chữ. Mỗi chữ viết tay 10 lần đúng thứ tự nét.
• </t>
    </r>
    <r>
      <rPr>
        <sz val="10"/>
        <rFont val="Noto Sans CJK SC"/>
        <family val="2"/>
      </rPr>
      <t xml:space="preserve">週 </t>
    </r>
    <r>
      <rPr>
        <sz val="10"/>
        <rFont val="Arial"/>
        <family val="0"/>
        <charset val="1"/>
      </rPr>
      <t xml:space="preserve">[CHU] Tuần — On: </t>
    </r>
    <r>
      <rPr>
        <sz val="10"/>
        <rFont val="Noto Sans CJK SC"/>
        <family val="2"/>
      </rPr>
      <t xml:space="preserve">シュウ </t>
    </r>
    <r>
      <rPr>
        <sz val="10"/>
        <rFont val="Arial"/>
        <family val="0"/>
        <charset val="1"/>
      </rPr>
      <t xml:space="preserve">/ Kun: — (11 nét)
   Từ ghép: </t>
    </r>
    <r>
      <rPr>
        <sz val="10"/>
        <rFont val="Noto Sans CJK SC"/>
        <family val="2"/>
      </rPr>
      <t xml:space="preserve">今週 </t>
    </r>
    <r>
      <rPr>
        <sz val="10"/>
        <rFont val="Arial"/>
        <family val="0"/>
        <charset val="1"/>
      </rPr>
      <t xml:space="preserve">(</t>
    </r>
    <r>
      <rPr>
        <sz val="10"/>
        <rFont val="Noto Sans CJK SC"/>
        <family val="2"/>
      </rPr>
      <t xml:space="preserve">こんしゅう</t>
    </r>
    <r>
      <rPr>
        <sz val="10"/>
        <rFont val="Arial"/>
        <family val="0"/>
        <charset val="1"/>
      </rPr>
      <t xml:space="preserve">) tuần này </t>
    </r>
    <r>
      <rPr>
        <sz val="10"/>
        <rFont val="Noto Sans CJK SC"/>
        <family val="2"/>
      </rPr>
      <t xml:space="preserve">・ 来週 </t>
    </r>
    <r>
      <rPr>
        <sz val="10"/>
        <rFont val="Arial"/>
        <family val="0"/>
        <charset val="1"/>
      </rPr>
      <t xml:space="preserve">(</t>
    </r>
    <r>
      <rPr>
        <sz val="10"/>
        <rFont val="Noto Sans CJK SC"/>
        <family val="2"/>
      </rPr>
      <t xml:space="preserve">らいしゅう</t>
    </r>
    <r>
      <rPr>
        <sz val="10"/>
        <rFont val="Arial"/>
        <family val="0"/>
        <charset val="1"/>
      </rPr>
      <t xml:space="preserve">) tuần sau </t>
    </r>
    <r>
      <rPr>
        <sz val="10"/>
        <rFont val="Noto Sans CJK SC"/>
        <family val="2"/>
      </rPr>
      <t xml:space="preserve">・ 週末 </t>
    </r>
    <r>
      <rPr>
        <sz val="10"/>
        <rFont val="Arial"/>
        <family val="0"/>
        <charset val="1"/>
      </rPr>
      <t xml:space="preserve">(</t>
    </r>
    <r>
      <rPr>
        <sz val="10"/>
        <rFont val="Noto Sans CJK SC"/>
        <family val="2"/>
      </rPr>
      <t xml:space="preserve">しゅうまつ</t>
    </r>
    <r>
      <rPr>
        <sz val="10"/>
        <rFont val="Arial"/>
        <family val="0"/>
        <charset val="1"/>
      </rPr>
      <t xml:space="preserve">) cuối tuần
   Mẹo: Bộ </t>
    </r>
    <r>
      <rPr>
        <sz val="10"/>
        <rFont val="Noto Sans CJK SC"/>
        <family val="2"/>
      </rPr>
      <t xml:space="preserve">辶 </t>
    </r>
    <r>
      <rPr>
        <sz val="10"/>
        <rFont val="Arial"/>
        <family val="0"/>
        <charset val="1"/>
      </rPr>
      <t xml:space="preserve">(di chuyển) + </t>
    </r>
    <r>
      <rPr>
        <sz val="10"/>
        <rFont val="Noto Sans CJK SC"/>
        <family val="2"/>
      </rPr>
      <t xml:space="preserve">周 </t>
    </r>
    <r>
      <rPr>
        <sz val="10"/>
        <rFont val="Arial"/>
        <family val="0"/>
        <charset val="1"/>
      </rPr>
      <t xml:space="preserve">(vòng quanh) = đi hết một VÒNG bảy ngày → một TUẦN.
• </t>
    </r>
    <r>
      <rPr>
        <sz val="10"/>
        <rFont val="Noto Sans CJK SC"/>
        <family val="2"/>
      </rPr>
      <t xml:space="preserve">母 </t>
    </r>
    <r>
      <rPr>
        <sz val="10"/>
        <rFont val="Arial"/>
        <family val="0"/>
        <charset val="1"/>
      </rPr>
      <t xml:space="preserve">[MẪU] Mẹ — On: </t>
    </r>
    <r>
      <rPr>
        <sz val="10"/>
        <rFont val="Noto Sans CJK SC"/>
        <family val="2"/>
      </rPr>
      <t xml:space="preserve">ボ </t>
    </r>
    <r>
      <rPr>
        <sz val="10"/>
        <rFont val="Arial"/>
        <family val="0"/>
        <charset val="1"/>
      </rPr>
      <t xml:space="preserve">/ Kun: </t>
    </r>
    <r>
      <rPr>
        <sz val="10"/>
        <rFont val="Noto Sans CJK SC"/>
        <family val="2"/>
      </rPr>
      <t xml:space="preserve">はは・かあ </t>
    </r>
    <r>
      <rPr>
        <sz val="10"/>
        <rFont val="Arial"/>
        <family val="0"/>
        <charset val="1"/>
      </rPr>
      <t xml:space="preserve">(5 nét)
   Từ ghép: </t>
    </r>
    <r>
      <rPr>
        <sz val="10"/>
        <rFont val="Noto Sans CJK SC"/>
        <family val="2"/>
      </rPr>
      <t xml:space="preserve">母 </t>
    </r>
    <r>
      <rPr>
        <sz val="10"/>
        <rFont val="Arial"/>
        <family val="0"/>
        <charset val="1"/>
      </rPr>
      <t xml:space="preserve">(</t>
    </r>
    <r>
      <rPr>
        <sz val="10"/>
        <rFont val="Noto Sans CJK SC"/>
        <family val="2"/>
      </rPr>
      <t xml:space="preserve">はは</t>
    </r>
    <r>
      <rPr>
        <sz val="10"/>
        <rFont val="Arial"/>
        <family val="0"/>
        <charset val="1"/>
      </rPr>
      <t xml:space="preserve">) mẹ tôi </t>
    </r>
    <r>
      <rPr>
        <sz val="10"/>
        <rFont val="Noto Sans CJK SC"/>
        <family val="2"/>
      </rPr>
      <t xml:space="preserve">・ お母さん </t>
    </r>
    <r>
      <rPr>
        <sz val="10"/>
        <rFont val="Arial"/>
        <family val="0"/>
        <charset val="1"/>
      </rPr>
      <t xml:space="preserve">(</t>
    </r>
    <r>
      <rPr>
        <sz val="10"/>
        <rFont val="Noto Sans CJK SC"/>
        <family val="2"/>
      </rPr>
      <t xml:space="preserve">おかあさん</t>
    </r>
    <r>
      <rPr>
        <sz val="10"/>
        <rFont val="Arial"/>
        <family val="0"/>
        <charset val="1"/>
      </rPr>
      <t xml:space="preserve">) mẹ </t>
    </r>
    <r>
      <rPr>
        <sz val="10"/>
        <rFont val="Noto Sans CJK SC"/>
        <family val="2"/>
      </rPr>
      <t xml:space="preserve">・ 母国 </t>
    </r>
    <r>
      <rPr>
        <sz val="10"/>
        <rFont val="Arial"/>
        <family val="0"/>
        <charset val="1"/>
      </rPr>
      <t xml:space="preserve">(</t>
    </r>
    <r>
      <rPr>
        <sz val="10"/>
        <rFont val="Noto Sans CJK SC"/>
        <family val="2"/>
      </rPr>
      <t xml:space="preserve">ぼこく</t>
    </r>
    <r>
      <rPr>
        <sz val="10"/>
        <rFont val="Arial"/>
        <family val="0"/>
        <charset val="1"/>
      </rPr>
      <t xml:space="preserve">) tổ quốc
   Mẹo: Hình người phụ nữ với hai chấm là bầu ngực nuôi con → MẸ.</t>
    </r>
  </si>
  <si>
    <r>
      <rPr>
        <sz val="10"/>
        <rFont val="Arial"/>
        <family val="0"/>
        <charset val="1"/>
      </rPr>
      <t xml:space="preserve">Minna bài 21 (1/2) — Ý kiến — </t>
    </r>
    <r>
      <rPr>
        <sz val="10"/>
        <rFont val="Noto Sans CJK SC"/>
        <family val="2"/>
      </rPr>
      <t xml:space="preserve">と 思います </t>
    </r>
    <r>
      <rPr>
        <sz val="10"/>
        <rFont val="Arial"/>
        <family val="0"/>
        <charset val="1"/>
      </rPr>
      <t xml:space="preserve">/ </t>
    </r>
    <r>
      <rPr>
        <sz val="10"/>
        <rFont val="Noto Sans CJK SC"/>
        <family val="2"/>
      </rPr>
      <t xml:space="preserve">と 言います
• 普通形 と 思います  </t>
    </r>
    <r>
      <rPr>
        <sz val="10"/>
        <rFont val="Arial"/>
        <family val="0"/>
        <charset val="1"/>
      </rPr>
      <t xml:space="preserve">(Tôi nghĩ rằng ~. Trước </t>
    </r>
    <r>
      <rPr>
        <sz val="10"/>
        <rFont val="Noto Sans CJK SC"/>
        <family val="2"/>
      </rPr>
      <t xml:space="preserve">思います </t>
    </r>
    <r>
      <rPr>
        <sz val="10"/>
        <rFont val="Arial"/>
        <family val="0"/>
        <charset val="1"/>
      </rPr>
      <t xml:space="preserve">luôn dùng thể thông thường.)
   Ví dụ: </t>
    </r>
    <r>
      <rPr>
        <sz val="10"/>
        <rFont val="Noto Sans CJK SC"/>
        <family val="2"/>
      </rPr>
      <t xml:space="preserve">田中さんは もう 帰ったと 思います。  </t>
    </r>
    <r>
      <rPr>
        <sz val="10"/>
        <rFont val="Arial"/>
        <family val="0"/>
        <charset val="1"/>
      </rPr>
      <t xml:space="preserve">= Tôi nghĩ anh Tanaka đã về rồi.
• </t>
    </r>
    <r>
      <rPr>
        <sz val="10"/>
        <rFont val="Noto Sans CJK SC"/>
        <family val="2"/>
      </rPr>
      <t xml:space="preserve">普通形 と 言います  </t>
    </r>
    <r>
      <rPr>
        <sz val="10"/>
        <rFont val="Arial"/>
        <family val="0"/>
        <charset val="1"/>
      </rPr>
      <t xml:space="preserve">(Nói rằng ~. Trích dẫn gián tiếp.)
   Ví dụ: </t>
    </r>
    <r>
      <rPr>
        <sz val="10"/>
        <rFont val="Noto Sans CJK SC"/>
        <family val="2"/>
      </rPr>
      <t xml:space="preserve">山田さんは あした 来ると 言いました。  </t>
    </r>
    <r>
      <rPr>
        <sz val="10"/>
        <rFont val="Arial"/>
        <family val="0"/>
        <charset val="1"/>
      </rPr>
      <t xml:space="preserve">= Anh Yamada nói rằng mai sẽ đến.
→ Làm </t>
    </r>
    <r>
      <rPr>
        <sz val="10"/>
        <rFont val="Noto Sans CJK SC"/>
        <family val="2"/>
      </rPr>
      <t xml:space="preserve">練習</t>
    </r>
    <r>
      <rPr>
        <sz val="10"/>
        <rFont val="Arial"/>
        <family val="0"/>
        <charset val="1"/>
      </rPr>
      <t xml:space="preserve">A của bài 21 trong sách, mỗi mẫu tự đặt 3 câu.</t>
    </r>
  </si>
  <si>
    <r>
      <rPr>
        <sz val="10"/>
        <rFont val="Arial"/>
        <family val="0"/>
        <charset val="1"/>
      </rPr>
      <t xml:space="preserve">Từ mới Minna bài 21:
• </t>
    </r>
    <r>
      <rPr>
        <sz val="10"/>
        <rFont val="Noto Sans CJK SC"/>
        <family val="2"/>
      </rPr>
      <t xml:space="preserve">おもいます（思います） </t>
    </r>
    <r>
      <rPr>
        <sz val="10"/>
        <rFont val="Arial"/>
        <family val="0"/>
        <charset val="1"/>
      </rPr>
      <t xml:space="preserve">= Nghĩ
   Mẹo: </t>
    </r>
    <r>
      <rPr>
        <sz val="10"/>
        <rFont val="Noto Sans CJK SC"/>
        <family val="2"/>
      </rPr>
      <t xml:space="preserve">思 </t>
    </r>
    <r>
      <rPr>
        <sz val="10"/>
        <rFont val="Arial"/>
        <family val="0"/>
        <charset val="1"/>
      </rPr>
      <t xml:space="preserve">= </t>
    </r>
    <r>
      <rPr>
        <sz val="10"/>
        <rFont val="Noto Sans CJK SC"/>
        <family val="2"/>
      </rPr>
      <t xml:space="preserve">田 </t>
    </r>
    <r>
      <rPr>
        <sz val="10"/>
        <rFont val="Arial"/>
        <family val="0"/>
        <charset val="1"/>
      </rPr>
      <t xml:space="preserve">(ruộng/não) + </t>
    </r>
    <r>
      <rPr>
        <sz val="10"/>
        <rFont val="Noto Sans CJK SC"/>
        <family val="2"/>
      </rPr>
      <t xml:space="preserve">心 </t>
    </r>
    <r>
      <rPr>
        <sz val="10"/>
        <rFont val="Arial"/>
        <family val="0"/>
        <charset val="1"/>
      </rPr>
      <t xml:space="preserve">(tim) → đầu và tim cùng NGHĨ.
• </t>
    </r>
    <r>
      <rPr>
        <sz val="10"/>
        <rFont val="Noto Sans CJK SC"/>
        <family val="2"/>
      </rPr>
      <t xml:space="preserve">いいます（言います） </t>
    </r>
    <r>
      <rPr>
        <sz val="10"/>
        <rFont val="Arial"/>
        <family val="0"/>
        <charset val="1"/>
      </rPr>
      <t xml:space="preserve">= Nói
   Mẹo: </t>
    </r>
    <r>
      <rPr>
        <sz val="10"/>
        <rFont val="Noto Sans CJK SC"/>
        <family val="2"/>
      </rPr>
      <t xml:space="preserve">言 </t>
    </r>
    <r>
      <rPr>
        <sz val="10"/>
        <rFont val="Arial"/>
        <family val="0"/>
        <charset val="1"/>
      </rPr>
      <t xml:space="preserve">= miệng phát ra sóng âm.
• </t>
    </r>
    <r>
      <rPr>
        <sz val="10"/>
        <rFont val="Noto Sans CJK SC"/>
        <family val="2"/>
      </rPr>
      <t xml:space="preserve">たります（足ります） </t>
    </r>
    <r>
      <rPr>
        <sz val="10"/>
        <rFont val="Arial"/>
        <family val="0"/>
        <charset val="1"/>
      </rPr>
      <t xml:space="preserve">= Đủ
   Mẹo: </t>
    </r>
    <r>
      <rPr>
        <sz val="10"/>
        <rFont val="Noto Sans CJK SC"/>
        <family val="2"/>
      </rPr>
      <t xml:space="preserve">足 </t>
    </r>
    <r>
      <rPr>
        <sz val="10"/>
        <rFont val="Arial"/>
        <family val="0"/>
        <charset val="1"/>
      </rPr>
      <t xml:space="preserve">(chân/đủ). </t>
    </r>
    <r>
      <rPr>
        <sz val="10"/>
        <rFont val="Noto Sans CJK SC"/>
        <family val="2"/>
      </rPr>
      <t xml:space="preserve">お金が 足りません </t>
    </r>
    <r>
      <rPr>
        <sz val="10"/>
        <rFont val="Arial"/>
        <family val="0"/>
        <charset val="1"/>
      </rPr>
      <t xml:space="preserve">= không đủ tiền.
• </t>
    </r>
    <r>
      <rPr>
        <sz val="10"/>
        <rFont val="Noto Sans CJK SC"/>
        <family val="2"/>
      </rPr>
      <t xml:space="preserve">かちます（勝ちます） </t>
    </r>
    <r>
      <rPr>
        <sz val="10"/>
        <rFont val="Arial"/>
        <family val="0"/>
        <charset val="1"/>
      </rPr>
      <t xml:space="preserve">= Thắng
   Mẹo: </t>
    </r>
    <r>
      <rPr>
        <sz val="10"/>
        <rFont val="Noto Sans CJK SC"/>
        <family val="2"/>
      </rPr>
      <t xml:space="preserve">勝 </t>
    </r>
    <r>
      <rPr>
        <sz val="10"/>
        <rFont val="Arial"/>
        <family val="0"/>
        <charset val="1"/>
      </rPr>
      <t xml:space="preserve">có bộ </t>
    </r>
    <r>
      <rPr>
        <sz val="10"/>
        <rFont val="Noto Sans CJK SC"/>
        <family val="2"/>
      </rPr>
      <t xml:space="preserve">力 </t>
    </r>
    <r>
      <rPr>
        <sz val="10"/>
        <rFont val="Arial"/>
        <family val="0"/>
        <charset val="1"/>
      </rPr>
      <t xml:space="preserve">(sức mạnh) → có sức thì THẮNG.
• </t>
    </r>
    <r>
      <rPr>
        <sz val="10"/>
        <rFont val="Noto Sans CJK SC"/>
        <family val="2"/>
      </rPr>
      <t xml:space="preserve">まけます（負けます） </t>
    </r>
    <r>
      <rPr>
        <sz val="10"/>
        <rFont val="Arial"/>
        <family val="0"/>
        <charset val="1"/>
      </rPr>
      <t xml:space="preserve">= Thua
   Mẹo: </t>
    </r>
    <r>
      <rPr>
        <sz val="10"/>
        <rFont val="Noto Sans CJK SC"/>
        <family val="2"/>
      </rPr>
      <t xml:space="preserve">負 </t>
    </r>
    <r>
      <rPr>
        <sz val="10"/>
        <rFont val="Arial"/>
        <family val="0"/>
        <charset val="1"/>
      </rPr>
      <t xml:space="preserve">có </t>
    </r>
    <r>
      <rPr>
        <sz val="10"/>
        <rFont val="Noto Sans CJK SC"/>
        <family val="2"/>
      </rPr>
      <t xml:space="preserve">貝 </t>
    </r>
    <r>
      <rPr>
        <sz val="10"/>
        <rFont val="Arial"/>
        <family val="0"/>
        <charset val="1"/>
      </rPr>
      <t xml:space="preserve">(tiền) → thua là mất tiền.
• </t>
    </r>
    <r>
      <rPr>
        <sz val="10"/>
        <rFont val="Noto Sans CJK SC"/>
        <family val="2"/>
      </rPr>
      <t xml:space="preserve">いけん（意見） </t>
    </r>
    <r>
      <rPr>
        <sz val="10"/>
        <rFont val="Arial"/>
        <family val="0"/>
        <charset val="1"/>
      </rPr>
      <t xml:space="preserve">= Ý kiến
   Mẹo: Ý KIẾN — âm Hán Việt y hệt tiếng Việt.
• </t>
    </r>
    <r>
      <rPr>
        <sz val="10"/>
        <rFont val="Noto Sans CJK SC"/>
        <family val="2"/>
      </rPr>
      <t xml:space="preserve">かいぎ（会議） </t>
    </r>
    <r>
      <rPr>
        <sz val="10"/>
        <rFont val="Arial"/>
        <family val="0"/>
        <charset val="1"/>
      </rPr>
      <t xml:space="preserve">= Cuộc họp
   Mẹo: HỘI NGHỊ. </t>
    </r>
    <r>
      <rPr>
        <sz val="10"/>
        <rFont val="Noto Sans CJK SC"/>
        <family val="2"/>
      </rPr>
      <t xml:space="preserve">会議室 </t>
    </r>
    <r>
      <rPr>
        <sz val="10"/>
        <rFont val="Arial"/>
        <family val="0"/>
        <charset val="1"/>
      </rPr>
      <t xml:space="preserve">= phòng họp, đã học ở bài 3.
→ Đối chiếu thêm với mục </t>
    </r>
    <r>
      <rPr>
        <sz val="10"/>
        <rFont val="Noto Sans CJK SC"/>
        <family val="2"/>
      </rPr>
      <t xml:space="preserve">語彙 </t>
    </r>
    <r>
      <rPr>
        <sz val="10"/>
        <rFont val="Arial"/>
        <family val="0"/>
        <charset val="1"/>
      </rPr>
      <t xml:space="preserve">của bài 21 trong sách để bổ sung.</t>
    </r>
  </si>
  <si>
    <r>
      <rPr>
        <b val="true"/>
        <sz val="12"/>
        <color rgb="FF1F3864"/>
        <rFont val="Arial"/>
        <family val="0"/>
        <charset val="1"/>
      </rPr>
      <t xml:space="preserve">NGÀY 67  ·  Tuần 10  ·  Minna Bài 21 (2/2)  ·  Ý kiến — </t>
    </r>
    <r>
      <rPr>
        <b val="true"/>
        <sz val="12"/>
        <color rgb="FF1F3864"/>
        <rFont val="Noto Sans CJK SC"/>
        <family val="2"/>
      </rPr>
      <t xml:space="preserve">と 思います </t>
    </r>
    <r>
      <rPr>
        <b val="true"/>
        <sz val="12"/>
        <color rgb="FF1F3864"/>
        <rFont val="Arial"/>
        <family val="0"/>
        <charset val="1"/>
      </rPr>
      <t xml:space="preserve">/ </t>
    </r>
    <r>
      <rPr>
        <b val="true"/>
        <sz val="12"/>
        <color rgb="FF1F3864"/>
        <rFont val="Noto Sans CJK SC"/>
        <family val="2"/>
      </rPr>
      <t xml:space="preserve">と 言います      〔</t>
    </r>
    <r>
      <rPr>
        <b val="true"/>
        <sz val="12"/>
        <color rgb="FF1F3864"/>
        <rFont val="Arial"/>
        <family val="0"/>
        <charset val="1"/>
      </rPr>
      <t xml:space="preserve">100 phút · 6 việc</t>
    </r>
    <r>
      <rPr>
        <b val="true"/>
        <sz val="12"/>
        <color rgb="FF1F3864"/>
        <rFont val="Noto Sans CJK SC"/>
        <family val="2"/>
      </rPr>
      <t xml:space="preserve">〕</t>
    </r>
  </si>
  <si>
    <t xml:space="preserve">Ôn lại 5 bộ thủ bất kỳ đã học: nhìn bộ nói nghĩa.</t>
  </si>
  <si>
    <r>
      <rPr>
        <sz val="10"/>
        <rFont val="Arial"/>
        <family val="0"/>
        <charset val="1"/>
      </rPr>
      <t xml:space="preserve">Học 2 chữ. Mỗi chữ viết tay 10 lần đúng thứ tự nét.
• </t>
    </r>
    <r>
      <rPr>
        <sz val="10"/>
        <rFont val="Noto Sans CJK SC"/>
        <family val="2"/>
      </rPr>
      <t xml:space="preserve">火 </t>
    </r>
    <r>
      <rPr>
        <sz val="10"/>
        <rFont val="Arial"/>
        <family val="0"/>
        <charset val="1"/>
      </rPr>
      <t xml:space="preserve">[HỎA] Lửa — On: </t>
    </r>
    <r>
      <rPr>
        <sz val="10"/>
        <rFont val="Noto Sans CJK SC"/>
        <family val="2"/>
      </rPr>
      <t xml:space="preserve">カ </t>
    </r>
    <r>
      <rPr>
        <sz val="10"/>
        <rFont val="Arial"/>
        <family val="0"/>
        <charset val="1"/>
      </rPr>
      <t xml:space="preserve">/ Kun: </t>
    </r>
    <r>
      <rPr>
        <sz val="10"/>
        <rFont val="Noto Sans CJK SC"/>
        <family val="2"/>
      </rPr>
      <t xml:space="preserve">ひ </t>
    </r>
    <r>
      <rPr>
        <sz val="10"/>
        <rFont val="Arial"/>
        <family val="0"/>
        <charset val="1"/>
      </rPr>
      <t xml:space="preserve">(4 nét)
   Từ ghép: </t>
    </r>
    <r>
      <rPr>
        <sz val="10"/>
        <rFont val="Noto Sans CJK SC"/>
        <family val="2"/>
      </rPr>
      <t xml:space="preserve">火曜日 </t>
    </r>
    <r>
      <rPr>
        <sz val="10"/>
        <rFont val="Arial"/>
        <family val="0"/>
        <charset val="1"/>
      </rPr>
      <t xml:space="preserve">(</t>
    </r>
    <r>
      <rPr>
        <sz val="10"/>
        <rFont val="Noto Sans CJK SC"/>
        <family val="2"/>
      </rPr>
      <t xml:space="preserve">かようび</t>
    </r>
    <r>
      <rPr>
        <sz val="10"/>
        <rFont val="Arial"/>
        <family val="0"/>
        <charset val="1"/>
      </rPr>
      <t xml:space="preserve">) thứ Ba </t>
    </r>
    <r>
      <rPr>
        <sz val="10"/>
        <rFont val="Noto Sans CJK SC"/>
        <family val="2"/>
      </rPr>
      <t xml:space="preserve">・ 火 </t>
    </r>
    <r>
      <rPr>
        <sz val="10"/>
        <rFont val="Arial"/>
        <family val="0"/>
        <charset val="1"/>
      </rPr>
      <t xml:space="preserve">(</t>
    </r>
    <r>
      <rPr>
        <sz val="10"/>
        <rFont val="Noto Sans CJK SC"/>
        <family val="2"/>
      </rPr>
      <t xml:space="preserve">ひ</t>
    </r>
    <r>
      <rPr>
        <sz val="10"/>
        <rFont val="Arial"/>
        <family val="0"/>
        <charset val="1"/>
      </rPr>
      <t xml:space="preserve">) lửa </t>
    </r>
    <r>
      <rPr>
        <sz val="10"/>
        <rFont val="Noto Sans CJK SC"/>
        <family val="2"/>
      </rPr>
      <t xml:space="preserve">・ 花火 </t>
    </r>
    <r>
      <rPr>
        <sz val="10"/>
        <rFont val="Arial"/>
        <family val="0"/>
        <charset val="1"/>
      </rPr>
      <t xml:space="preserve">(</t>
    </r>
    <r>
      <rPr>
        <sz val="10"/>
        <rFont val="Noto Sans CJK SC"/>
        <family val="2"/>
      </rPr>
      <t xml:space="preserve">はなび</t>
    </r>
    <r>
      <rPr>
        <sz val="10"/>
        <rFont val="Arial"/>
        <family val="0"/>
        <charset val="1"/>
      </rPr>
      <t xml:space="preserve">) pháo hoa
   Mẹo: Ngọn LỬA đang cháy với các tia bắn ra hai bên.
• </t>
    </r>
    <r>
      <rPr>
        <sz val="10"/>
        <rFont val="Noto Sans CJK SC"/>
        <family val="2"/>
      </rPr>
      <t xml:space="preserve">花 </t>
    </r>
    <r>
      <rPr>
        <sz val="10"/>
        <rFont val="Arial"/>
        <family val="0"/>
        <charset val="1"/>
      </rPr>
      <t xml:space="preserve">[HOA] Hoa — On: </t>
    </r>
    <r>
      <rPr>
        <sz val="10"/>
        <rFont val="Noto Sans CJK SC"/>
        <family val="2"/>
      </rPr>
      <t xml:space="preserve">カ </t>
    </r>
    <r>
      <rPr>
        <sz val="10"/>
        <rFont val="Arial"/>
        <family val="0"/>
        <charset val="1"/>
      </rPr>
      <t xml:space="preserve">/ Kun: </t>
    </r>
    <r>
      <rPr>
        <sz val="10"/>
        <rFont val="Noto Sans CJK SC"/>
        <family val="2"/>
      </rPr>
      <t xml:space="preserve">はな </t>
    </r>
    <r>
      <rPr>
        <sz val="10"/>
        <rFont val="Arial"/>
        <family val="0"/>
        <charset val="1"/>
      </rPr>
      <t xml:space="preserve">(7 nét)
   Từ ghép: </t>
    </r>
    <r>
      <rPr>
        <sz val="10"/>
        <rFont val="Noto Sans CJK SC"/>
        <family val="2"/>
      </rPr>
      <t xml:space="preserve">花 </t>
    </r>
    <r>
      <rPr>
        <sz val="10"/>
        <rFont val="Arial"/>
        <family val="0"/>
        <charset val="1"/>
      </rPr>
      <t xml:space="preserve">(</t>
    </r>
    <r>
      <rPr>
        <sz val="10"/>
        <rFont val="Noto Sans CJK SC"/>
        <family val="2"/>
      </rPr>
      <t xml:space="preserve">はな</t>
    </r>
    <r>
      <rPr>
        <sz val="10"/>
        <rFont val="Arial"/>
        <family val="0"/>
        <charset val="1"/>
      </rPr>
      <t xml:space="preserve">) hoa </t>
    </r>
    <r>
      <rPr>
        <sz val="10"/>
        <rFont val="Noto Sans CJK SC"/>
        <family val="2"/>
      </rPr>
      <t xml:space="preserve">・ 花見 </t>
    </r>
    <r>
      <rPr>
        <sz val="10"/>
        <rFont val="Arial"/>
        <family val="0"/>
        <charset val="1"/>
      </rPr>
      <t xml:space="preserve">(</t>
    </r>
    <r>
      <rPr>
        <sz val="10"/>
        <rFont val="Noto Sans CJK SC"/>
        <family val="2"/>
      </rPr>
      <t xml:space="preserve">はなみ</t>
    </r>
    <r>
      <rPr>
        <sz val="10"/>
        <rFont val="Arial"/>
        <family val="0"/>
        <charset val="1"/>
      </rPr>
      <t xml:space="preserve">) ngắm hoa </t>
    </r>
    <r>
      <rPr>
        <sz val="10"/>
        <rFont val="Noto Sans CJK SC"/>
        <family val="2"/>
      </rPr>
      <t xml:space="preserve">・ 生け花 </t>
    </r>
    <r>
      <rPr>
        <sz val="10"/>
        <rFont val="Arial"/>
        <family val="0"/>
        <charset val="1"/>
      </rPr>
      <t xml:space="preserve">(</t>
    </r>
    <r>
      <rPr>
        <sz val="10"/>
        <rFont val="Noto Sans CJK SC"/>
        <family val="2"/>
      </rPr>
      <t xml:space="preserve">いけばな</t>
    </r>
    <r>
      <rPr>
        <sz val="10"/>
        <rFont val="Arial"/>
        <family val="0"/>
        <charset val="1"/>
      </rPr>
      <t xml:space="preserve">) cắm hoa
   Mẹo: Bộ </t>
    </r>
    <r>
      <rPr>
        <sz val="10"/>
        <rFont val="Noto Sans CJK SC"/>
        <family val="2"/>
      </rPr>
      <t xml:space="preserve">艹 </t>
    </r>
    <r>
      <rPr>
        <sz val="10"/>
        <rFont val="Arial"/>
        <family val="0"/>
        <charset val="1"/>
      </rPr>
      <t xml:space="preserve">(cỏ cây) + </t>
    </r>
    <r>
      <rPr>
        <sz val="10"/>
        <rFont val="Noto Sans CJK SC"/>
        <family val="2"/>
      </rPr>
      <t xml:space="preserve">化 </t>
    </r>
    <r>
      <rPr>
        <sz val="10"/>
        <rFont val="Arial"/>
        <family val="0"/>
        <charset val="1"/>
      </rPr>
      <t xml:space="preserve">(biến hóa) = cây cỏ biến hóa thành thứ đẹp đẽ → HOA.</t>
    </r>
  </si>
  <si>
    <r>
      <rPr>
        <sz val="10"/>
        <rFont val="Arial"/>
        <family val="0"/>
        <charset val="1"/>
      </rPr>
      <t xml:space="preserve">Minna bài 21 (2/2) — Ý kiến — </t>
    </r>
    <r>
      <rPr>
        <sz val="10"/>
        <rFont val="Noto Sans CJK SC"/>
        <family val="2"/>
      </rPr>
      <t xml:space="preserve">と 思います </t>
    </r>
    <r>
      <rPr>
        <sz val="10"/>
        <rFont val="Arial"/>
        <family val="0"/>
        <charset val="1"/>
      </rPr>
      <t xml:space="preserve">/ </t>
    </r>
    <r>
      <rPr>
        <sz val="10"/>
        <rFont val="Noto Sans CJK SC"/>
        <family val="2"/>
      </rPr>
      <t xml:space="preserve">と 言います
• 普通形 でしょう？  </t>
    </r>
    <r>
      <rPr>
        <sz val="10"/>
        <rFont val="Arial"/>
        <family val="0"/>
        <charset val="1"/>
      </rPr>
      <t xml:space="preserve">(~ đúng không? Xác nhận thông tin, lên giọng cuối câu.)
   Ví dụ: </t>
    </r>
    <r>
      <rPr>
        <sz val="10"/>
        <rFont val="Noto Sans CJK SC"/>
        <family val="2"/>
      </rPr>
      <t xml:space="preserve">あした 雨が 降るでしょう。  </t>
    </r>
    <r>
      <rPr>
        <sz val="10"/>
        <rFont val="Arial"/>
        <family val="0"/>
        <charset val="1"/>
      </rPr>
      <t xml:space="preserve">= Chắc ngày mai trời sẽ mưa.
• N / </t>
    </r>
    <r>
      <rPr>
        <sz val="10"/>
        <rFont val="Noto Sans CJK SC"/>
        <family val="2"/>
      </rPr>
      <t xml:space="preserve">場所 で  </t>
    </r>
    <r>
      <rPr>
        <sz val="10"/>
        <rFont val="Arial"/>
        <family val="0"/>
        <charset val="1"/>
      </rPr>
      <t xml:space="preserve">(</t>
    </r>
    <r>
      <rPr>
        <sz val="10"/>
        <rFont val="Noto Sans CJK SC"/>
        <family val="2"/>
      </rPr>
      <t xml:space="preserve">で </t>
    </r>
    <r>
      <rPr>
        <sz val="10"/>
        <rFont val="Arial"/>
        <family val="0"/>
        <charset val="1"/>
      </rPr>
      <t xml:space="preserve">cũng chỉ phạm vi, hoàn cảnh diễn ra sự việc.)
   Ví dụ: </t>
    </r>
    <r>
      <rPr>
        <sz val="10"/>
        <rFont val="Noto Sans CJK SC"/>
        <family val="2"/>
      </rPr>
      <t xml:space="preserve">会議で 意見を 言います。  </t>
    </r>
    <r>
      <rPr>
        <sz val="10"/>
        <rFont val="Arial"/>
        <family val="0"/>
        <charset val="1"/>
      </rPr>
      <t xml:space="preserve">= Tôi phát biểu ý kiến trong cuộc họp.
→ Làm </t>
    </r>
    <r>
      <rPr>
        <sz val="10"/>
        <rFont val="Noto Sans CJK SC"/>
        <family val="2"/>
      </rPr>
      <t xml:space="preserve">練習</t>
    </r>
    <r>
      <rPr>
        <sz val="10"/>
        <rFont val="Arial"/>
        <family val="0"/>
        <charset val="1"/>
      </rPr>
      <t xml:space="preserve">A của bài 21 trong sách, mỗi mẫu tự đặt 3 câu.</t>
    </r>
  </si>
  <si>
    <r>
      <rPr>
        <sz val="10"/>
        <rFont val="Arial"/>
        <family val="0"/>
        <charset val="1"/>
      </rPr>
      <t xml:space="preserve">Từ mới Minna bài 21:
• </t>
    </r>
    <r>
      <rPr>
        <sz val="10"/>
        <rFont val="Noto Sans CJK SC"/>
        <family val="2"/>
      </rPr>
      <t xml:space="preserve">ニュース </t>
    </r>
    <r>
      <rPr>
        <sz val="10"/>
        <rFont val="Arial"/>
        <family val="0"/>
        <charset val="1"/>
      </rPr>
      <t xml:space="preserve">= Tin tức
   Mẹo: Từ 'news'.
• </t>
    </r>
    <r>
      <rPr>
        <sz val="10"/>
        <rFont val="Noto Sans CJK SC"/>
        <family val="2"/>
      </rPr>
      <t xml:space="preserve">せいじ（政治） </t>
    </r>
    <r>
      <rPr>
        <sz val="10"/>
        <rFont val="Arial"/>
        <family val="0"/>
        <charset val="1"/>
      </rPr>
      <t xml:space="preserve">= Chính trị
   Mẹo: CHÍNH TRỊ — âm Hán Việt y hệt.
• </t>
    </r>
    <r>
      <rPr>
        <sz val="10"/>
        <rFont val="Noto Sans CJK SC"/>
        <family val="2"/>
      </rPr>
      <t xml:space="preserve">しあい（試合） </t>
    </r>
    <r>
      <rPr>
        <sz val="10"/>
        <rFont val="Arial"/>
        <family val="0"/>
        <charset val="1"/>
      </rPr>
      <t xml:space="preserve">= Trận đấu
   Mẹo: THÍ HỢP = cuộc thử sức. </t>
    </r>
    <r>
      <rPr>
        <sz val="10"/>
        <rFont val="Noto Sans CJK SC"/>
        <family val="2"/>
      </rPr>
      <t xml:space="preserve">サッカーの 試合 </t>
    </r>
    <r>
      <rPr>
        <sz val="10"/>
        <rFont val="Arial"/>
        <family val="0"/>
        <charset val="1"/>
      </rPr>
      <t xml:space="preserve">= trận bóng đá.
• </t>
    </r>
    <r>
      <rPr>
        <sz val="10"/>
        <rFont val="Noto Sans CJK SC"/>
        <family val="2"/>
      </rPr>
      <t xml:space="preserve">むだ</t>
    </r>
    <r>
      <rPr>
        <sz val="10"/>
        <rFont val="Arial"/>
        <family val="0"/>
        <charset val="1"/>
      </rPr>
      <t xml:space="preserve">[</t>
    </r>
    <r>
      <rPr>
        <sz val="10"/>
        <rFont val="Noto Sans CJK SC"/>
        <family val="2"/>
      </rPr>
      <t xml:space="preserve">な</t>
    </r>
    <r>
      <rPr>
        <sz val="10"/>
        <rFont val="Arial"/>
        <family val="0"/>
        <charset val="1"/>
      </rPr>
      <t xml:space="preserve">] = Lãng phí, vô ích
   Mẹo: </t>
    </r>
    <r>
      <rPr>
        <sz val="10"/>
        <rFont val="Noto Sans CJK SC"/>
        <family val="2"/>
      </rPr>
      <t xml:space="preserve">むだな 時間 </t>
    </r>
    <r>
      <rPr>
        <sz val="10"/>
        <rFont val="Arial"/>
        <family val="0"/>
        <charset val="1"/>
      </rPr>
      <t xml:space="preserve">= thời gian lãng phí.
• </t>
    </r>
    <r>
      <rPr>
        <sz val="10"/>
        <rFont val="Noto Sans CJK SC"/>
        <family val="2"/>
      </rPr>
      <t xml:space="preserve">ほんとう（本当） </t>
    </r>
    <r>
      <rPr>
        <sz val="10"/>
        <rFont val="Arial"/>
        <family val="0"/>
        <charset val="1"/>
      </rPr>
      <t xml:space="preserve">= Thật, sự thật
   Mẹo: BẢN ĐƯƠNG = đúng như bản chất. </t>
    </r>
    <r>
      <rPr>
        <sz val="10"/>
        <rFont val="Noto Sans CJK SC"/>
        <family val="2"/>
      </rPr>
      <t xml:space="preserve">ほんとうですか </t>
    </r>
    <r>
      <rPr>
        <sz val="10"/>
        <rFont val="Arial"/>
        <family val="0"/>
        <charset val="1"/>
      </rPr>
      <t xml:space="preserve">= thật à?
• </t>
    </r>
    <r>
      <rPr>
        <sz val="10"/>
        <rFont val="Noto Sans CJK SC"/>
        <family val="2"/>
      </rPr>
      <t xml:space="preserve">たぶん（多分） </t>
    </r>
    <r>
      <rPr>
        <sz val="10"/>
        <rFont val="Arial"/>
        <family val="0"/>
        <charset val="1"/>
      </rPr>
      <t xml:space="preserve">= Có lẽ
   Mẹo: ĐA PHÂN = phần nhiều khả năng là vậy.
• </t>
    </r>
    <r>
      <rPr>
        <sz val="10"/>
        <rFont val="Noto Sans CJK SC"/>
        <family val="2"/>
      </rPr>
      <t xml:space="preserve">きっと </t>
    </r>
    <r>
      <rPr>
        <sz val="10"/>
        <rFont val="Arial"/>
        <family val="0"/>
        <charset val="1"/>
      </rPr>
      <t xml:space="preserve">= Chắc chắn
   Mẹo: Mạnh hơn </t>
    </r>
    <r>
      <rPr>
        <sz val="10"/>
        <rFont val="Noto Sans CJK SC"/>
        <family val="2"/>
      </rPr>
      <t xml:space="preserve">たぶん</t>
    </r>
    <r>
      <rPr>
        <sz val="10"/>
        <rFont val="Arial"/>
        <family val="0"/>
        <charset val="1"/>
      </rPr>
      <t xml:space="preserve">. </t>
    </r>
    <r>
      <rPr>
        <sz val="10"/>
        <rFont val="Noto Sans CJK SC"/>
        <family val="2"/>
      </rPr>
      <t xml:space="preserve">きっと 来ます </t>
    </r>
    <r>
      <rPr>
        <sz val="10"/>
        <rFont val="Arial"/>
        <family val="0"/>
        <charset val="1"/>
      </rPr>
      <t xml:space="preserve">= chắc chắn sẽ đến.
→ Đối chiếu thêm với mục </t>
    </r>
    <r>
      <rPr>
        <sz val="10"/>
        <rFont val="Noto Sans CJK SC"/>
        <family val="2"/>
      </rPr>
      <t xml:space="preserve">語彙 </t>
    </r>
    <r>
      <rPr>
        <sz val="10"/>
        <rFont val="Arial"/>
        <family val="0"/>
        <charset val="1"/>
      </rPr>
      <t xml:space="preserve">của bài 21 trong sách để bổ sung.</t>
    </r>
  </si>
  <si>
    <r>
      <rPr>
        <b val="true"/>
        <sz val="12"/>
        <color rgb="FF1F3864"/>
        <rFont val="Arial"/>
        <family val="0"/>
        <charset val="1"/>
      </rPr>
      <t xml:space="preserve">NGÀY 68  ·  Tuần 10  ·  Minna Bài 22 (1/2)  ·  Mệnh đề bổ nghĩa danh từ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</si>
  <si>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Học 2 chữ. Mỗi chữ viết tay 10 lần đúng thứ tự nét.
• </t>
    </r>
    <r>
      <rPr>
        <sz val="10"/>
        <rFont val="Noto Sans CJK SC"/>
        <family val="2"/>
      </rPr>
      <t xml:space="preserve">右 </t>
    </r>
    <r>
      <rPr>
        <sz val="10"/>
        <rFont val="Arial"/>
        <family val="0"/>
        <charset val="1"/>
      </rPr>
      <t xml:space="preserve">[HỮU] Bên phải — On: </t>
    </r>
    <r>
      <rPr>
        <sz val="10"/>
        <rFont val="Noto Sans CJK SC"/>
        <family val="2"/>
      </rPr>
      <t xml:space="preserve">ウ・ユウ </t>
    </r>
    <r>
      <rPr>
        <sz val="10"/>
        <rFont val="Arial"/>
        <family val="0"/>
        <charset val="1"/>
      </rPr>
      <t xml:space="preserve">/ Kun: </t>
    </r>
    <r>
      <rPr>
        <sz val="10"/>
        <rFont val="Noto Sans CJK SC"/>
        <family val="2"/>
      </rPr>
      <t xml:space="preserve">みぎ </t>
    </r>
    <r>
      <rPr>
        <sz val="10"/>
        <rFont val="Arial"/>
        <family val="0"/>
        <charset val="1"/>
      </rPr>
      <t xml:space="preserve">(5 nét)
   Từ ghép: </t>
    </r>
    <r>
      <rPr>
        <sz val="10"/>
        <rFont val="Noto Sans CJK SC"/>
        <family val="2"/>
      </rPr>
      <t xml:space="preserve">右 </t>
    </r>
    <r>
      <rPr>
        <sz val="10"/>
        <rFont val="Arial"/>
        <family val="0"/>
        <charset val="1"/>
      </rPr>
      <t xml:space="preserve">(</t>
    </r>
    <r>
      <rPr>
        <sz val="10"/>
        <rFont val="Noto Sans CJK SC"/>
        <family val="2"/>
      </rPr>
      <t xml:space="preserve">みぎ</t>
    </r>
    <r>
      <rPr>
        <sz val="10"/>
        <rFont val="Arial"/>
        <family val="0"/>
        <charset val="1"/>
      </rPr>
      <t xml:space="preserve">) bên phải </t>
    </r>
    <r>
      <rPr>
        <sz val="10"/>
        <rFont val="Noto Sans CJK SC"/>
        <family val="2"/>
      </rPr>
      <t xml:space="preserve">・ 右手 </t>
    </r>
    <r>
      <rPr>
        <sz val="10"/>
        <rFont val="Arial"/>
        <family val="0"/>
        <charset val="1"/>
      </rPr>
      <t xml:space="preserve">(</t>
    </r>
    <r>
      <rPr>
        <sz val="10"/>
        <rFont val="Noto Sans CJK SC"/>
        <family val="2"/>
      </rPr>
      <t xml:space="preserve">みぎて</t>
    </r>
    <r>
      <rPr>
        <sz val="10"/>
        <rFont val="Arial"/>
        <family val="0"/>
        <charset val="1"/>
      </rPr>
      <t xml:space="preserve">) tay phải </t>
    </r>
    <r>
      <rPr>
        <sz val="10"/>
        <rFont val="Noto Sans CJK SC"/>
        <family val="2"/>
      </rPr>
      <t xml:space="preserve">・ 左右 </t>
    </r>
    <r>
      <rPr>
        <sz val="10"/>
        <rFont val="Arial"/>
        <family val="0"/>
        <charset val="1"/>
      </rPr>
      <t xml:space="preserve">(</t>
    </r>
    <r>
      <rPr>
        <sz val="10"/>
        <rFont val="Noto Sans CJK SC"/>
        <family val="2"/>
      </rPr>
      <t xml:space="preserve">さゆう</t>
    </r>
    <r>
      <rPr>
        <sz val="10"/>
        <rFont val="Arial"/>
        <family val="0"/>
        <charset val="1"/>
      </rPr>
      <t xml:space="preserve">) trái phải
   Mẹo: Bàn tay đưa lên che </t>
    </r>
    <r>
      <rPr>
        <sz val="10"/>
        <rFont val="Noto Sans CJK SC"/>
        <family val="2"/>
      </rPr>
      <t xml:space="preserve">口 </t>
    </r>
    <r>
      <rPr>
        <sz val="10"/>
        <rFont val="Arial"/>
        <family val="0"/>
        <charset val="1"/>
      </rPr>
      <t xml:space="preserve">(miệng) khi ăn = tay PHẢI (tay cầm đũa). Phân biệt với </t>
    </r>
    <r>
      <rPr>
        <sz val="10"/>
        <rFont val="Noto Sans CJK SC"/>
        <family val="2"/>
      </rPr>
      <t xml:space="preserve">左 </t>
    </r>
    <r>
      <rPr>
        <sz val="10"/>
        <rFont val="Arial"/>
        <family val="0"/>
        <charset val="1"/>
      </rPr>
      <t xml:space="preserve">bằng chữ </t>
    </r>
    <r>
      <rPr>
        <sz val="10"/>
        <rFont val="Noto Sans CJK SC"/>
        <family val="2"/>
      </rPr>
      <t xml:space="preserve">口 </t>
    </r>
    <r>
      <rPr>
        <sz val="10"/>
        <rFont val="Arial"/>
        <family val="0"/>
        <charset val="1"/>
      </rPr>
      <t xml:space="preserve">bên dưới.
• </t>
    </r>
    <r>
      <rPr>
        <sz val="10"/>
        <rFont val="Noto Sans CJK SC"/>
        <family val="2"/>
      </rPr>
      <t xml:space="preserve">読 </t>
    </r>
    <r>
      <rPr>
        <sz val="10"/>
        <rFont val="Arial"/>
        <family val="0"/>
        <charset val="1"/>
      </rPr>
      <t xml:space="preserve">[ĐỘC] Đọc — On: </t>
    </r>
    <r>
      <rPr>
        <sz val="10"/>
        <rFont val="Noto Sans CJK SC"/>
        <family val="2"/>
      </rPr>
      <t xml:space="preserve">ドク </t>
    </r>
    <r>
      <rPr>
        <sz val="10"/>
        <rFont val="Arial"/>
        <family val="0"/>
        <charset val="1"/>
      </rPr>
      <t xml:space="preserve">/ Kun: </t>
    </r>
    <r>
      <rPr>
        <sz val="10"/>
        <rFont val="Noto Sans CJK SC"/>
        <family val="2"/>
      </rPr>
      <t xml:space="preserve">よ</t>
    </r>
    <r>
      <rPr>
        <sz val="10"/>
        <rFont val="Arial"/>
        <family val="0"/>
        <charset val="1"/>
      </rPr>
      <t xml:space="preserve">(</t>
    </r>
    <r>
      <rPr>
        <sz val="10"/>
        <rFont val="Noto Sans CJK SC"/>
        <family val="2"/>
      </rPr>
      <t xml:space="preserve">む</t>
    </r>
    <r>
      <rPr>
        <sz val="10"/>
        <rFont val="Arial"/>
        <family val="0"/>
        <charset val="1"/>
      </rPr>
      <t xml:space="preserve">) (14 nét)
   Từ ghép: </t>
    </r>
    <r>
      <rPr>
        <sz val="10"/>
        <rFont val="Noto Sans CJK SC"/>
        <family val="2"/>
      </rPr>
      <t xml:space="preserve">読みます </t>
    </r>
    <r>
      <rPr>
        <sz val="10"/>
        <rFont val="Arial"/>
        <family val="0"/>
        <charset val="1"/>
      </rPr>
      <t xml:space="preserve">(</t>
    </r>
    <r>
      <rPr>
        <sz val="10"/>
        <rFont val="Noto Sans CJK SC"/>
        <family val="2"/>
      </rPr>
      <t xml:space="preserve">よみます</t>
    </r>
    <r>
      <rPr>
        <sz val="10"/>
        <rFont val="Arial"/>
        <family val="0"/>
        <charset val="1"/>
      </rPr>
      <t xml:space="preserve">) đọc </t>
    </r>
    <r>
      <rPr>
        <sz val="10"/>
        <rFont val="Noto Sans CJK SC"/>
        <family val="2"/>
      </rPr>
      <t xml:space="preserve">・ 読書 </t>
    </r>
    <r>
      <rPr>
        <sz val="10"/>
        <rFont val="Arial"/>
        <family val="0"/>
        <charset val="1"/>
      </rPr>
      <t xml:space="preserve">(</t>
    </r>
    <r>
      <rPr>
        <sz val="10"/>
        <rFont val="Noto Sans CJK SC"/>
        <family val="2"/>
      </rPr>
      <t xml:space="preserve">どくしょ</t>
    </r>
    <r>
      <rPr>
        <sz val="10"/>
        <rFont val="Arial"/>
        <family val="0"/>
        <charset val="1"/>
      </rPr>
      <t xml:space="preserve">) việc đọc sách </t>
    </r>
    <r>
      <rPr>
        <sz val="10"/>
        <rFont val="Noto Sans CJK SC"/>
        <family val="2"/>
      </rPr>
      <t xml:space="preserve">・ 音読み </t>
    </r>
    <r>
      <rPr>
        <sz val="10"/>
        <rFont val="Arial"/>
        <family val="0"/>
        <charset val="1"/>
      </rPr>
      <t xml:space="preserve">(</t>
    </r>
    <r>
      <rPr>
        <sz val="10"/>
        <rFont val="Noto Sans CJK SC"/>
        <family val="2"/>
      </rPr>
      <t xml:space="preserve">おんよみ</t>
    </r>
    <r>
      <rPr>
        <sz val="10"/>
        <rFont val="Arial"/>
        <family val="0"/>
        <charset val="1"/>
      </rPr>
      <t xml:space="preserve">) âm On
   Mẹo: </t>
    </r>
    <r>
      <rPr>
        <sz val="10"/>
        <rFont val="Noto Sans CJK SC"/>
        <family val="2"/>
      </rPr>
      <t xml:space="preserve">言 </t>
    </r>
    <r>
      <rPr>
        <sz val="10"/>
        <rFont val="Arial"/>
        <family val="0"/>
        <charset val="1"/>
      </rPr>
      <t xml:space="preserve">(lời nói) + </t>
    </r>
    <r>
      <rPr>
        <sz val="10"/>
        <rFont val="Noto Sans CJK SC"/>
        <family val="2"/>
      </rPr>
      <t xml:space="preserve">売 </t>
    </r>
    <r>
      <rPr>
        <sz val="10"/>
        <rFont val="Arial"/>
        <family val="0"/>
        <charset val="1"/>
      </rPr>
      <t xml:space="preserve">(bán) = đọc to lời rao bán hàng → ĐỌC.</t>
    </r>
  </si>
  <si>
    <r>
      <rPr>
        <sz val="10"/>
        <rFont val="Arial"/>
        <family val="0"/>
        <charset val="1"/>
      </rPr>
      <t xml:space="preserve">Minna bài 22 (1/2) — Mệnh đề bổ nghĩa danh từ
• </t>
    </r>
    <r>
      <rPr>
        <sz val="10"/>
        <rFont val="Noto Sans CJK SC"/>
        <family val="2"/>
      </rPr>
      <t xml:space="preserve">普通形 </t>
    </r>
    <r>
      <rPr>
        <sz val="10"/>
        <rFont val="Arial"/>
        <family val="0"/>
        <charset val="1"/>
      </rPr>
      <t xml:space="preserve">+ N  (Dùng cả một mệnh đề để bổ nghĩa cho danh từ. Đây là nền tảng của mọi câu dài.)
   Ví dụ: </t>
    </r>
    <r>
      <rPr>
        <sz val="10"/>
        <rFont val="Noto Sans CJK SC"/>
        <family val="2"/>
      </rPr>
      <t xml:space="preserve">これは 田中さんが 作った ケーキです。  </t>
    </r>
    <r>
      <rPr>
        <sz val="10"/>
        <rFont val="Arial"/>
        <family val="0"/>
        <charset val="1"/>
      </rPr>
      <t xml:space="preserve">= Đây là chiếc bánh mà anh Tanaka đã làm.
• Trong mệnh đề bổ nghĩa, </t>
    </r>
    <r>
      <rPr>
        <sz val="10"/>
        <rFont val="Noto Sans CJK SC"/>
        <family val="2"/>
      </rPr>
      <t xml:space="preserve">が </t>
    </r>
    <r>
      <rPr>
        <sz val="10"/>
        <rFont val="Arial"/>
        <family val="0"/>
        <charset val="1"/>
      </rPr>
      <t xml:space="preserve">thay cho </t>
    </r>
    <r>
      <rPr>
        <sz val="10"/>
        <rFont val="Noto Sans CJK SC"/>
        <family val="2"/>
      </rPr>
      <t xml:space="preserve">は  </t>
    </r>
    <r>
      <rPr>
        <sz val="10"/>
        <rFont val="Arial"/>
        <family val="0"/>
        <charset val="1"/>
      </rPr>
      <t xml:space="preserve">(Chủ ngữ của mệnh đề phụ luôn dùng </t>
    </r>
    <r>
      <rPr>
        <sz val="10"/>
        <rFont val="Noto Sans CJK SC"/>
        <family val="2"/>
      </rPr>
      <t xml:space="preserve">が</t>
    </r>
    <r>
      <rPr>
        <sz val="10"/>
        <rFont val="Arial"/>
        <family val="0"/>
        <charset val="1"/>
      </rPr>
      <t xml:space="preserve">.)
   Ví dụ: </t>
    </r>
    <r>
      <rPr>
        <sz val="10"/>
        <rFont val="Noto Sans CJK SC"/>
        <family val="2"/>
      </rPr>
      <t xml:space="preserve">わたしが 住んで いる 町は 静かです。  </t>
    </r>
    <r>
      <rPr>
        <sz val="10"/>
        <rFont val="Arial"/>
        <family val="0"/>
        <charset val="1"/>
      </rPr>
      <t xml:space="preserve">= Thị trấn tôi đang sống rất yên tĩnh.
→ Làm </t>
    </r>
    <r>
      <rPr>
        <sz val="10"/>
        <rFont val="Noto Sans CJK SC"/>
        <family val="2"/>
      </rPr>
      <t xml:space="preserve">練習</t>
    </r>
    <r>
      <rPr>
        <sz val="10"/>
        <rFont val="Arial"/>
        <family val="0"/>
        <charset val="1"/>
      </rPr>
      <t xml:space="preserve">A của bài 22 trong sách, mỗi mẫu tự đặt 3 câu.</t>
    </r>
  </si>
  <si>
    <r>
      <rPr>
        <sz val="10"/>
        <rFont val="Arial"/>
        <family val="0"/>
        <charset val="1"/>
      </rPr>
      <t xml:space="preserve">Từ mới Minna bài 22:
• </t>
    </r>
    <r>
      <rPr>
        <sz val="10"/>
        <rFont val="Noto Sans CJK SC"/>
        <family val="2"/>
      </rPr>
      <t xml:space="preserve">きます（着ます） </t>
    </r>
    <r>
      <rPr>
        <sz val="10"/>
        <rFont val="Arial"/>
        <family val="0"/>
        <charset val="1"/>
      </rPr>
      <t xml:space="preserve">= Mặc (áo)
   Mẹo: </t>
    </r>
    <r>
      <rPr>
        <sz val="10"/>
        <rFont val="Noto Sans CJK SC"/>
        <family val="2"/>
      </rPr>
      <t xml:space="preserve">着 </t>
    </r>
    <r>
      <rPr>
        <sz val="10"/>
        <rFont val="Arial"/>
        <family val="0"/>
        <charset val="1"/>
      </rPr>
      <t xml:space="preserve">dùng cho phần thân trên. Quần và giày dùng </t>
    </r>
    <r>
      <rPr>
        <sz val="10"/>
        <rFont val="Noto Sans CJK SC"/>
        <family val="2"/>
      </rPr>
      <t xml:space="preserve">はきます</t>
    </r>
    <r>
      <rPr>
        <sz val="10"/>
        <rFont val="Arial"/>
        <family val="0"/>
        <charset val="1"/>
      </rPr>
      <t xml:space="preserve">.
• </t>
    </r>
    <r>
      <rPr>
        <sz val="10"/>
        <rFont val="Noto Sans CJK SC"/>
        <family val="2"/>
      </rPr>
      <t xml:space="preserve">はきます </t>
    </r>
    <r>
      <rPr>
        <sz val="10"/>
        <rFont val="Arial"/>
        <family val="0"/>
        <charset val="1"/>
      </rPr>
      <t xml:space="preserve">= Mang, đi (quần, giày)
   Mẹo: Phần thân dưới: </t>
    </r>
    <r>
      <rPr>
        <sz val="10"/>
        <rFont val="Noto Sans CJK SC"/>
        <family val="2"/>
      </rPr>
      <t xml:space="preserve">ズボン</t>
    </r>
    <r>
      <rPr>
        <sz val="10"/>
        <rFont val="Arial"/>
        <family val="0"/>
        <charset val="1"/>
      </rPr>
      <t xml:space="preserve">, </t>
    </r>
    <r>
      <rPr>
        <sz val="10"/>
        <rFont val="Noto Sans CJK SC"/>
        <family val="2"/>
      </rPr>
      <t xml:space="preserve">くつ</t>
    </r>
    <r>
      <rPr>
        <sz val="10"/>
        <rFont val="Arial"/>
        <family val="0"/>
        <charset val="1"/>
      </rPr>
      <t xml:space="preserve">, </t>
    </r>
    <r>
      <rPr>
        <sz val="10"/>
        <rFont val="Noto Sans CJK SC"/>
        <family val="2"/>
      </rPr>
      <t xml:space="preserve">くつした</t>
    </r>
    <r>
      <rPr>
        <sz val="10"/>
        <rFont val="Arial"/>
        <family val="0"/>
        <charset val="1"/>
      </rPr>
      <t xml:space="preserve">.
• </t>
    </r>
    <r>
      <rPr>
        <sz val="10"/>
        <rFont val="Noto Sans CJK SC"/>
        <family val="2"/>
      </rPr>
      <t xml:space="preserve">かぶります </t>
    </r>
    <r>
      <rPr>
        <sz val="10"/>
        <rFont val="Arial"/>
        <family val="0"/>
        <charset val="1"/>
      </rPr>
      <t xml:space="preserve">= Đội (mũ)
   Mẹo: </t>
    </r>
    <r>
      <rPr>
        <sz val="10"/>
        <rFont val="Noto Sans CJK SC"/>
        <family val="2"/>
      </rPr>
      <t xml:space="preserve">帽子を かぶります </t>
    </r>
    <r>
      <rPr>
        <sz val="10"/>
        <rFont val="Arial"/>
        <family val="0"/>
        <charset val="1"/>
      </rPr>
      <t xml:space="preserve">= đội mũ.
• </t>
    </r>
    <r>
      <rPr>
        <sz val="10"/>
        <rFont val="Noto Sans CJK SC"/>
        <family val="2"/>
      </rPr>
      <t xml:space="preserve">かけます </t>
    </r>
    <r>
      <rPr>
        <sz val="10"/>
        <rFont val="Arial"/>
        <family val="0"/>
        <charset val="1"/>
      </rPr>
      <t xml:space="preserve">= Đeo (kính)
   Mẹo: </t>
    </r>
    <r>
      <rPr>
        <sz val="10"/>
        <rFont val="Noto Sans CJK SC"/>
        <family val="2"/>
      </rPr>
      <t xml:space="preserve">めがねを かけます </t>
    </r>
    <r>
      <rPr>
        <sz val="10"/>
        <rFont val="Arial"/>
        <family val="0"/>
        <charset val="1"/>
      </rPr>
      <t xml:space="preserve">= đeo kính.
• </t>
    </r>
    <r>
      <rPr>
        <sz val="10"/>
        <rFont val="Noto Sans CJK SC"/>
        <family val="2"/>
      </rPr>
      <t xml:space="preserve">うまれます（生まれます） </t>
    </r>
    <r>
      <rPr>
        <sz val="10"/>
        <rFont val="Arial"/>
        <family val="0"/>
        <charset val="1"/>
      </rPr>
      <t xml:space="preserve">= Được sinh ra
   Mẹo: </t>
    </r>
    <r>
      <rPr>
        <sz val="10"/>
        <rFont val="Noto Sans CJK SC"/>
        <family val="2"/>
      </rPr>
      <t xml:space="preserve">生 </t>
    </r>
    <r>
      <rPr>
        <sz val="10"/>
        <rFont val="Arial"/>
        <family val="0"/>
        <charset val="1"/>
      </rPr>
      <t xml:space="preserve">(sinh). 1990</t>
    </r>
    <r>
      <rPr>
        <sz val="10"/>
        <rFont val="Noto Sans CJK SC"/>
        <family val="2"/>
      </rPr>
      <t xml:space="preserve">年に 生まれました </t>
    </r>
    <r>
      <rPr>
        <sz val="10"/>
        <rFont val="Arial"/>
        <family val="0"/>
        <charset val="1"/>
      </rPr>
      <t xml:space="preserve">= sinh năm 1990.
• </t>
    </r>
    <r>
      <rPr>
        <sz val="10"/>
        <rFont val="Noto Sans CJK SC"/>
        <family val="2"/>
      </rPr>
      <t xml:space="preserve">ようじ（用事） </t>
    </r>
    <r>
      <rPr>
        <sz val="10"/>
        <rFont val="Arial"/>
        <family val="0"/>
        <charset val="1"/>
      </rPr>
      <t xml:space="preserve">= Việc bận
   Mẹo: DỤNG SỰ = việc cần làm. </t>
    </r>
    <r>
      <rPr>
        <sz val="10"/>
        <rFont val="Noto Sans CJK SC"/>
        <family val="2"/>
      </rPr>
      <t xml:space="preserve">用事が あります </t>
    </r>
    <r>
      <rPr>
        <sz val="10"/>
        <rFont val="Arial"/>
        <family val="0"/>
        <charset val="1"/>
      </rPr>
      <t xml:space="preserve">= tôi có việc bận.
• </t>
    </r>
    <r>
      <rPr>
        <sz val="10"/>
        <rFont val="Noto Sans CJK SC"/>
        <family val="2"/>
      </rPr>
      <t xml:space="preserve">やくそく（約束） </t>
    </r>
    <r>
      <rPr>
        <sz val="10"/>
        <rFont val="Arial"/>
        <family val="0"/>
        <charset val="1"/>
      </rPr>
      <t xml:space="preserve">= Lời hứa, cuộc hẹn
   Mẹo: ƯỚC THÚC = ràng buộc bằng lời hứa.
→ Đối chiếu thêm với mục </t>
    </r>
    <r>
      <rPr>
        <sz val="10"/>
        <rFont val="Noto Sans CJK SC"/>
        <family val="2"/>
      </rPr>
      <t xml:space="preserve">語彙 </t>
    </r>
    <r>
      <rPr>
        <sz val="10"/>
        <rFont val="Arial"/>
        <family val="0"/>
        <charset val="1"/>
      </rPr>
      <t xml:space="preserve">của bài 22 trong sách để bổ sung.</t>
    </r>
  </si>
  <si>
    <r>
      <rPr>
        <b val="true"/>
        <sz val="12"/>
        <color rgb="FF1F3864"/>
        <rFont val="Arial"/>
        <family val="0"/>
        <charset val="1"/>
      </rPr>
      <t xml:space="preserve">NGÀY 69  ·  Tuần 10  ·  Minna Bài 22 (2/2)  ·  Mệnh đề bổ nghĩa danh từ      </t>
    </r>
    <r>
      <rPr>
        <b val="true"/>
        <sz val="12"/>
        <color rgb="FF1F3864"/>
        <rFont val="Noto Sans CJK SC"/>
        <family val="2"/>
      </rPr>
      <t xml:space="preserve">〔</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</si>
  <si>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Học 2 chữ. Mỗi chữ viết tay 10 lần đúng thứ tự nét.
• </t>
    </r>
    <r>
      <rPr>
        <sz val="10"/>
        <rFont val="Noto Sans CJK SC"/>
        <family val="2"/>
      </rPr>
      <t xml:space="preserve">友 </t>
    </r>
    <r>
      <rPr>
        <sz val="10"/>
        <rFont val="Arial"/>
        <family val="0"/>
        <charset val="1"/>
      </rPr>
      <t xml:space="preserve">[HỮU] Bạn bè — On: </t>
    </r>
    <r>
      <rPr>
        <sz val="10"/>
        <rFont val="Noto Sans CJK SC"/>
        <family val="2"/>
      </rPr>
      <t xml:space="preserve">ユウ </t>
    </r>
    <r>
      <rPr>
        <sz val="10"/>
        <rFont val="Arial"/>
        <family val="0"/>
        <charset val="1"/>
      </rPr>
      <t xml:space="preserve">/ Kun: </t>
    </r>
    <r>
      <rPr>
        <sz val="10"/>
        <rFont val="Noto Sans CJK SC"/>
        <family val="2"/>
      </rPr>
      <t xml:space="preserve">とも </t>
    </r>
    <r>
      <rPr>
        <sz val="10"/>
        <rFont val="Arial"/>
        <family val="0"/>
        <charset val="1"/>
      </rPr>
      <t xml:space="preserve">(4 nét)
   Từ ghép: </t>
    </r>
    <r>
      <rPr>
        <sz val="10"/>
        <rFont val="Noto Sans CJK SC"/>
        <family val="2"/>
      </rPr>
      <t xml:space="preserve">友だち </t>
    </r>
    <r>
      <rPr>
        <sz val="10"/>
        <rFont val="Arial"/>
        <family val="0"/>
        <charset val="1"/>
      </rPr>
      <t xml:space="preserve">(</t>
    </r>
    <r>
      <rPr>
        <sz val="10"/>
        <rFont val="Noto Sans CJK SC"/>
        <family val="2"/>
      </rPr>
      <t xml:space="preserve">ともだち</t>
    </r>
    <r>
      <rPr>
        <sz val="10"/>
        <rFont val="Arial"/>
        <family val="0"/>
        <charset val="1"/>
      </rPr>
      <t xml:space="preserve">) bạn bè </t>
    </r>
    <r>
      <rPr>
        <sz val="10"/>
        <rFont val="Noto Sans CJK SC"/>
        <family val="2"/>
      </rPr>
      <t xml:space="preserve">・ 親友 </t>
    </r>
    <r>
      <rPr>
        <sz val="10"/>
        <rFont val="Arial"/>
        <family val="0"/>
        <charset val="1"/>
      </rPr>
      <t xml:space="preserve">(</t>
    </r>
    <r>
      <rPr>
        <sz val="10"/>
        <rFont val="Noto Sans CJK SC"/>
        <family val="2"/>
      </rPr>
      <t xml:space="preserve">しんゆう</t>
    </r>
    <r>
      <rPr>
        <sz val="10"/>
        <rFont val="Arial"/>
        <family val="0"/>
        <charset val="1"/>
      </rPr>
      <t xml:space="preserve">) bạn thân </t>
    </r>
    <r>
      <rPr>
        <sz val="10"/>
        <rFont val="Noto Sans CJK SC"/>
        <family val="2"/>
      </rPr>
      <t xml:space="preserve">・ 友情 </t>
    </r>
    <r>
      <rPr>
        <sz val="10"/>
        <rFont val="Arial"/>
        <family val="0"/>
        <charset val="1"/>
      </rPr>
      <t xml:space="preserve">(</t>
    </r>
    <r>
      <rPr>
        <sz val="10"/>
        <rFont val="Noto Sans CJK SC"/>
        <family val="2"/>
      </rPr>
      <t xml:space="preserve">ゆうじょう</t>
    </r>
    <r>
      <rPr>
        <sz val="10"/>
        <rFont val="Arial"/>
        <family val="0"/>
        <charset val="1"/>
      </rPr>
      <t xml:space="preserve">) tình bạn
   Mẹo: Hai bàn tay nắm lấy nhau = tình BẠN.
• </t>
    </r>
    <r>
      <rPr>
        <sz val="10"/>
        <rFont val="Noto Sans CJK SC"/>
        <family val="2"/>
      </rPr>
      <t xml:space="preserve">左 </t>
    </r>
    <r>
      <rPr>
        <sz val="10"/>
        <rFont val="Arial"/>
        <family val="0"/>
        <charset val="1"/>
      </rPr>
      <t xml:space="preserve">[TẢ] Bên trái — On: </t>
    </r>
    <r>
      <rPr>
        <sz val="10"/>
        <rFont val="Noto Sans CJK SC"/>
        <family val="2"/>
      </rPr>
      <t xml:space="preserve">サ </t>
    </r>
    <r>
      <rPr>
        <sz val="10"/>
        <rFont val="Arial"/>
        <family val="0"/>
        <charset val="1"/>
      </rPr>
      <t xml:space="preserve">/ Kun: </t>
    </r>
    <r>
      <rPr>
        <sz val="10"/>
        <rFont val="Noto Sans CJK SC"/>
        <family val="2"/>
      </rPr>
      <t xml:space="preserve">ひだり </t>
    </r>
    <r>
      <rPr>
        <sz val="10"/>
        <rFont val="Arial"/>
        <family val="0"/>
        <charset val="1"/>
      </rPr>
      <t xml:space="preserve">(5 nét)
   Từ ghép: </t>
    </r>
    <r>
      <rPr>
        <sz val="10"/>
        <rFont val="Noto Sans CJK SC"/>
        <family val="2"/>
      </rPr>
      <t xml:space="preserve">左 </t>
    </r>
    <r>
      <rPr>
        <sz val="10"/>
        <rFont val="Arial"/>
        <family val="0"/>
        <charset val="1"/>
      </rPr>
      <t xml:space="preserve">(</t>
    </r>
    <r>
      <rPr>
        <sz val="10"/>
        <rFont val="Noto Sans CJK SC"/>
        <family val="2"/>
      </rPr>
      <t xml:space="preserve">ひだり</t>
    </r>
    <r>
      <rPr>
        <sz val="10"/>
        <rFont val="Arial"/>
        <family val="0"/>
        <charset val="1"/>
      </rPr>
      <t xml:space="preserve">) bên trái </t>
    </r>
    <r>
      <rPr>
        <sz val="10"/>
        <rFont val="Noto Sans CJK SC"/>
        <family val="2"/>
      </rPr>
      <t xml:space="preserve">・ 左手 </t>
    </r>
    <r>
      <rPr>
        <sz val="10"/>
        <rFont val="Arial"/>
        <family val="0"/>
        <charset val="1"/>
      </rPr>
      <t xml:space="preserve">(</t>
    </r>
    <r>
      <rPr>
        <sz val="10"/>
        <rFont val="Noto Sans CJK SC"/>
        <family val="2"/>
      </rPr>
      <t xml:space="preserve">ひだりて</t>
    </r>
    <r>
      <rPr>
        <sz val="10"/>
        <rFont val="Arial"/>
        <family val="0"/>
        <charset val="1"/>
      </rPr>
      <t xml:space="preserve">) tay trái </t>
    </r>
    <r>
      <rPr>
        <sz val="10"/>
        <rFont val="Noto Sans CJK SC"/>
        <family val="2"/>
      </rPr>
      <t xml:space="preserve">・ 左折 </t>
    </r>
    <r>
      <rPr>
        <sz val="10"/>
        <rFont val="Arial"/>
        <family val="0"/>
        <charset val="1"/>
      </rPr>
      <t xml:space="preserve">(</t>
    </r>
    <r>
      <rPr>
        <sz val="10"/>
        <rFont val="Noto Sans CJK SC"/>
        <family val="2"/>
      </rPr>
      <t xml:space="preserve">させつ</t>
    </r>
    <r>
      <rPr>
        <sz val="10"/>
        <rFont val="Arial"/>
        <family val="0"/>
        <charset val="1"/>
      </rPr>
      <t xml:space="preserve">) rẽ trái
   Mẹo: Bàn tay đưa lên cầm </t>
    </r>
    <r>
      <rPr>
        <sz val="10"/>
        <rFont val="Noto Sans CJK SC"/>
        <family val="2"/>
      </rPr>
      <t xml:space="preserve">工 </t>
    </r>
    <r>
      <rPr>
        <sz val="10"/>
        <rFont val="Arial"/>
        <family val="0"/>
        <charset val="1"/>
      </rPr>
      <t xml:space="preserve">(dụng cụ) = tay TRÁI giữ đồ. Nhớ: </t>
    </r>
    <r>
      <rPr>
        <sz val="10"/>
        <rFont val="Noto Sans CJK SC"/>
        <family val="2"/>
      </rPr>
      <t xml:space="preserve">左 </t>
    </r>
    <r>
      <rPr>
        <sz val="10"/>
        <rFont val="Arial"/>
        <family val="0"/>
        <charset val="1"/>
      </rPr>
      <t xml:space="preserve">có </t>
    </r>
    <r>
      <rPr>
        <sz val="10"/>
        <rFont val="Noto Sans CJK SC"/>
        <family val="2"/>
      </rPr>
      <t xml:space="preserve">工</t>
    </r>
    <r>
      <rPr>
        <sz val="10"/>
        <rFont val="Arial"/>
        <family val="0"/>
        <charset val="1"/>
      </rPr>
      <t xml:space="preserve">, </t>
    </r>
    <r>
      <rPr>
        <sz val="10"/>
        <rFont val="Noto Sans CJK SC"/>
        <family val="2"/>
      </rPr>
      <t xml:space="preserve">右 </t>
    </r>
    <r>
      <rPr>
        <sz val="10"/>
        <rFont val="Arial"/>
        <family val="0"/>
        <charset val="1"/>
      </rPr>
      <t xml:space="preserve">có </t>
    </r>
    <r>
      <rPr>
        <sz val="10"/>
        <rFont val="Noto Sans CJK SC"/>
        <family val="2"/>
      </rPr>
      <t xml:space="preserve">口</t>
    </r>
    <r>
      <rPr>
        <sz val="10"/>
        <rFont val="Arial"/>
        <family val="0"/>
        <charset val="1"/>
      </rPr>
      <t xml:space="preserve">.</t>
    </r>
  </si>
  <si>
    <r>
      <rPr>
        <sz val="10"/>
        <rFont val="Arial"/>
        <family val="0"/>
        <charset val="1"/>
      </rPr>
      <t xml:space="preserve">Minna bài 22 (2/2) — Mệnh đề bổ nghĩa danh từ
• V </t>
    </r>
    <r>
      <rPr>
        <sz val="10"/>
        <rFont val="Noto Sans CJK SC"/>
        <family val="2"/>
      </rPr>
      <t xml:space="preserve">る 時間 </t>
    </r>
    <r>
      <rPr>
        <sz val="10"/>
        <rFont val="Arial"/>
        <family val="0"/>
        <charset val="1"/>
      </rPr>
      <t xml:space="preserve">/ </t>
    </r>
    <r>
      <rPr>
        <sz val="10"/>
        <rFont val="Noto Sans CJK SC"/>
        <family val="2"/>
      </rPr>
      <t xml:space="preserve">約束 </t>
    </r>
    <r>
      <rPr>
        <sz val="10"/>
        <rFont val="Arial"/>
        <family val="0"/>
        <charset val="1"/>
      </rPr>
      <t xml:space="preserve">/ </t>
    </r>
    <r>
      <rPr>
        <sz val="10"/>
        <rFont val="Noto Sans CJK SC"/>
        <family val="2"/>
      </rPr>
      <t xml:space="preserve">用事 が あります  </t>
    </r>
    <r>
      <rPr>
        <sz val="10"/>
        <rFont val="Arial"/>
        <family val="0"/>
        <charset val="1"/>
      </rPr>
      <t xml:space="preserve">(Có thời gian / lời hẹn / việc bận để làm gì.)
   Ví dụ: </t>
    </r>
    <r>
      <rPr>
        <sz val="10"/>
        <rFont val="Noto Sans CJK SC"/>
        <family val="2"/>
      </rPr>
      <t xml:space="preserve">本を 読む 時間が ありません。  </t>
    </r>
    <r>
      <rPr>
        <sz val="10"/>
        <rFont val="Arial"/>
        <family val="0"/>
        <charset val="1"/>
      </rPr>
      <t xml:space="preserve">= Tôi không có thời gian đọc sách.
→ Làm </t>
    </r>
    <r>
      <rPr>
        <sz val="10"/>
        <rFont val="Noto Sans CJK SC"/>
        <family val="2"/>
      </rPr>
      <t xml:space="preserve">練習</t>
    </r>
    <r>
      <rPr>
        <sz val="10"/>
        <rFont val="Arial"/>
        <family val="0"/>
        <charset val="1"/>
      </rPr>
      <t xml:space="preserve">A của bài 22 trong sách, mỗi mẫu tự đặt 3 câu.</t>
    </r>
  </si>
  <si>
    <r>
      <rPr>
        <sz val="10"/>
        <rFont val="Arial"/>
        <family val="0"/>
        <charset val="1"/>
      </rPr>
      <t xml:space="preserve">Từ mới Minna bài 22:
• </t>
    </r>
    <r>
      <rPr>
        <sz val="10"/>
        <rFont val="Noto Sans CJK SC"/>
        <family val="2"/>
      </rPr>
      <t xml:space="preserve">じかん（時間） </t>
    </r>
    <r>
      <rPr>
        <sz val="10"/>
        <rFont val="Arial"/>
        <family val="0"/>
        <charset val="1"/>
      </rPr>
      <t xml:space="preserve">= Thời gian
   Mẹo: THỜI GIAN — âm Hán Việt y hệt tiếng Việt.
• </t>
    </r>
    <r>
      <rPr>
        <sz val="10"/>
        <rFont val="Noto Sans CJK SC"/>
        <family val="2"/>
      </rPr>
      <t xml:space="preserve">ようふく（洋服） </t>
    </r>
    <r>
      <rPr>
        <sz val="10"/>
        <rFont val="Arial"/>
        <family val="0"/>
        <charset val="1"/>
      </rPr>
      <t xml:space="preserve">= Quần áo (kiểu Tây)
   Mẹo: DƯƠNG PHỤC = trang phục phương Tây. Đối lại: </t>
    </r>
    <r>
      <rPr>
        <sz val="10"/>
        <rFont val="Noto Sans CJK SC"/>
        <family val="2"/>
      </rPr>
      <t xml:space="preserve">和服 </t>
    </r>
    <r>
      <rPr>
        <sz val="10"/>
        <rFont val="Arial"/>
        <family val="0"/>
        <charset val="1"/>
      </rPr>
      <t xml:space="preserve">(kimono).
• </t>
    </r>
    <r>
      <rPr>
        <sz val="10"/>
        <rFont val="Noto Sans CJK SC"/>
        <family val="2"/>
      </rPr>
      <t xml:space="preserve">ぼうし（帽子） </t>
    </r>
    <r>
      <rPr>
        <sz val="10"/>
        <rFont val="Arial"/>
        <family val="0"/>
        <charset val="1"/>
      </rPr>
      <t xml:space="preserve">= Mũ
   Mẹo: MẠO TỬ. </t>
    </r>
    <r>
      <rPr>
        <sz val="10"/>
        <rFont val="Noto Sans CJK SC"/>
        <family val="2"/>
      </rPr>
      <t xml:space="preserve">子 </t>
    </r>
    <r>
      <rPr>
        <sz val="10"/>
        <rFont val="Arial"/>
        <family val="0"/>
        <charset val="1"/>
      </rPr>
      <t xml:space="preserve">ở đây chỉ là hậu tố, không có nghĩa 'con'.
• </t>
    </r>
    <r>
      <rPr>
        <sz val="10"/>
        <rFont val="Noto Sans CJK SC"/>
        <family val="2"/>
      </rPr>
      <t xml:space="preserve">めがね </t>
    </r>
    <r>
      <rPr>
        <sz val="10"/>
        <rFont val="Arial"/>
        <family val="0"/>
        <charset val="1"/>
      </rPr>
      <t xml:space="preserve">= Kính mắt
   Mẹo: ME-GA-NE: 'mê ga nê' — đeo kính vào nhìn mê ly.
• </t>
    </r>
    <r>
      <rPr>
        <sz val="10"/>
        <rFont val="Noto Sans CJK SC"/>
        <family val="2"/>
      </rPr>
      <t xml:space="preserve">ケーキ </t>
    </r>
    <r>
      <rPr>
        <sz val="10"/>
        <rFont val="Arial"/>
        <family val="0"/>
        <charset val="1"/>
      </rPr>
      <t xml:space="preserve">= Bánh ngọt
   Mẹo: Từ 'cake'.
• </t>
    </r>
    <r>
      <rPr>
        <sz val="10"/>
        <rFont val="Noto Sans CJK SC"/>
        <family val="2"/>
      </rPr>
      <t xml:space="preserve">にもつ（荷物） </t>
    </r>
    <r>
      <rPr>
        <sz val="10"/>
        <rFont val="Arial"/>
        <family val="0"/>
        <charset val="1"/>
      </rPr>
      <t xml:space="preserve">= Hành lý
   Mẹo: HÀ VẬT = đồ mang vác.
• </t>
    </r>
    <r>
      <rPr>
        <sz val="10"/>
        <rFont val="Noto Sans CJK SC"/>
        <family val="2"/>
      </rPr>
      <t xml:space="preserve">しゅっしん（出身） </t>
    </r>
    <r>
      <rPr>
        <sz val="10"/>
        <rFont val="Arial"/>
        <family val="0"/>
        <charset val="1"/>
      </rPr>
      <t xml:space="preserve">= Quê quán
   Mẹo: XUẤT THÂN — âm Hán Việt y hệt tiếng Việt.
→ Đối chiếu thêm với mục </t>
    </r>
    <r>
      <rPr>
        <sz val="10"/>
        <rFont val="Noto Sans CJK SC"/>
        <family val="2"/>
      </rPr>
      <t xml:space="preserve">語彙 </t>
    </r>
    <r>
      <rPr>
        <sz val="10"/>
        <rFont val="Arial"/>
        <family val="0"/>
        <charset val="1"/>
      </rPr>
      <t xml:space="preserve">của bài 22 trong sách để bổ sung.</t>
    </r>
  </si>
  <si>
    <r>
      <rPr>
        <b val="true"/>
        <sz val="12"/>
        <color rgb="FF1F3864"/>
        <rFont val="Arial"/>
        <family val="0"/>
        <charset val="1"/>
      </rPr>
      <t xml:space="preserve">NGÀY 70  ·  Tuần 10  ·  Minna Ôn bài 20–22  ·  Ôn tập tuần 10 — Minna bài 20–22      </t>
    </r>
    <r>
      <rPr>
        <b val="true"/>
        <sz val="12"/>
        <color rgb="FF1F3864"/>
        <rFont val="Noto Sans CJK SC"/>
        <family val="2"/>
      </rPr>
      <t xml:space="preserve">〔</t>
    </r>
    <r>
      <rPr>
        <b val="true"/>
        <sz val="12"/>
        <color rgb="FF1F3864"/>
        <rFont val="Arial"/>
        <family val="0"/>
        <charset val="1"/>
      </rPr>
      <t xml:space="preserve">105 phút · 5 việc</t>
    </r>
    <r>
      <rPr>
        <b val="true"/>
        <sz val="12"/>
        <color rgb="FF1F3864"/>
        <rFont val="Noto Sans CJK SC"/>
        <family val="2"/>
      </rPr>
      <t xml:space="preserve">〕</t>
    </r>
  </si>
  <si>
    <r>
      <rPr>
        <sz val="10"/>
        <rFont val="Arial"/>
        <family val="0"/>
        <charset val="1"/>
      </rPr>
      <t xml:space="preserve">Làm phần </t>
    </r>
    <r>
      <rPr>
        <sz val="10"/>
        <rFont val="Noto Sans CJK SC"/>
        <family val="2"/>
      </rPr>
      <t xml:space="preserve">練習</t>
    </r>
    <r>
      <rPr>
        <sz val="10"/>
        <rFont val="Arial"/>
        <family val="0"/>
        <charset val="1"/>
      </rPr>
      <t xml:space="preserve">B và </t>
    </r>
    <r>
      <rPr>
        <sz val="10"/>
        <rFont val="Noto Sans CJK SC"/>
        <family val="2"/>
      </rPr>
      <t xml:space="preserve">練習</t>
    </r>
    <r>
      <rPr>
        <sz val="10"/>
        <rFont val="Arial"/>
        <family val="0"/>
        <charset val="1"/>
      </rPr>
      <t xml:space="preserve">C trong Minna bài 20–22. Sau đó tự đặt 5 câu mới.</t>
    </r>
  </si>
  <si>
    <t xml:space="preserve">Kiểm tra lại toàn bộ từ vựng Minna bài 20–22. Từ nào quên đánh dấu 'Đang học'.</t>
  </si>
  <si>
    <r>
      <rPr>
        <sz val="10"/>
        <rFont val="Arial"/>
        <family val="0"/>
        <charset val="1"/>
      </rPr>
      <t xml:space="preserve">Làm phần </t>
    </r>
    <r>
      <rPr>
        <sz val="10"/>
        <rFont val="Noto Sans CJK SC"/>
        <family val="2"/>
      </rPr>
      <t xml:space="preserve">問題 </t>
    </r>
    <r>
      <rPr>
        <sz val="10"/>
        <rFont val="Arial"/>
        <family val="0"/>
        <charset val="1"/>
      </rPr>
      <t xml:space="preserve">(nghe + đọc) cuối mỗi bài trong Minna bài 20–22. Ghi lỗi sai vào cột Ghi chú.</t>
    </r>
  </si>
  <si>
    <r>
      <rPr>
        <b val="true"/>
        <sz val="12"/>
        <color rgb="FF1F3864"/>
        <rFont val="Arial"/>
        <family val="0"/>
        <charset val="1"/>
      </rPr>
      <t xml:space="preserve">NGÀY 71  ·  Tuần 11  ·  Minna Bài 23 (1/2)  ·  </t>
    </r>
    <r>
      <rPr>
        <b val="true"/>
        <sz val="12"/>
        <color rgb="FF1F3864"/>
        <rFont val="Noto Sans CJK SC"/>
        <family val="2"/>
      </rPr>
      <t xml:space="preserve">とき </t>
    </r>
    <r>
      <rPr>
        <b val="true"/>
        <sz val="12"/>
        <color rgb="FF1F3864"/>
        <rFont val="Arial"/>
        <family val="0"/>
        <charset val="1"/>
      </rPr>
      <t xml:space="preserve">&amp; Điều kiện </t>
    </r>
    <r>
      <rPr>
        <b val="true"/>
        <sz val="12"/>
        <color rgb="FF1F3864"/>
        <rFont val="Noto Sans CJK SC"/>
        <family val="2"/>
      </rPr>
      <t xml:space="preserve">と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</si>
  <si>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Học 2 chữ. Mỗi chữ viết tay 10 lần đúng thứ tự nét.
• </t>
    </r>
    <r>
      <rPr>
        <sz val="10"/>
        <rFont val="Noto Sans CJK SC"/>
        <family val="2"/>
      </rPr>
      <t xml:space="preserve">休 </t>
    </r>
    <r>
      <rPr>
        <sz val="10"/>
        <rFont val="Arial"/>
        <family val="0"/>
        <charset val="1"/>
      </rPr>
      <t xml:space="preserve">[HƯU] Nghỉ ngơi — On: </t>
    </r>
    <r>
      <rPr>
        <sz val="10"/>
        <rFont val="Noto Sans CJK SC"/>
        <family val="2"/>
      </rPr>
      <t xml:space="preserve">キュウ </t>
    </r>
    <r>
      <rPr>
        <sz val="10"/>
        <rFont val="Arial"/>
        <family val="0"/>
        <charset val="1"/>
      </rPr>
      <t xml:space="preserve">/ Kun: </t>
    </r>
    <r>
      <rPr>
        <sz val="10"/>
        <rFont val="Noto Sans CJK SC"/>
        <family val="2"/>
      </rPr>
      <t xml:space="preserve">やす</t>
    </r>
    <r>
      <rPr>
        <sz val="10"/>
        <rFont val="Arial"/>
        <family val="0"/>
        <charset val="1"/>
      </rPr>
      <t xml:space="preserve">(</t>
    </r>
    <r>
      <rPr>
        <sz val="10"/>
        <rFont val="Noto Sans CJK SC"/>
        <family val="2"/>
      </rPr>
      <t xml:space="preserve">む</t>
    </r>
    <r>
      <rPr>
        <sz val="10"/>
        <rFont val="Arial"/>
        <family val="0"/>
        <charset val="1"/>
      </rPr>
      <t xml:space="preserve">) (6 nét)
   Từ ghép: </t>
    </r>
    <r>
      <rPr>
        <sz val="10"/>
        <rFont val="Noto Sans CJK SC"/>
        <family val="2"/>
      </rPr>
      <t xml:space="preserve">休みます </t>
    </r>
    <r>
      <rPr>
        <sz val="10"/>
        <rFont val="Arial"/>
        <family val="0"/>
        <charset val="1"/>
      </rPr>
      <t xml:space="preserve">(</t>
    </r>
    <r>
      <rPr>
        <sz val="10"/>
        <rFont val="Noto Sans CJK SC"/>
        <family val="2"/>
      </rPr>
      <t xml:space="preserve">やすみます</t>
    </r>
    <r>
      <rPr>
        <sz val="10"/>
        <rFont val="Arial"/>
        <family val="0"/>
        <charset val="1"/>
      </rPr>
      <t xml:space="preserve">) nghỉ </t>
    </r>
    <r>
      <rPr>
        <sz val="10"/>
        <rFont val="Noto Sans CJK SC"/>
        <family val="2"/>
      </rPr>
      <t xml:space="preserve">・ 休み </t>
    </r>
    <r>
      <rPr>
        <sz val="10"/>
        <rFont val="Arial"/>
        <family val="0"/>
        <charset val="1"/>
      </rPr>
      <t xml:space="preserve">(</t>
    </r>
    <r>
      <rPr>
        <sz val="10"/>
        <rFont val="Noto Sans CJK SC"/>
        <family val="2"/>
      </rPr>
      <t xml:space="preserve">やすみ</t>
    </r>
    <r>
      <rPr>
        <sz val="10"/>
        <rFont val="Arial"/>
        <family val="0"/>
        <charset val="1"/>
      </rPr>
      <t xml:space="preserve">) kỳ nghỉ </t>
    </r>
    <r>
      <rPr>
        <sz val="10"/>
        <rFont val="Noto Sans CJK SC"/>
        <family val="2"/>
      </rPr>
      <t xml:space="preserve">・ 休日 </t>
    </r>
    <r>
      <rPr>
        <sz val="10"/>
        <rFont val="Arial"/>
        <family val="0"/>
        <charset val="1"/>
      </rPr>
      <t xml:space="preserve">(</t>
    </r>
    <r>
      <rPr>
        <sz val="10"/>
        <rFont val="Noto Sans CJK SC"/>
        <family val="2"/>
      </rPr>
      <t xml:space="preserve">きゅうじつ</t>
    </r>
    <r>
      <rPr>
        <sz val="10"/>
        <rFont val="Arial"/>
        <family val="0"/>
        <charset val="1"/>
      </rPr>
      <t xml:space="preserve">) ngày nghỉ
   Mẹo: </t>
    </r>
    <r>
      <rPr>
        <sz val="10"/>
        <rFont val="Noto Sans CJK SC"/>
        <family val="2"/>
      </rPr>
      <t xml:space="preserve">亻 </t>
    </r>
    <r>
      <rPr>
        <sz val="10"/>
        <rFont val="Arial"/>
        <family val="0"/>
        <charset val="1"/>
      </rPr>
      <t xml:space="preserve">(người) tựa vào </t>
    </r>
    <r>
      <rPr>
        <sz val="10"/>
        <rFont val="Noto Sans CJK SC"/>
        <family val="2"/>
      </rPr>
      <t xml:space="preserve">木 </t>
    </r>
    <r>
      <rPr>
        <sz val="10"/>
        <rFont val="Arial"/>
        <family val="0"/>
        <charset val="1"/>
      </rPr>
      <t xml:space="preserve">(gốc cây) = ngồi dựa gốc cây NGHỈ mát. Hình ảnh dễ nhớ nhất trong 103 chữ.
• </t>
    </r>
    <r>
      <rPr>
        <sz val="10"/>
        <rFont val="Noto Sans CJK SC"/>
        <family val="2"/>
      </rPr>
      <t xml:space="preserve">父 </t>
    </r>
    <r>
      <rPr>
        <sz val="10"/>
        <rFont val="Arial"/>
        <family val="0"/>
        <charset val="1"/>
      </rPr>
      <t xml:space="preserve">[PHỤ] Bố — On: </t>
    </r>
    <r>
      <rPr>
        <sz val="10"/>
        <rFont val="Noto Sans CJK SC"/>
        <family val="2"/>
      </rPr>
      <t xml:space="preserve">フ </t>
    </r>
    <r>
      <rPr>
        <sz val="10"/>
        <rFont val="Arial"/>
        <family val="0"/>
        <charset val="1"/>
      </rPr>
      <t xml:space="preserve">/ Kun: </t>
    </r>
    <r>
      <rPr>
        <sz val="10"/>
        <rFont val="Noto Sans CJK SC"/>
        <family val="2"/>
      </rPr>
      <t xml:space="preserve">ちち・とう </t>
    </r>
    <r>
      <rPr>
        <sz val="10"/>
        <rFont val="Arial"/>
        <family val="0"/>
        <charset val="1"/>
      </rPr>
      <t xml:space="preserve">(4 nét)
   Từ ghép: </t>
    </r>
    <r>
      <rPr>
        <sz val="10"/>
        <rFont val="Noto Sans CJK SC"/>
        <family val="2"/>
      </rPr>
      <t xml:space="preserve">父 </t>
    </r>
    <r>
      <rPr>
        <sz val="10"/>
        <rFont val="Arial"/>
        <family val="0"/>
        <charset val="1"/>
      </rPr>
      <t xml:space="preserve">(</t>
    </r>
    <r>
      <rPr>
        <sz val="10"/>
        <rFont val="Noto Sans CJK SC"/>
        <family val="2"/>
      </rPr>
      <t xml:space="preserve">ちち</t>
    </r>
    <r>
      <rPr>
        <sz val="10"/>
        <rFont val="Arial"/>
        <family val="0"/>
        <charset val="1"/>
      </rPr>
      <t xml:space="preserve">) bố tôi </t>
    </r>
    <r>
      <rPr>
        <sz val="10"/>
        <rFont val="Noto Sans CJK SC"/>
        <family val="2"/>
      </rPr>
      <t xml:space="preserve">・ お父さん </t>
    </r>
    <r>
      <rPr>
        <sz val="10"/>
        <rFont val="Arial"/>
        <family val="0"/>
        <charset val="1"/>
      </rPr>
      <t xml:space="preserve">(</t>
    </r>
    <r>
      <rPr>
        <sz val="10"/>
        <rFont val="Noto Sans CJK SC"/>
        <family val="2"/>
      </rPr>
      <t xml:space="preserve">おとうさん</t>
    </r>
    <r>
      <rPr>
        <sz val="10"/>
        <rFont val="Arial"/>
        <family val="0"/>
        <charset val="1"/>
      </rPr>
      <t xml:space="preserve">) bố </t>
    </r>
    <r>
      <rPr>
        <sz val="10"/>
        <rFont val="Noto Sans CJK SC"/>
        <family val="2"/>
      </rPr>
      <t xml:space="preserve">・ 父母 </t>
    </r>
    <r>
      <rPr>
        <sz val="10"/>
        <rFont val="Arial"/>
        <family val="0"/>
        <charset val="1"/>
      </rPr>
      <t xml:space="preserve">(</t>
    </r>
    <r>
      <rPr>
        <sz val="10"/>
        <rFont val="Noto Sans CJK SC"/>
        <family val="2"/>
      </rPr>
      <t xml:space="preserve">ふぼ</t>
    </r>
    <r>
      <rPr>
        <sz val="10"/>
        <rFont val="Arial"/>
        <family val="0"/>
        <charset val="1"/>
      </rPr>
      <t xml:space="preserve">) cha mẹ
   Mẹo: Hình hai cánh tay giơ cây roi — người BỐ nghiêm khắc ngày xưa.</t>
    </r>
  </si>
  <si>
    <r>
      <rPr>
        <sz val="10"/>
        <rFont val="Arial"/>
        <family val="0"/>
        <charset val="1"/>
      </rPr>
      <t xml:space="preserve">Minna bài 23 (1/2) — </t>
    </r>
    <r>
      <rPr>
        <sz val="10"/>
        <rFont val="Noto Sans CJK SC"/>
        <family val="2"/>
      </rPr>
      <t xml:space="preserve">とき </t>
    </r>
    <r>
      <rPr>
        <sz val="10"/>
        <rFont val="Arial"/>
        <family val="0"/>
        <charset val="1"/>
      </rPr>
      <t xml:space="preserve">&amp; Điều kiện </t>
    </r>
    <r>
      <rPr>
        <sz val="10"/>
        <rFont val="Noto Sans CJK SC"/>
        <family val="2"/>
      </rPr>
      <t xml:space="preserve">と
• 普通形 </t>
    </r>
    <r>
      <rPr>
        <sz val="10"/>
        <rFont val="Arial"/>
        <family val="0"/>
        <charset val="1"/>
      </rPr>
      <t xml:space="preserve">+ </t>
    </r>
    <r>
      <rPr>
        <sz val="10"/>
        <rFont val="Noto Sans CJK SC"/>
        <family val="2"/>
      </rPr>
      <t xml:space="preserve">とき、〜  </t>
    </r>
    <r>
      <rPr>
        <sz val="10"/>
        <rFont val="Arial"/>
        <family val="0"/>
        <charset val="1"/>
      </rPr>
      <t xml:space="preserve">(Khi ~ thì ~. Thì của mệnh đề </t>
    </r>
    <r>
      <rPr>
        <sz val="10"/>
        <rFont val="Noto Sans CJK SC"/>
        <family val="2"/>
      </rPr>
      <t xml:space="preserve">とき </t>
    </r>
    <r>
      <rPr>
        <sz val="10"/>
        <rFont val="Arial"/>
        <family val="0"/>
        <charset val="1"/>
      </rPr>
      <t xml:space="preserve">quyết định việc đó xảy ra trước hay sau.)
   Ví dụ: </t>
    </r>
    <r>
      <rPr>
        <sz val="10"/>
        <rFont val="Noto Sans CJK SC"/>
        <family val="2"/>
      </rPr>
      <t xml:space="preserve">日本へ 行く とき、カメラを 買いました。  </t>
    </r>
    <r>
      <rPr>
        <sz val="10"/>
        <rFont val="Arial"/>
        <family val="0"/>
        <charset val="1"/>
      </rPr>
      <t xml:space="preserve">= Khi (chuẩn bị) đi Nhật, tôi đã mua máy ảnh.
• N </t>
    </r>
    <r>
      <rPr>
        <sz val="10"/>
        <rFont val="Noto Sans CJK SC"/>
        <family val="2"/>
      </rPr>
      <t xml:space="preserve">の とき </t>
    </r>
    <r>
      <rPr>
        <sz val="10"/>
        <rFont val="Arial"/>
        <family val="0"/>
        <charset val="1"/>
      </rPr>
      <t xml:space="preserve">/ Adj </t>
    </r>
    <r>
      <rPr>
        <sz val="10"/>
        <rFont val="Noto Sans CJK SC"/>
        <family val="2"/>
      </rPr>
      <t xml:space="preserve">な とき </t>
    </r>
    <r>
      <rPr>
        <sz val="10"/>
        <rFont val="Arial"/>
        <family val="0"/>
        <charset val="1"/>
      </rPr>
      <t xml:space="preserve">/ Adj </t>
    </r>
    <r>
      <rPr>
        <sz val="10"/>
        <rFont val="Noto Sans CJK SC"/>
        <family val="2"/>
      </rPr>
      <t xml:space="preserve">い とき  </t>
    </r>
    <r>
      <rPr>
        <sz val="10"/>
        <rFont val="Arial"/>
        <family val="0"/>
        <charset val="1"/>
      </rPr>
      <t xml:space="preserve">(Khi là ~. Danh từ thêm </t>
    </r>
    <r>
      <rPr>
        <sz val="10"/>
        <rFont val="Noto Sans CJK SC"/>
        <family val="2"/>
      </rPr>
      <t xml:space="preserve">の</t>
    </r>
    <r>
      <rPr>
        <sz val="10"/>
        <rFont val="Arial"/>
        <family val="0"/>
        <charset val="1"/>
      </rPr>
      <t xml:space="preserve">, </t>
    </r>
    <r>
      <rPr>
        <sz val="10"/>
        <rFont val="Noto Sans CJK SC"/>
        <family val="2"/>
      </rPr>
      <t xml:space="preserve">な</t>
    </r>
    <r>
      <rPr>
        <sz val="10"/>
        <rFont val="Arial"/>
        <family val="0"/>
        <charset val="1"/>
      </rPr>
      <t xml:space="preserve">-adj thêm </t>
    </r>
    <r>
      <rPr>
        <sz val="10"/>
        <rFont val="Noto Sans CJK SC"/>
        <family val="2"/>
      </rPr>
      <t xml:space="preserve">な</t>
    </r>
    <r>
      <rPr>
        <sz val="10"/>
        <rFont val="Arial"/>
        <family val="0"/>
        <charset val="1"/>
      </rPr>
      <t xml:space="preserve">.)
   Ví dụ: </t>
    </r>
    <r>
      <rPr>
        <sz val="10"/>
        <rFont val="Noto Sans CJK SC"/>
        <family val="2"/>
      </rPr>
      <t xml:space="preserve">子どもの とき、よく 川で 泳ぎました。  </t>
    </r>
    <r>
      <rPr>
        <sz val="10"/>
        <rFont val="Arial"/>
        <family val="0"/>
        <charset val="1"/>
      </rPr>
      <t xml:space="preserve">= Hồi bé tôi hay bơi ở sông.
→ Làm </t>
    </r>
    <r>
      <rPr>
        <sz val="10"/>
        <rFont val="Noto Sans CJK SC"/>
        <family val="2"/>
      </rPr>
      <t xml:space="preserve">練習</t>
    </r>
    <r>
      <rPr>
        <sz val="10"/>
        <rFont val="Arial"/>
        <family val="0"/>
        <charset val="1"/>
      </rPr>
      <t xml:space="preserve">A của bài 23 trong sách, mỗi mẫu tự đặt 3 câu.</t>
    </r>
  </si>
  <si>
    <r>
      <rPr>
        <sz val="10"/>
        <rFont val="Arial"/>
        <family val="0"/>
        <charset val="1"/>
      </rPr>
      <t xml:space="preserve">Từ mới Minna bài 23:
• </t>
    </r>
    <r>
      <rPr>
        <sz val="10"/>
        <rFont val="Noto Sans CJK SC"/>
        <family val="2"/>
      </rPr>
      <t xml:space="preserve">まわします（回します） </t>
    </r>
    <r>
      <rPr>
        <sz val="10"/>
        <rFont val="Arial"/>
        <family val="0"/>
        <charset val="1"/>
      </rPr>
      <t xml:space="preserve">= Xoay, vặn
   Mẹo: </t>
    </r>
    <r>
      <rPr>
        <sz val="10"/>
        <rFont val="Noto Sans CJK SC"/>
        <family val="2"/>
      </rPr>
      <t xml:space="preserve">回 </t>
    </r>
    <r>
      <rPr>
        <sz val="10"/>
        <rFont val="Arial"/>
        <family val="0"/>
        <charset val="1"/>
      </rPr>
      <t xml:space="preserve">nhìn như vòng tròn trong vòng tròn → XOAY.
• </t>
    </r>
    <r>
      <rPr>
        <sz val="10"/>
        <rFont val="Noto Sans CJK SC"/>
        <family val="2"/>
      </rPr>
      <t xml:space="preserve">ひきます（引きます） </t>
    </r>
    <r>
      <rPr>
        <sz val="10"/>
        <rFont val="Arial"/>
        <family val="0"/>
        <charset val="1"/>
      </rPr>
      <t xml:space="preserve">= Kéo
   Mẹo: Đối lập với </t>
    </r>
    <r>
      <rPr>
        <sz val="10"/>
        <rFont val="Noto Sans CJK SC"/>
        <family val="2"/>
      </rPr>
      <t xml:space="preserve">押します </t>
    </r>
    <r>
      <rPr>
        <sz val="10"/>
        <rFont val="Arial"/>
        <family val="0"/>
        <charset val="1"/>
      </rPr>
      <t xml:space="preserve">(đẩy).
• </t>
    </r>
    <r>
      <rPr>
        <sz val="10"/>
        <rFont val="Noto Sans CJK SC"/>
        <family val="2"/>
      </rPr>
      <t xml:space="preserve">かえます（変えます） </t>
    </r>
    <r>
      <rPr>
        <sz val="10"/>
        <rFont val="Arial"/>
        <family val="0"/>
        <charset val="1"/>
      </rPr>
      <t xml:space="preserve">= Thay đổi
   Mẹo: </t>
    </r>
    <r>
      <rPr>
        <sz val="10"/>
        <rFont val="Noto Sans CJK SC"/>
        <family val="2"/>
      </rPr>
      <t xml:space="preserve">変 </t>
    </r>
    <r>
      <rPr>
        <sz val="10"/>
        <rFont val="Arial"/>
        <family val="0"/>
        <charset val="1"/>
      </rPr>
      <t xml:space="preserve">(BIẾN) = biến đổi.
• </t>
    </r>
    <r>
      <rPr>
        <sz val="10"/>
        <rFont val="Noto Sans CJK SC"/>
        <family val="2"/>
      </rPr>
      <t xml:space="preserve">さわります（触ります） </t>
    </r>
    <r>
      <rPr>
        <sz val="10"/>
        <rFont val="Arial"/>
        <family val="0"/>
        <charset val="1"/>
      </rPr>
      <t xml:space="preserve">= Chạm vào
   Mẹo: Dùng trợ từ </t>
    </r>
    <r>
      <rPr>
        <sz val="10"/>
        <rFont val="Noto Sans CJK SC"/>
        <family val="2"/>
      </rPr>
      <t xml:space="preserve">に</t>
    </r>
    <r>
      <rPr>
        <sz val="10"/>
        <rFont val="Arial"/>
        <family val="0"/>
        <charset val="1"/>
      </rPr>
      <t xml:space="preserve">: </t>
    </r>
    <r>
      <rPr>
        <sz val="10"/>
        <rFont val="Noto Sans CJK SC"/>
        <family val="2"/>
      </rPr>
      <t xml:space="preserve">ドアに 触ります</t>
    </r>
    <r>
      <rPr>
        <sz val="10"/>
        <rFont val="Arial"/>
        <family val="0"/>
        <charset val="1"/>
      </rPr>
      <t xml:space="preserve">.
• </t>
    </r>
    <r>
      <rPr>
        <sz val="10"/>
        <rFont val="Noto Sans CJK SC"/>
        <family val="2"/>
      </rPr>
      <t xml:space="preserve">こしょうします（故障します） </t>
    </r>
    <r>
      <rPr>
        <sz val="10"/>
        <rFont val="Arial"/>
        <family val="0"/>
        <charset val="1"/>
      </rPr>
      <t xml:space="preserve">= Bị hỏng (máy móc)
   Mẹo: CỐ CHƯỚNG = trục trặc. Dùng cho máy móc, khác </t>
    </r>
    <r>
      <rPr>
        <sz val="10"/>
        <rFont val="Noto Sans CJK SC"/>
        <family val="2"/>
      </rPr>
      <t xml:space="preserve">壊れます</t>
    </r>
    <r>
      <rPr>
        <sz val="10"/>
        <rFont val="Arial"/>
        <family val="0"/>
        <charset val="1"/>
      </rPr>
      <t xml:space="preserve">.
• </t>
    </r>
    <r>
      <rPr>
        <sz val="10"/>
        <rFont val="Noto Sans CJK SC"/>
        <family val="2"/>
      </rPr>
      <t xml:space="preserve">わたります（渡ります） </t>
    </r>
    <r>
      <rPr>
        <sz val="10"/>
        <rFont val="Arial"/>
        <family val="0"/>
        <charset val="1"/>
      </rPr>
      <t xml:space="preserve">= Băng qua
   Mẹo: </t>
    </r>
    <r>
      <rPr>
        <sz val="10"/>
        <rFont val="Noto Sans CJK SC"/>
        <family val="2"/>
      </rPr>
      <t xml:space="preserve">橋を 渡ります </t>
    </r>
    <r>
      <rPr>
        <sz val="10"/>
        <rFont val="Arial"/>
        <family val="0"/>
        <charset val="1"/>
      </rPr>
      <t xml:space="preserve">= qua cầu.
• </t>
    </r>
    <r>
      <rPr>
        <sz val="10"/>
        <rFont val="Noto Sans CJK SC"/>
        <family val="2"/>
      </rPr>
      <t xml:space="preserve">つまみ </t>
    </r>
    <r>
      <rPr>
        <sz val="10"/>
        <rFont val="Arial"/>
        <family val="0"/>
        <charset val="1"/>
      </rPr>
      <t xml:space="preserve">= Núm vặn
   Mẹo: Danh từ đồ vật thường gặp trong hướng dẫn sử dụng.
→ Đối chiếu thêm với mục </t>
    </r>
    <r>
      <rPr>
        <sz val="10"/>
        <rFont val="Noto Sans CJK SC"/>
        <family val="2"/>
      </rPr>
      <t xml:space="preserve">語彙 </t>
    </r>
    <r>
      <rPr>
        <sz val="10"/>
        <rFont val="Arial"/>
        <family val="0"/>
        <charset val="1"/>
      </rPr>
      <t xml:space="preserve">của bài 23 trong sách để bổ sung.</t>
    </r>
  </si>
  <si>
    <r>
      <rPr>
        <b val="true"/>
        <sz val="12"/>
        <color rgb="FF1F3864"/>
        <rFont val="Arial"/>
        <family val="0"/>
        <charset val="1"/>
      </rPr>
      <t xml:space="preserve">NGÀY 72  ·  Tuần 11  ·  Minna Bài 23 (2/2)  ·  </t>
    </r>
    <r>
      <rPr>
        <b val="true"/>
        <sz val="12"/>
        <color rgb="FF1F3864"/>
        <rFont val="Noto Sans CJK SC"/>
        <family val="2"/>
      </rPr>
      <t xml:space="preserve">とき </t>
    </r>
    <r>
      <rPr>
        <b val="true"/>
        <sz val="12"/>
        <color rgb="FF1F3864"/>
        <rFont val="Arial"/>
        <family val="0"/>
        <charset val="1"/>
      </rPr>
      <t xml:space="preserve">&amp; Điều kiện </t>
    </r>
    <r>
      <rPr>
        <b val="true"/>
        <sz val="12"/>
        <color rgb="FF1F3864"/>
        <rFont val="Noto Sans CJK SC"/>
        <family val="2"/>
      </rPr>
      <t xml:space="preserve">と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</si>
  <si>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Học 1 chữ. Mỗi chữ viết tay 10 lần đúng thứ tự nét.
• </t>
    </r>
    <r>
      <rPr>
        <sz val="10"/>
        <rFont val="Noto Sans CJK SC"/>
        <family val="2"/>
      </rPr>
      <t xml:space="preserve">駅 </t>
    </r>
    <r>
      <rPr>
        <sz val="10"/>
        <rFont val="Arial"/>
        <family val="0"/>
        <charset val="1"/>
      </rPr>
      <t xml:space="preserve">[DỊCH] Nhà ga — On: </t>
    </r>
    <r>
      <rPr>
        <sz val="10"/>
        <rFont val="Noto Sans CJK SC"/>
        <family val="2"/>
      </rPr>
      <t xml:space="preserve">エキ </t>
    </r>
    <r>
      <rPr>
        <sz val="10"/>
        <rFont val="Arial"/>
        <family val="0"/>
        <charset val="1"/>
      </rPr>
      <t xml:space="preserve">/ Kun: — (14 nét)
   Từ ghép: </t>
    </r>
    <r>
      <rPr>
        <sz val="10"/>
        <rFont val="Noto Sans CJK SC"/>
        <family val="2"/>
      </rPr>
      <t xml:space="preserve">駅 </t>
    </r>
    <r>
      <rPr>
        <sz val="10"/>
        <rFont val="Arial"/>
        <family val="0"/>
        <charset val="1"/>
      </rPr>
      <t xml:space="preserve">(</t>
    </r>
    <r>
      <rPr>
        <sz val="10"/>
        <rFont val="Noto Sans CJK SC"/>
        <family val="2"/>
      </rPr>
      <t xml:space="preserve">えき</t>
    </r>
    <r>
      <rPr>
        <sz val="10"/>
        <rFont val="Arial"/>
        <family val="0"/>
        <charset val="1"/>
      </rPr>
      <t xml:space="preserve">) nhà ga </t>
    </r>
    <r>
      <rPr>
        <sz val="10"/>
        <rFont val="Noto Sans CJK SC"/>
        <family val="2"/>
      </rPr>
      <t xml:space="preserve">・ 東京駅 </t>
    </r>
    <r>
      <rPr>
        <sz val="10"/>
        <rFont val="Arial"/>
        <family val="0"/>
        <charset val="1"/>
      </rPr>
      <t xml:space="preserve">(</t>
    </r>
    <r>
      <rPr>
        <sz val="10"/>
        <rFont val="Noto Sans CJK SC"/>
        <family val="2"/>
      </rPr>
      <t xml:space="preserve">とうきょうえき</t>
    </r>
    <r>
      <rPr>
        <sz val="10"/>
        <rFont val="Arial"/>
        <family val="0"/>
        <charset val="1"/>
      </rPr>
      <t xml:space="preserve">) ga Tokyo </t>
    </r>
    <r>
      <rPr>
        <sz val="10"/>
        <rFont val="Noto Sans CJK SC"/>
        <family val="2"/>
      </rPr>
      <t xml:space="preserve">・ 駅前 </t>
    </r>
    <r>
      <rPr>
        <sz val="10"/>
        <rFont val="Arial"/>
        <family val="0"/>
        <charset val="1"/>
      </rPr>
      <t xml:space="preserve">(</t>
    </r>
    <r>
      <rPr>
        <sz val="10"/>
        <rFont val="Noto Sans CJK SC"/>
        <family val="2"/>
      </rPr>
      <t xml:space="preserve">えきまえ</t>
    </r>
    <r>
      <rPr>
        <sz val="10"/>
        <rFont val="Arial"/>
        <family val="0"/>
        <charset val="1"/>
      </rPr>
      <t xml:space="preserve">) trước ga
   Mẹo: </t>
    </r>
    <r>
      <rPr>
        <sz val="10"/>
        <rFont val="Noto Sans CJK SC"/>
        <family val="2"/>
      </rPr>
      <t xml:space="preserve">馬 </t>
    </r>
    <r>
      <rPr>
        <sz val="10"/>
        <rFont val="Arial"/>
        <family val="0"/>
        <charset val="1"/>
      </rPr>
      <t xml:space="preserve">(con ngựa) + </t>
    </r>
    <r>
      <rPr>
        <sz val="10"/>
        <rFont val="Noto Sans CJK SC"/>
        <family val="2"/>
      </rPr>
      <t xml:space="preserve">尺 </t>
    </r>
    <r>
      <rPr>
        <sz val="10"/>
        <rFont val="Arial"/>
        <family val="0"/>
        <charset val="1"/>
      </rPr>
      <t xml:space="preserve">= trạm đổi ngựa ngày xưa, nay là NHÀ GA tàu.</t>
    </r>
  </si>
  <si>
    <r>
      <rPr>
        <sz val="10"/>
        <rFont val="Arial"/>
        <family val="0"/>
        <charset val="1"/>
      </rPr>
      <t xml:space="preserve">Minna bài 23 (2/2) — </t>
    </r>
    <r>
      <rPr>
        <sz val="10"/>
        <rFont val="Noto Sans CJK SC"/>
        <family val="2"/>
      </rPr>
      <t xml:space="preserve">とき </t>
    </r>
    <r>
      <rPr>
        <sz val="10"/>
        <rFont val="Arial"/>
        <family val="0"/>
        <charset val="1"/>
      </rPr>
      <t xml:space="preserve">&amp; Điều kiện </t>
    </r>
    <r>
      <rPr>
        <sz val="10"/>
        <rFont val="Noto Sans CJK SC"/>
        <family val="2"/>
      </rPr>
      <t xml:space="preserve">と
• </t>
    </r>
    <r>
      <rPr>
        <sz val="10"/>
        <rFont val="Arial"/>
        <family val="0"/>
        <charset val="1"/>
      </rPr>
      <t xml:space="preserve">V </t>
    </r>
    <r>
      <rPr>
        <sz val="10"/>
        <rFont val="Noto Sans CJK SC"/>
        <family val="2"/>
      </rPr>
      <t xml:space="preserve">る と、〜  </t>
    </r>
    <r>
      <rPr>
        <sz val="10"/>
        <rFont val="Arial"/>
        <family val="0"/>
        <charset val="1"/>
      </rPr>
      <t xml:space="preserve">(Cứ ~ thì ~. Diễn tả quy luật tự nhiên, kết quả tất yếu. Vế sau KHÔNG dùng ý chí, mệnh lệnh.)
   Ví dụ: </t>
    </r>
    <r>
      <rPr>
        <sz val="10"/>
        <rFont val="Noto Sans CJK SC"/>
        <family val="2"/>
      </rPr>
      <t xml:space="preserve">この ボタンを 押すと、切符が 出ます。  </t>
    </r>
    <r>
      <rPr>
        <sz val="10"/>
        <rFont val="Arial"/>
        <family val="0"/>
        <charset val="1"/>
      </rPr>
      <t xml:space="preserve">= Cứ ấn nút này thì vé sẽ ra.
→ Làm </t>
    </r>
    <r>
      <rPr>
        <sz val="10"/>
        <rFont val="Noto Sans CJK SC"/>
        <family val="2"/>
      </rPr>
      <t xml:space="preserve">練習</t>
    </r>
    <r>
      <rPr>
        <sz val="10"/>
        <rFont val="Arial"/>
        <family val="0"/>
        <charset val="1"/>
      </rPr>
      <t xml:space="preserve">A của bài 23 trong sách, mỗi mẫu tự đặt 3 câu.</t>
    </r>
  </si>
  <si>
    <r>
      <rPr>
        <sz val="10"/>
        <rFont val="Arial"/>
        <family val="0"/>
        <charset val="1"/>
      </rPr>
      <t xml:space="preserve">Từ mới Minna bài 23:
• </t>
    </r>
    <r>
      <rPr>
        <sz val="10"/>
        <rFont val="Noto Sans CJK SC"/>
        <family val="2"/>
      </rPr>
      <t xml:space="preserve">こしょう（故障） </t>
    </r>
    <r>
      <rPr>
        <sz val="10"/>
        <rFont val="Arial"/>
        <family val="0"/>
        <charset val="1"/>
      </rPr>
      <t xml:space="preserve">= Sự hỏng hóc
   Mẹo: </t>
    </r>
    <r>
      <rPr>
        <sz val="10"/>
        <rFont val="Noto Sans CJK SC"/>
        <family val="2"/>
      </rPr>
      <t xml:space="preserve">故障中 </t>
    </r>
    <r>
      <rPr>
        <sz val="10"/>
        <rFont val="Arial"/>
        <family val="0"/>
        <charset val="1"/>
      </rPr>
      <t xml:space="preserve">= đang hỏng — biển báo hay gặp ở Nhật.
• </t>
    </r>
    <r>
      <rPr>
        <sz val="10"/>
        <rFont val="Noto Sans CJK SC"/>
        <family val="2"/>
      </rPr>
      <t xml:space="preserve">みち（道） </t>
    </r>
    <r>
      <rPr>
        <sz val="10"/>
        <rFont val="Arial"/>
        <family val="0"/>
        <charset val="1"/>
      </rPr>
      <t xml:space="preserve">= Con đường
   Mẹo: </t>
    </r>
    <r>
      <rPr>
        <sz val="10"/>
        <rFont val="Noto Sans CJK SC"/>
        <family val="2"/>
      </rPr>
      <t xml:space="preserve">道 </t>
    </r>
    <r>
      <rPr>
        <sz val="10"/>
        <rFont val="Arial"/>
        <family val="0"/>
        <charset val="1"/>
      </rPr>
      <t xml:space="preserve">= </t>
    </r>
    <r>
      <rPr>
        <sz val="10"/>
        <rFont val="Noto Sans CJK SC"/>
        <family val="2"/>
      </rPr>
      <t xml:space="preserve">辶 </t>
    </r>
    <r>
      <rPr>
        <sz val="10"/>
        <rFont val="Arial"/>
        <family val="0"/>
        <charset val="1"/>
      </rPr>
      <t xml:space="preserve">(di chuyển) + </t>
    </r>
    <r>
      <rPr>
        <sz val="10"/>
        <rFont val="Noto Sans CJK SC"/>
        <family val="2"/>
      </rPr>
      <t xml:space="preserve">首 </t>
    </r>
    <r>
      <rPr>
        <sz val="10"/>
        <rFont val="Arial"/>
        <family val="0"/>
        <charset val="1"/>
      </rPr>
      <t xml:space="preserve">(đầu) → ngẩng đầu bước đi.
• </t>
    </r>
    <r>
      <rPr>
        <sz val="10"/>
        <rFont val="Noto Sans CJK SC"/>
        <family val="2"/>
      </rPr>
      <t xml:space="preserve">こうさてん（交差点） </t>
    </r>
    <r>
      <rPr>
        <sz val="10"/>
        <rFont val="Arial"/>
        <family val="0"/>
        <charset val="1"/>
      </rPr>
      <t xml:space="preserve">= Ngã tư
   Mẹo: GIAO SAI ĐIỂM.
• </t>
    </r>
    <r>
      <rPr>
        <sz val="10"/>
        <rFont val="Noto Sans CJK SC"/>
        <family val="2"/>
      </rPr>
      <t xml:space="preserve">しんごう（信号） </t>
    </r>
    <r>
      <rPr>
        <sz val="10"/>
        <rFont val="Arial"/>
        <family val="0"/>
        <charset val="1"/>
      </rPr>
      <t xml:space="preserve">= Đèn giao thông
   Mẹo: TÍN HIỆU.
• </t>
    </r>
    <r>
      <rPr>
        <sz val="10"/>
        <rFont val="Noto Sans CJK SC"/>
        <family val="2"/>
      </rPr>
      <t xml:space="preserve">かど（角） </t>
    </r>
    <r>
      <rPr>
        <sz val="10"/>
        <rFont val="Arial"/>
        <family val="0"/>
        <charset val="1"/>
      </rPr>
      <t xml:space="preserve">= Góc phố
   Mẹo: </t>
    </r>
    <r>
      <rPr>
        <sz val="10"/>
        <rFont val="Noto Sans CJK SC"/>
        <family val="2"/>
      </rPr>
      <t xml:space="preserve">角 </t>
    </r>
    <r>
      <rPr>
        <sz val="10"/>
        <rFont val="Arial"/>
        <family val="0"/>
        <charset val="1"/>
      </rPr>
      <t xml:space="preserve">(GIÁC) = góc. </t>
    </r>
    <r>
      <rPr>
        <sz val="10"/>
        <rFont val="Noto Sans CJK SC"/>
        <family val="2"/>
      </rPr>
      <t xml:space="preserve">角を 右へ 曲がります </t>
    </r>
    <r>
      <rPr>
        <sz val="10"/>
        <rFont val="Arial"/>
        <family val="0"/>
        <charset val="1"/>
      </rPr>
      <t xml:space="preserve">= rẽ phải ở góc phố.
• </t>
    </r>
    <r>
      <rPr>
        <sz val="10"/>
        <rFont val="Noto Sans CJK SC"/>
        <family val="2"/>
      </rPr>
      <t xml:space="preserve">はし（橋） </t>
    </r>
    <r>
      <rPr>
        <sz val="10"/>
        <rFont val="Arial"/>
        <family val="0"/>
        <charset val="1"/>
      </rPr>
      <t xml:space="preserve">= Cây cầu
   Mẹo: </t>
    </r>
    <r>
      <rPr>
        <sz val="10"/>
        <rFont val="Noto Sans CJK SC"/>
        <family val="2"/>
      </rPr>
      <t xml:space="preserve">橋 </t>
    </r>
    <r>
      <rPr>
        <sz val="10"/>
        <rFont val="Arial"/>
        <family val="0"/>
        <charset val="1"/>
      </rPr>
      <t xml:space="preserve">có bộ </t>
    </r>
    <r>
      <rPr>
        <sz val="10"/>
        <rFont val="Noto Sans CJK SC"/>
        <family val="2"/>
      </rPr>
      <t xml:space="preserve">木 </t>
    </r>
    <r>
      <rPr>
        <sz val="10"/>
        <rFont val="Arial"/>
        <family val="0"/>
        <charset val="1"/>
      </rPr>
      <t xml:space="preserve">(gỗ) → cầu gỗ. Khác </t>
    </r>
    <r>
      <rPr>
        <sz val="10"/>
        <rFont val="Noto Sans CJK SC"/>
        <family val="2"/>
      </rPr>
      <t xml:space="preserve">箸 </t>
    </r>
    <r>
      <rPr>
        <sz val="10"/>
        <rFont val="Arial"/>
        <family val="0"/>
        <charset val="1"/>
      </rPr>
      <t xml:space="preserve">(đũa, bộ tre) và </t>
    </r>
    <r>
      <rPr>
        <sz val="10"/>
        <rFont val="Noto Sans CJK SC"/>
        <family val="2"/>
      </rPr>
      <t xml:space="preserve">はし </t>
    </r>
    <r>
      <rPr>
        <sz val="10"/>
        <rFont val="Arial"/>
        <family val="0"/>
        <charset val="1"/>
      </rPr>
      <t xml:space="preserve">(đầu mút).
• </t>
    </r>
    <r>
      <rPr>
        <sz val="10"/>
        <rFont val="Noto Sans CJK SC"/>
        <family val="2"/>
      </rPr>
      <t xml:space="preserve">こども（子ども） </t>
    </r>
    <r>
      <rPr>
        <sz val="10"/>
        <rFont val="Arial"/>
        <family val="0"/>
        <charset val="1"/>
      </rPr>
      <t xml:space="preserve">= Trẻ con
   Mẹo: </t>
    </r>
    <r>
      <rPr>
        <sz val="10"/>
        <rFont val="Noto Sans CJK SC"/>
        <family val="2"/>
      </rPr>
      <t xml:space="preserve">子 </t>
    </r>
    <r>
      <rPr>
        <sz val="10"/>
        <rFont val="Arial"/>
        <family val="0"/>
        <charset val="1"/>
      </rPr>
      <t xml:space="preserve">= hình em bé quấn tã dang tay.
→ Đối chiếu thêm với mục </t>
    </r>
    <r>
      <rPr>
        <sz val="10"/>
        <rFont val="Noto Sans CJK SC"/>
        <family val="2"/>
      </rPr>
      <t xml:space="preserve">語彙 </t>
    </r>
    <r>
      <rPr>
        <sz val="10"/>
        <rFont val="Arial"/>
        <family val="0"/>
        <charset val="1"/>
      </rPr>
      <t xml:space="preserve">của bài 23 trong sách để bổ sung.</t>
    </r>
  </si>
  <si>
    <r>
      <rPr>
        <b val="true"/>
        <sz val="12"/>
        <color rgb="FF1F3864"/>
        <rFont val="Arial"/>
        <family val="0"/>
        <charset val="1"/>
      </rPr>
      <t xml:space="preserve">NGÀY 73  ·  Tuần 11  ·  Minna Bài 24 (1/2)  ·  Cho &amp; Nhận nâng cao — </t>
    </r>
    <r>
      <rPr>
        <b val="true"/>
        <sz val="12"/>
        <color rgb="FF1F3864"/>
        <rFont val="Noto Sans CJK SC"/>
        <family val="2"/>
      </rPr>
      <t xml:space="preserve">てあげる </t>
    </r>
    <r>
      <rPr>
        <b val="true"/>
        <sz val="12"/>
        <color rgb="FF1F3864"/>
        <rFont val="Arial"/>
        <family val="0"/>
        <charset val="1"/>
      </rPr>
      <t xml:space="preserve">/ </t>
    </r>
    <r>
      <rPr>
        <b val="true"/>
        <sz val="12"/>
        <color rgb="FF1F3864"/>
        <rFont val="Noto Sans CJK SC"/>
        <family val="2"/>
      </rPr>
      <t xml:space="preserve">てもらう </t>
    </r>
    <r>
      <rPr>
        <b val="true"/>
        <sz val="12"/>
        <color rgb="FF1F3864"/>
        <rFont val="Arial"/>
        <family val="0"/>
        <charset val="1"/>
      </rPr>
      <t xml:space="preserve">/ </t>
    </r>
    <r>
      <rPr>
        <b val="true"/>
        <sz val="12"/>
        <color rgb="FF1F3864"/>
        <rFont val="Noto Sans CJK SC"/>
        <family val="2"/>
      </rPr>
      <t xml:space="preserve">てくれる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</si>
  <si>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Học 1 chữ. Mỗi chữ viết tay 10 lần đúng thứ tự nét.
• </t>
    </r>
    <r>
      <rPr>
        <sz val="10"/>
        <rFont val="Noto Sans CJK SC"/>
        <family val="2"/>
      </rPr>
      <t xml:space="preserve">雨 </t>
    </r>
    <r>
      <rPr>
        <sz val="10"/>
        <rFont val="Arial"/>
        <family val="0"/>
        <charset val="1"/>
      </rPr>
      <t xml:space="preserve">[VŨ] Mưa — On: </t>
    </r>
    <r>
      <rPr>
        <sz val="10"/>
        <rFont val="Noto Sans CJK SC"/>
        <family val="2"/>
      </rPr>
      <t xml:space="preserve">ウ </t>
    </r>
    <r>
      <rPr>
        <sz val="10"/>
        <rFont val="Arial"/>
        <family val="0"/>
        <charset val="1"/>
      </rPr>
      <t xml:space="preserve">/ Kun: </t>
    </r>
    <r>
      <rPr>
        <sz val="10"/>
        <rFont val="Noto Sans CJK SC"/>
        <family val="2"/>
      </rPr>
      <t xml:space="preserve">あめ </t>
    </r>
    <r>
      <rPr>
        <sz val="10"/>
        <rFont val="Arial"/>
        <family val="0"/>
        <charset val="1"/>
      </rPr>
      <t xml:space="preserve">(8 nét)
   Từ ghép: </t>
    </r>
    <r>
      <rPr>
        <sz val="10"/>
        <rFont val="Noto Sans CJK SC"/>
        <family val="2"/>
      </rPr>
      <t xml:space="preserve">雨 </t>
    </r>
    <r>
      <rPr>
        <sz val="10"/>
        <rFont val="Arial"/>
        <family val="0"/>
        <charset val="1"/>
      </rPr>
      <t xml:space="preserve">(</t>
    </r>
    <r>
      <rPr>
        <sz val="10"/>
        <rFont val="Noto Sans CJK SC"/>
        <family val="2"/>
      </rPr>
      <t xml:space="preserve">あめ</t>
    </r>
    <r>
      <rPr>
        <sz val="10"/>
        <rFont val="Arial"/>
        <family val="0"/>
        <charset val="1"/>
      </rPr>
      <t xml:space="preserve">) mưa </t>
    </r>
    <r>
      <rPr>
        <sz val="10"/>
        <rFont val="Noto Sans CJK SC"/>
        <family val="2"/>
      </rPr>
      <t xml:space="preserve">・ 大雨 </t>
    </r>
    <r>
      <rPr>
        <sz val="10"/>
        <rFont val="Arial"/>
        <family val="0"/>
        <charset val="1"/>
      </rPr>
      <t xml:space="preserve">(</t>
    </r>
    <r>
      <rPr>
        <sz val="10"/>
        <rFont val="Noto Sans CJK SC"/>
        <family val="2"/>
      </rPr>
      <t xml:space="preserve">おおあめ</t>
    </r>
    <r>
      <rPr>
        <sz val="10"/>
        <rFont val="Arial"/>
        <family val="0"/>
        <charset val="1"/>
      </rPr>
      <t xml:space="preserve">) mưa to </t>
    </r>
    <r>
      <rPr>
        <sz val="10"/>
        <rFont val="Noto Sans CJK SC"/>
        <family val="2"/>
      </rPr>
      <t xml:space="preserve">・ 梅雨 </t>
    </r>
    <r>
      <rPr>
        <sz val="10"/>
        <rFont val="Arial"/>
        <family val="0"/>
        <charset val="1"/>
      </rPr>
      <t xml:space="preserve">(</t>
    </r>
    <r>
      <rPr>
        <sz val="10"/>
        <rFont val="Noto Sans CJK SC"/>
        <family val="2"/>
      </rPr>
      <t xml:space="preserve">つゆ</t>
    </r>
    <r>
      <rPr>
        <sz val="10"/>
        <rFont val="Arial"/>
        <family val="0"/>
        <charset val="1"/>
      </rPr>
      <t xml:space="preserve">) mùa mưa
   Mẹo: Đám mây bên trên, bốn giọt nước rơi xuống bên dưới → MƯA.</t>
    </r>
  </si>
  <si>
    <r>
      <rPr>
        <sz val="10"/>
        <rFont val="Arial"/>
        <family val="0"/>
        <charset val="1"/>
      </rPr>
      <t xml:space="preserve">Minna bài 24 (1/2) — Cho &amp; Nhận nâng cao — </t>
    </r>
    <r>
      <rPr>
        <sz val="10"/>
        <rFont val="Noto Sans CJK SC"/>
        <family val="2"/>
      </rPr>
      <t xml:space="preserve">てあげる </t>
    </r>
    <r>
      <rPr>
        <sz val="10"/>
        <rFont val="Arial"/>
        <family val="0"/>
        <charset val="1"/>
      </rPr>
      <t xml:space="preserve">/ </t>
    </r>
    <r>
      <rPr>
        <sz val="10"/>
        <rFont val="Noto Sans CJK SC"/>
        <family val="2"/>
      </rPr>
      <t xml:space="preserve">てもらう </t>
    </r>
    <r>
      <rPr>
        <sz val="10"/>
        <rFont val="Arial"/>
        <family val="0"/>
        <charset val="1"/>
      </rPr>
      <t xml:space="preserve">/ </t>
    </r>
    <r>
      <rPr>
        <sz val="10"/>
        <rFont val="Noto Sans CJK SC"/>
        <family val="2"/>
      </rPr>
      <t xml:space="preserve">てくれる
• </t>
    </r>
    <r>
      <rPr>
        <sz val="10"/>
        <rFont val="Arial"/>
        <family val="0"/>
        <charset val="1"/>
      </rPr>
      <t xml:space="preserve">N </t>
    </r>
    <r>
      <rPr>
        <sz val="10"/>
        <rFont val="Noto Sans CJK SC"/>
        <family val="2"/>
      </rPr>
      <t xml:space="preserve">を くれます  </t>
    </r>
    <r>
      <rPr>
        <sz val="10"/>
        <rFont val="Arial"/>
        <family val="0"/>
        <charset val="1"/>
      </rPr>
      <t xml:space="preserve">(Ai đó cho TÔI (hoặc người trong nhóm tôi). Chủ ngữ là người cho.)
   Ví dụ: </t>
    </r>
    <r>
      <rPr>
        <sz val="10"/>
        <rFont val="Noto Sans CJK SC"/>
        <family val="2"/>
      </rPr>
      <t xml:space="preserve">山田さんは わたしに 花を くれました。  </t>
    </r>
    <r>
      <rPr>
        <sz val="10"/>
        <rFont val="Arial"/>
        <family val="0"/>
        <charset val="1"/>
      </rPr>
      <t xml:space="preserve">= Anh Yamada đã tặng hoa cho tôi.
• V </t>
    </r>
    <r>
      <rPr>
        <sz val="10"/>
        <rFont val="Noto Sans CJK SC"/>
        <family val="2"/>
      </rPr>
      <t xml:space="preserve">て あげます  </t>
    </r>
    <r>
      <rPr>
        <sz val="10"/>
        <rFont val="Arial"/>
        <family val="0"/>
        <charset val="1"/>
      </rPr>
      <t xml:space="preserve">(Làm gì đó GIÚP người khác. Cẩn thận: nghe có vẻ ban ơn, tránh dùng với cấp trên.)
   Ví dụ: </t>
    </r>
    <r>
      <rPr>
        <sz val="10"/>
        <rFont val="Noto Sans CJK SC"/>
        <family val="2"/>
      </rPr>
      <t xml:space="preserve">友だちに 本を 貸して あげました。  </t>
    </r>
    <r>
      <rPr>
        <sz val="10"/>
        <rFont val="Arial"/>
        <family val="0"/>
        <charset val="1"/>
      </rPr>
      <t xml:space="preserve">= Tôi đã cho bạn mượn sách.
→ Làm </t>
    </r>
    <r>
      <rPr>
        <sz val="10"/>
        <rFont val="Noto Sans CJK SC"/>
        <family val="2"/>
      </rPr>
      <t xml:space="preserve">練習</t>
    </r>
    <r>
      <rPr>
        <sz val="10"/>
        <rFont val="Arial"/>
        <family val="0"/>
        <charset val="1"/>
      </rPr>
      <t xml:space="preserve">A của bài 24 trong sách, mỗi mẫu tự đặt 3 câu.</t>
    </r>
  </si>
  <si>
    <r>
      <rPr>
        <sz val="10"/>
        <rFont val="Arial"/>
        <family val="0"/>
        <charset val="1"/>
      </rPr>
      <t xml:space="preserve">Từ mới Minna bài 24:
• </t>
    </r>
    <r>
      <rPr>
        <sz val="10"/>
        <rFont val="Noto Sans CJK SC"/>
        <family val="2"/>
      </rPr>
      <t xml:space="preserve">くれます </t>
    </r>
    <r>
      <rPr>
        <sz val="10"/>
        <rFont val="Arial"/>
        <family val="0"/>
        <charset val="1"/>
      </rPr>
      <t xml:space="preserve">= Cho tôi
   Mẹo: Chỉ dùng khi người nhận là TÔI hoặc người thân của tôi.
• </t>
    </r>
    <r>
      <rPr>
        <sz val="10"/>
        <rFont val="Noto Sans CJK SC"/>
        <family val="2"/>
      </rPr>
      <t xml:space="preserve">つれていきます（連れて 行きます） </t>
    </r>
    <r>
      <rPr>
        <sz val="10"/>
        <rFont val="Arial"/>
        <family val="0"/>
        <charset val="1"/>
      </rPr>
      <t xml:space="preserve">= Dẫn ai đi
   Mẹo: </t>
    </r>
    <r>
      <rPr>
        <sz val="10"/>
        <rFont val="Noto Sans CJK SC"/>
        <family val="2"/>
      </rPr>
      <t xml:space="preserve">連 </t>
    </r>
    <r>
      <rPr>
        <sz val="10"/>
        <rFont val="Arial"/>
        <family val="0"/>
        <charset val="1"/>
      </rPr>
      <t xml:space="preserve">có bộ </t>
    </r>
    <r>
      <rPr>
        <sz val="10"/>
        <rFont val="Noto Sans CJK SC"/>
        <family val="2"/>
      </rPr>
      <t xml:space="preserve">辶 → </t>
    </r>
    <r>
      <rPr>
        <sz val="10"/>
        <rFont val="Arial"/>
        <family val="0"/>
        <charset val="1"/>
      </rPr>
      <t xml:space="preserve">dắt người cùng di chuyển.
• </t>
    </r>
    <r>
      <rPr>
        <sz val="10"/>
        <rFont val="Noto Sans CJK SC"/>
        <family val="2"/>
      </rPr>
      <t xml:space="preserve">つれてきます（連れて 来ます） </t>
    </r>
    <r>
      <rPr>
        <sz val="10"/>
        <rFont val="Arial"/>
        <family val="0"/>
        <charset val="1"/>
      </rPr>
      <t xml:space="preserve">= Dẫn ai đến
   Mẹo: Cặp đôi với </t>
    </r>
    <r>
      <rPr>
        <sz val="10"/>
        <rFont val="Noto Sans CJK SC"/>
        <family val="2"/>
      </rPr>
      <t xml:space="preserve">連れて 行きます</t>
    </r>
    <r>
      <rPr>
        <sz val="10"/>
        <rFont val="Arial"/>
        <family val="0"/>
        <charset val="1"/>
      </rPr>
      <t xml:space="preserve">.
• </t>
    </r>
    <r>
      <rPr>
        <sz val="10"/>
        <rFont val="Noto Sans CJK SC"/>
        <family val="2"/>
      </rPr>
      <t xml:space="preserve">おくります（送ります） </t>
    </r>
    <r>
      <rPr>
        <sz val="10"/>
        <rFont val="Arial"/>
        <family val="0"/>
        <charset val="1"/>
      </rPr>
      <t xml:space="preserve">= Gửi, tiễn
   Mẹo: </t>
    </r>
    <r>
      <rPr>
        <sz val="10"/>
        <rFont val="Noto Sans CJK SC"/>
        <family val="2"/>
      </rPr>
      <t xml:space="preserve">送 </t>
    </r>
    <r>
      <rPr>
        <sz val="10"/>
        <rFont val="Arial"/>
        <family val="0"/>
        <charset val="1"/>
      </rPr>
      <t xml:space="preserve">có bộ </t>
    </r>
    <r>
      <rPr>
        <sz val="10"/>
        <rFont val="Noto Sans CJK SC"/>
        <family val="2"/>
      </rPr>
      <t xml:space="preserve">辶 → </t>
    </r>
    <r>
      <rPr>
        <sz val="10"/>
        <rFont val="Arial"/>
        <family val="0"/>
        <charset val="1"/>
      </rPr>
      <t xml:space="preserve">cho vật/người di chuyển đi.
• </t>
    </r>
    <r>
      <rPr>
        <sz val="10"/>
        <rFont val="Noto Sans CJK SC"/>
        <family val="2"/>
      </rPr>
      <t xml:space="preserve">しょうかいします（紹介します） </t>
    </r>
    <r>
      <rPr>
        <sz val="10"/>
        <rFont val="Arial"/>
        <family val="0"/>
        <charset val="1"/>
      </rPr>
      <t xml:space="preserve">= Giới thiệu
   Mẹo: THIỆU GIỚI = giới thiệu. Đảo thứ tự so với tiếng Việt.
• </t>
    </r>
    <r>
      <rPr>
        <sz val="10"/>
        <rFont val="Noto Sans CJK SC"/>
        <family val="2"/>
      </rPr>
      <t xml:space="preserve">あんないします（案内します） </t>
    </r>
    <r>
      <rPr>
        <sz val="10"/>
        <rFont val="Arial"/>
        <family val="0"/>
        <charset val="1"/>
      </rPr>
      <t xml:space="preserve">= Hướng dẫn, dẫn đường
   Mẹo: ÁN NỘI = chỉ dẫn vào trong.
• </t>
    </r>
    <r>
      <rPr>
        <sz val="10"/>
        <rFont val="Noto Sans CJK SC"/>
        <family val="2"/>
      </rPr>
      <t xml:space="preserve">せつめいします（説明します） </t>
    </r>
    <r>
      <rPr>
        <sz val="10"/>
        <rFont val="Arial"/>
        <family val="0"/>
        <charset val="1"/>
      </rPr>
      <t xml:space="preserve">= Giải thích
   Mẹo: THUYẾT MINH — âm Hán Việt y hệt tiếng Việt.
→ Đối chiếu thêm với mục </t>
    </r>
    <r>
      <rPr>
        <sz val="10"/>
        <rFont val="Noto Sans CJK SC"/>
        <family val="2"/>
      </rPr>
      <t xml:space="preserve">語彙 </t>
    </r>
    <r>
      <rPr>
        <sz val="10"/>
        <rFont val="Arial"/>
        <family val="0"/>
        <charset val="1"/>
      </rPr>
      <t xml:space="preserve">của bài 24 trong sách để bổ sung.</t>
    </r>
  </si>
  <si>
    <r>
      <rPr>
        <b val="true"/>
        <sz val="12"/>
        <color rgb="FF1F3864"/>
        <rFont val="Arial"/>
        <family val="0"/>
        <charset val="1"/>
      </rPr>
      <t xml:space="preserve">NGÀY 74  ·  Tuần 11  ·  Minna Bài 24 (2/2)  ·  Cho &amp; Nhận nâng cao — </t>
    </r>
    <r>
      <rPr>
        <b val="true"/>
        <sz val="12"/>
        <color rgb="FF1F3864"/>
        <rFont val="Noto Sans CJK SC"/>
        <family val="2"/>
      </rPr>
      <t xml:space="preserve">てあげる </t>
    </r>
    <r>
      <rPr>
        <b val="true"/>
        <sz val="12"/>
        <color rgb="FF1F3864"/>
        <rFont val="Arial"/>
        <family val="0"/>
        <charset val="1"/>
      </rPr>
      <t xml:space="preserve">/ </t>
    </r>
    <r>
      <rPr>
        <b val="true"/>
        <sz val="12"/>
        <color rgb="FF1F3864"/>
        <rFont val="Noto Sans CJK SC"/>
        <family val="2"/>
      </rPr>
      <t xml:space="preserve">てもらう </t>
    </r>
    <r>
      <rPr>
        <b val="true"/>
        <sz val="12"/>
        <color rgb="FF1F3864"/>
        <rFont val="Arial"/>
        <family val="0"/>
        <charset val="1"/>
      </rPr>
      <t xml:space="preserve">/ </t>
    </r>
    <r>
      <rPr>
        <b val="true"/>
        <sz val="12"/>
        <color rgb="FF1F3864"/>
        <rFont val="Noto Sans CJK SC"/>
        <family val="2"/>
      </rPr>
      <t xml:space="preserve">てくれる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</si>
  <si>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Học 1 chữ. Mỗi chữ viết tay 10 lần đúng thứ tự nét.
• </t>
    </r>
    <r>
      <rPr>
        <sz val="10"/>
        <rFont val="Noto Sans CJK SC"/>
        <family val="2"/>
      </rPr>
      <t xml:space="preserve">飲 </t>
    </r>
    <r>
      <rPr>
        <sz val="10"/>
        <rFont val="Arial"/>
        <family val="0"/>
        <charset val="1"/>
      </rPr>
      <t xml:space="preserve">[ẨM] Uống — On: </t>
    </r>
    <r>
      <rPr>
        <sz val="10"/>
        <rFont val="Noto Sans CJK SC"/>
        <family val="2"/>
      </rPr>
      <t xml:space="preserve">イン </t>
    </r>
    <r>
      <rPr>
        <sz val="10"/>
        <rFont val="Arial"/>
        <family val="0"/>
        <charset val="1"/>
      </rPr>
      <t xml:space="preserve">/ Kun: </t>
    </r>
    <r>
      <rPr>
        <sz val="10"/>
        <rFont val="Noto Sans CJK SC"/>
        <family val="2"/>
      </rPr>
      <t xml:space="preserve">の</t>
    </r>
    <r>
      <rPr>
        <sz val="10"/>
        <rFont val="Arial"/>
        <family val="0"/>
        <charset val="1"/>
      </rPr>
      <t xml:space="preserve">(</t>
    </r>
    <r>
      <rPr>
        <sz val="10"/>
        <rFont val="Noto Sans CJK SC"/>
        <family val="2"/>
      </rPr>
      <t xml:space="preserve">む</t>
    </r>
    <r>
      <rPr>
        <sz val="10"/>
        <rFont val="Arial"/>
        <family val="0"/>
        <charset val="1"/>
      </rPr>
      <t xml:space="preserve">) (12 nét)
   Từ ghép: </t>
    </r>
    <r>
      <rPr>
        <sz val="10"/>
        <rFont val="Noto Sans CJK SC"/>
        <family val="2"/>
      </rPr>
      <t xml:space="preserve">飲みます </t>
    </r>
    <r>
      <rPr>
        <sz val="10"/>
        <rFont val="Arial"/>
        <family val="0"/>
        <charset val="1"/>
      </rPr>
      <t xml:space="preserve">(</t>
    </r>
    <r>
      <rPr>
        <sz val="10"/>
        <rFont val="Noto Sans CJK SC"/>
        <family val="2"/>
      </rPr>
      <t xml:space="preserve">のみます</t>
    </r>
    <r>
      <rPr>
        <sz val="10"/>
        <rFont val="Arial"/>
        <family val="0"/>
        <charset val="1"/>
      </rPr>
      <t xml:space="preserve">) uống </t>
    </r>
    <r>
      <rPr>
        <sz val="10"/>
        <rFont val="Noto Sans CJK SC"/>
        <family val="2"/>
      </rPr>
      <t xml:space="preserve">・ 飲み物 </t>
    </r>
    <r>
      <rPr>
        <sz val="10"/>
        <rFont val="Arial"/>
        <family val="0"/>
        <charset val="1"/>
      </rPr>
      <t xml:space="preserve">(</t>
    </r>
    <r>
      <rPr>
        <sz val="10"/>
        <rFont val="Noto Sans CJK SC"/>
        <family val="2"/>
      </rPr>
      <t xml:space="preserve">のみもの</t>
    </r>
    <r>
      <rPr>
        <sz val="10"/>
        <rFont val="Arial"/>
        <family val="0"/>
        <charset val="1"/>
      </rPr>
      <t xml:space="preserve">) đồ uống </t>
    </r>
    <r>
      <rPr>
        <sz val="10"/>
        <rFont val="Noto Sans CJK SC"/>
        <family val="2"/>
      </rPr>
      <t xml:space="preserve">・ 飲食 </t>
    </r>
    <r>
      <rPr>
        <sz val="10"/>
        <rFont val="Arial"/>
        <family val="0"/>
        <charset val="1"/>
      </rPr>
      <t xml:space="preserve">(</t>
    </r>
    <r>
      <rPr>
        <sz val="10"/>
        <rFont val="Noto Sans CJK SC"/>
        <family val="2"/>
      </rPr>
      <t xml:space="preserve">いんしょく</t>
    </r>
    <r>
      <rPr>
        <sz val="10"/>
        <rFont val="Arial"/>
        <family val="0"/>
        <charset val="1"/>
      </rPr>
      <t xml:space="preserve">) ăn uống
   Mẹo: </t>
    </r>
    <r>
      <rPr>
        <sz val="10"/>
        <rFont val="Noto Sans CJK SC"/>
        <family val="2"/>
      </rPr>
      <t xml:space="preserve">食 </t>
    </r>
    <r>
      <rPr>
        <sz val="10"/>
        <rFont val="Arial"/>
        <family val="0"/>
        <charset val="1"/>
      </rPr>
      <t xml:space="preserve">(ăn) + </t>
    </r>
    <r>
      <rPr>
        <sz val="10"/>
        <rFont val="Noto Sans CJK SC"/>
        <family val="2"/>
      </rPr>
      <t xml:space="preserve">欠 </t>
    </r>
    <r>
      <rPr>
        <sz val="10"/>
        <rFont val="Arial"/>
        <family val="0"/>
        <charset val="1"/>
      </rPr>
      <t xml:space="preserve">(há miệng) = há miệng ngửa cổ ra → UỐNG.</t>
    </r>
  </si>
  <si>
    <r>
      <rPr>
        <sz val="10"/>
        <rFont val="Arial"/>
        <family val="0"/>
        <charset val="1"/>
      </rPr>
      <t xml:space="preserve">Minna bài 24 (2/2) — Cho &amp; Nhận nâng cao — </t>
    </r>
    <r>
      <rPr>
        <sz val="10"/>
        <rFont val="Noto Sans CJK SC"/>
        <family val="2"/>
      </rPr>
      <t xml:space="preserve">てあげる </t>
    </r>
    <r>
      <rPr>
        <sz val="10"/>
        <rFont val="Arial"/>
        <family val="0"/>
        <charset val="1"/>
      </rPr>
      <t xml:space="preserve">/ </t>
    </r>
    <r>
      <rPr>
        <sz val="10"/>
        <rFont val="Noto Sans CJK SC"/>
        <family val="2"/>
      </rPr>
      <t xml:space="preserve">てもらう </t>
    </r>
    <r>
      <rPr>
        <sz val="10"/>
        <rFont val="Arial"/>
        <family val="0"/>
        <charset val="1"/>
      </rPr>
      <t xml:space="preserve">/ </t>
    </r>
    <r>
      <rPr>
        <sz val="10"/>
        <rFont val="Noto Sans CJK SC"/>
        <family val="2"/>
      </rPr>
      <t xml:space="preserve">てくれる
• </t>
    </r>
    <r>
      <rPr>
        <sz val="10"/>
        <rFont val="Arial"/>
        <family val="0"/>
        <charset val="1"/>
      </rPr>
      <t xml:space="preserve">V </t>
    </r>
    <r>
      <rPr>
        <sz val="10"/>
        <rFont val="Noto Sans CJK SC"/>
        <family val="2"/>
      </rPr>
      <t xml:space="preserve">て もらいます  </t>
    </r>
    <r>
      <rPr>
        <sz val="10"/>
        <rFont val="Arial"/>
        <family val="0"/>
        <charset val="1"/>
      </rPr>
      <t xml:space="preserve">(Được ai đó làm gì cho. Chủ ngữ là người nhận ơn.)
   Ví dụ: </t>
    </r>
    <r>
      <rPr>
        <sz val="10"/>
        <rFont val="Noto Sans CJK SC"/>
        <family val="2"/>
      </rPr>
      <t xml:space="preserve">田中さんに 日本語を 教えて もらいました。  </t>
    </r>
    <r>
      <rPr>
        <sz val="10"/>
        <rFont val="Arial"/>
        <family val="0"/>
        <charset val="1"/>
      </rPr>
      <t xml:space="preserve">= Tôi được anh Tanaka dạy tiếng Nhật.
• V </t>
    </r>
    <r>
      <rPr>
        <sz val="10"/>
        <rFont val="Noto Sans CJK SC"/>
        <family val="2"/>
      </rPr>
      <t xml:space="preserve">て くれます  </t>
    </r>
    <r>
      <rPr>
        <sz val="10"/>
        <rFont val="Arial"/>
        <family val="0"/>
        <charset val="1"/>
      </rPr>
      <t xml:space="preserve">(Ai đó làm gì cho TÔI. Sắc thái biết ơn tự nhiên nhất.)
   Ví dụ: </t>
    </r>
    <r>
      <rPr>
        <sz val="10"/>
        <rFont val="Noto Sans CJK SC"/>
        <family val="2"/>
      </rPr>
      <t xml:space="preserve">母が セーターを 送って くれました。  </t>
    </r>
    <r>
      <rPr>
        <sz val="10"/>
        <rFont val="Arial"/>
        <family val="0"/>
        <charset val="1"/>
      </rPr>
      <t xml:space="preserve">= Mẹ đã gửi áo len cho tôi.
→ Làm </t>
    </r>
    <r>
      <rPr>
        <sz val="10"/>
        <rFont val="Noto Sans CJK SC"/>
        <family val="2"/>
      </rPr>
      <t xml:space="preserve">練習</t>
    </r>
    <r>
      <rPr>
        <sz val="10"/>
        <rFont val="Arial"/>
        <family val="0"/>
        <charset val="1"/>
      </rPr>
      <t xml:space="preserve">A của bài 24 trong sách, mỗi mẫu tự đặt 3 câu.</t>
    </r>
  </si>
  <si>
    <r>
      <rPr>
        <sz val="10"/>
        <rFont val="Arial"/>
        <family val="0"/>
        <charset val="1"/>
      </rPr>
      <t xml:space="preserve">Từ mới Minna bài 24:
• </t>
    </r>
    <r>
      <rPr>
        <sz val="10"/>
        <rFont val="Noto Sans CJK SC"/>
        <family val="2"/>
      </rPr>
      <t xml:space="preserve">なおします（直します） </t>
    </r>
    <r>
      <rPr>
        <sz val="10"/>
        <rFont val="Arial"/>
        <family val="0"/>
        <charset val="1"/>
      </rPr>
      <t xml:space="preserve">= Sửa
   Mẹo: </t>
    </r>
    <r>
      <rPr>
        <sz val="10"/>
        <rFont val="Noto Sans CJK SC"/>
        <family val="2"/>
      </rPr>
      <t xml:space="preserve">直 </t>
    </r>
    <r>
      <rPr>
        <sz val="10"/>
        <rFont val="Arial"/>
        <family val="0"/>
        <charset val="1"/>
      </rPr>
      <t xml:space="preserve">(TRỰC) = làm cho thẳng lại.
• </t>
    </r>
    <r>
      <rPr>
        <sz val="10"/>
        <rFont val="Noto Sans CJK SC"/>
        <family val="2"/>
      </rPr>
      <t xml:space="preserve">おじいさん </t>
    </r>
    <r>
      <rPr>
        <sz val="10"/>
        <rFont val="Arial"/>
        <family val="0"/>
        <charset val="1"/>
      </rPr>
      <t xml:space="preserve">/ </t>
    </r>
    <r>
      <rPr>
        <sz val="10"/>
        <rFont val="Noto Sans CJK SC"/>
        <family val="2"/>
      </rPr>
      <t xml:space="preserve">おばあさん </t>
    </r>
    <r>
      <rPr>
        <sz val="10"/>
        <rFont val="Arial"/>
        <family val="0"/>
        <charset val="1"/>
      </rPr>
      <t xml:space="preserve">= Ông / bà
   Mẹo: Cũng dùng để gọi người già nói chung.
• </t>
    </r>
    <r>
      <rPr>
        <sz val="10"/>
        <rFont val="Noto Sans CJK SC"/>
        <family val="2"/>
      </rPr>
      <t xml:space="preserve">そぼ </t>
    </r>
    <r>
      <rPr>
        <sz val="10"/>
        <rFont val="Arial"/>
        <family val="0"/>
        <charset val="1"/>
      </rPr>
      <t xml:space="preserve">/ </t>
    </r>
    <r>
      <rPr>
        <sz val="10"/>
        <rFont val="Noto Sans CJK SC"/>
        <family val="2"/>
      </rPr>
      <t xml:space="preserve">そふ（祖母 </t>
    </r>
    <r>
      <rPr>
        <sz val="10"/>
        <rFont val="Arial"/>
        <family val="0"/>
        <charset val="1"/>
      </rPr>
      <t xml:space="preserve">/ </t>
    </r>
    <r>
      <rPr>
        <sz val="10"/>
        <rFont val="Noto Sans CJK SC"/>
        <family val="2"/>
      </rPr>
      <t xml:space="preserve">祖父） </t>
    </r>
    <r>
      <rPr>
        <sz val="10"/>
        <rFont val="Arial"/>
        <family val="0"/>
        <charset val="1"/>
      </rPr>
      <t xml:space="preserve">= Bà tôi / ông tôi
   Mẹo: TỔ MẪU / TỔ PHỤ. Nói về người nhà mình thì dùng dạng này.
• </t>
    </r>
    <r>
      <rPr>
        <sz val="10"/>
        <rFont val="Noto Sans CJK SC"/>
        <family val="2"/>
      </rPr>
      <t xml:space="preserve">おべんとう（お弁当） </t>
    </r>
    <r>
      <rPr>
        <sz val="10"/>
        <rFont val="Arial"/>
        <family val="0"/>
        <charset val="1"/>
      </rPr>
      <t xml:space="preserve">= Cơm hộp
   Mẹo: BIỆN ĐƯƠNG = suất ăn mang theo.
• </t>
    </r>
    <r>
      <rPr>
        <sz val="10"/>
        <rFont val="Noto Sans CJK SC"/>
        <family val="2"/>
      </rPr>
      <t xml:space="preserve">ちず（地図） </t>
    </r>
    <r>
      <rPr>
        <sz val="10"/>
        <rFont val="Arial"/>
        <family val="0"/>
        <charset val="1"/>
      </rPr>
      <t xml:space="preserve">= Bản đồ
   Mẹo: ĐỊA ĐỒ = hình vẽ mặt đất.
• </t>
    </r>
    <r>
      <rPr>
        <sz val="10"/>
        <rFont val="Noto Sans CJK SC"/>
        <family val="2"/>
      </rPr>
      <t xml:space="preserve">じぶん（自分） </t>
    </r>
    <r>
      <rPr>
        <sz val="10"/>
        <rFont val="Arial"/>
        <family val="0"/>
        <charset val="1"/>
      </rPr>
      <t xml:space="preserve">= Bản thân
   Mẹo: TỰ PHÂN = phần của chính mình.
• </t>
    </r>
    <r>
      <rPr>
        <sz val="10"/>
        <rFont val="Noto Sans CJK SC"/>
        <family val="2"/>
      </rPr>
      <t xml:space="preserve">ひとりで（一人で） </t>
    </r>
    <r>
      <rPr>
        <sz val="10"/>
        <rFont val="Arial"/>
        <family val="0"/>
        <charset val="1"/>
      </rPr>
      <t xml:space="preserve">= Một mình
   Mẹo: Nhớ có </t>
    </r>
    <r>
      <rPr>
        <sz val="10"/>
        <rFont val="Noto Sans CJK SC"/>
        <family val="2"/>
      </rPr>
      <t xml:space="preserve">で </t>
    </r>
    <r>
      <rPr>
        <sz val="10"/>
        <rFont val="Arial"/>
        <family val="0"/>
        <charset val="1"/>
      </rPr>
      <t xml:space="preserve">ở cuối: </t>
    </r>
    <r>
      <rPr>
        <sz val="10"/>
        <rFont val="Noto Sans CJK SC"/>
        <family val="2"/>
      </rPr>
      <t xml:space="preserve">一人で 行きます </t>
    </r>
    <r>
      <rPr>
        <sz val="10"/>
        <rFont val="Arial"/>
        <family val="0"/>
        <charset val="1"/>
      </rPr>
      <t xml:space="preserve">= đi một mình.
→ Đối chiếu thêm với mục </t>
    </r>
    <r>
      <rPr>
        <sz val="10"/>
        <rFont val="Noto Sans CJK SC"/>
        <family val="2"/>
      </rPr>
      <t xml:space="preserve">語彙 </t>
    </r>
    <r>
      <rPr>
        <sz val="10"/>
        <rFont val="Arial"/>
        <family val="0"/>
        <charset val="1"/>
      </rPr>
      <t xml:space="preserve">của bài 24 trong sách để bổ sung.</t>
    </r>
  </si>
  <si>
    <r>
      <rPr>
        <b val="true"/>
        <sz val="12"/>
        <color rgb="FF1F3864"/>
        <rFont val="Arial"/>
        <family val="0"/>
        <charset val="1"/>
      </rPr>
      <t xml:space="preserve">NGÀY 75  ·  Tuần 11  ·  Minna Bài 25 (1/2)  ·  Giả định — </t>
    </r>
    <r>
      <rPr>
        <b val="true"/>
        <sz val="12"/>
        <color rgb="FF1F3864"/>
        <rFont val="Noto Sans CJK SC"/>
        <family val="2"/>
      </rPr>
      <t xml:space="preserve">たら </t>
    </r>
    <r>
      <rPr>
        <b val="true"/>
        <sz val="12"/>
        <color rgb="FF1F3864"/>
        <rFont val="Arial"/>
        <family val="0"/>
        <charset val="1"/>
      </rPr>
      <t xml:space="preserve">&amp; </t>
    </r>
    <r>
      <rPr>
        <b val="true"/>
        <sz val="12"/>
        <color rgb="FF1F3864"/>
        <rFont val="Noto Sans CJK SC"/>
        <family val="2"/>
      </rPr>
      <t xml:space="preserve">ても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</si>
  <si>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Học 1 chữ. Mỗi chữ viết tay 10 lần đúng thứ tự nét.
• </t>
    </r>
    <r>
      <rPr>
        <sz val="10"/>
        <rFont val="Noto Sans CJK SC"/>
        <family val="2"/>
      </rPr>
      <t xml:space="preserve">魚 </t>
    </r>
    <r>
      <rPr>
        <sz val="10"/>
        <rFont val="Arial"/>
        <family val="0"/>
        <charset val="1"/>
      </rPr>
      <t xml:space="preserve">[NGƯ] Cá — On: </t>
    </r>
    <r>
      <rPr>
        <sz val="10"/>
        <rFont val="Noto Sans CJK SC"/>
        <family val="2"/>
      </rPr>
      <t xml:space="preserve">ギョ </t>
    </r>
    <r>
      <rPr>
        <sz val="10"/>
        <rFont val="Arial"/>
        <family val="0"/>
        <charset val="1"/>
      </rPr>
      <t xml:space="preserve">/ Kun: </t>
    </r>
    <r>
      <rPr>
        <sz val="10"/>
        <rFont val="Noto Sans CJK SC"/>
        <family val="2"/>
      </rPr>
      <t xml:space="preserve">さかな </t>
    </r>
    <r>
      <rPr>
        <sz val="10"/>
        <rFont val="Arial"/>
        <family val="0"/>
        <charset val="1"/>
      </rPr>
      <t xml:space="preserve">(11 nét)
   Từ ghép: </t>
    </r>
    <r>
      <rPr>
        <sz val="10"/>
        <rFont val="Noto Sans CJK SC"/>
        <family val="2"/>
      </rPr>
      <t xml:space="preserve">魚 </t>
    </r>
    <r>
      <rPr>
        <sz val="10"/>
        <rFont val="Arial"/>
        <family val="0"/>
        <charset val="1"/>
      </rPr>
      <t xml:space="preserve">(</t>
    </r>
    <r>
      <rPr>
        <sz val="10"/>
        <rFont val="Noto Sans CJK SC"/>
        <family val="2"/>
      </rPr>
      <t xml:space="preserve">さかな</t>
    </r>
    <r>
      <rPr>
        <sz val="10"/>
        <rFont val="Arial"/>
        <family val="0"/>
        <charset val="1"/>
      </rPr>
      <t xml:space="preserve">) cá </t>
    </r>
    <r>
      <rPr>
        <sz val="10"/>
        <rFont val="Noto Sans CJK SC"/>
        <family val="2"/>
      </rPr>
      <t xml:space="preserve">・ 金魚 </t>
    </r>
    <r>
      <rPr>
        <sz val="10"/>
        <rFont val="Arial"/>
        <family val="0"/>
        <charset val="1"/>
      </rPr>
      <t xml:space="preserve">(</t>
    </r>
    <r>
      <rPr>
        <sz val="10"/>
        <rFont val="Noto Sans CJK SC"/>
        <family val="2"/>
      </rPr>
      <t xml:space="preserve">きんぎょ</t>
    </r>
    <r>
      <rPr>
        <sz val="10"/>
        <rFont val="Arial"/>
        <family val="0"/>
        <charset val="1"/>
      </rPr>
      <t xml:space="preserve">) cá vàng </t>
    </r>
    <r>
      <rPr>
        <sz val="10"/>
        <rFont val="Noto Sans CJK SC"/>
        <family val="2"/>
      </rPr>
      <t xml:space="preserve">・ 魚屋 </t>
    </r>
    <r>
      <rPr>
        <sz val="10"/>
        <rFont val="Arial"/>
        <family val="0"/>
        <charset val="1"/>
      </rPr>
      <t xml:space="preserve">(</t>
    </r>
    <r>
      <rPr>
        <sz val="10"/>
        <rFont val="Noto Sans CJK SC"/>
        <family val="2"/>
      </rPr>
      <t xml:space="preserve">さかなや</t>
    </r>
    <r>
      <rPr>
        <sz val="10"/>
        <rFont val="Arial"/>
        <family val="0"/>
        <charset val="1"/>
      </rPr>
      <t xml:space="preserve">) hàng cá
   Mẹo: Từ trên xuống: đầu cá, thân có vảy, bốn chấm dưới là cái đuôi xòe.</t>
    </r>
  </si>
  <si>
    <r>
      <rPr>
        <sz val="10"/>
        <rFont val="Arial"/>
        <family val="0"/>
        <charset val="1"/>
      </rPr>
      <t xml:space="preserve">Minna bài 25 (1/2) — Giả định — </t>
    </r>
    <r>
      <rPr>
        <sz val="10"/>
        <rFont val="Noto Sans CJK SC"/>
        <family val="2"/>
      </rPr>
      <t xml:space="preserve">たら </t>
    </r>
    <r>
      <rPr>
        <sz val="10"/>
        <rFont val="Arial"/>
        <family val="0"/>
        <charset val="1"/>
      </rPr>
      <t xml:space="preserve">&amp; </t>
    </r>
    <r>
      <rPr>
        <sz val="10"/>
        <rFont val="Noto Sans CJK SC"/>
        <family val="2"/>
      </rPr>
      <t xml:space="preserve">ても
• 普通形 た </t>
    </r>
    <r>
      <rPr>
        <sz val="10"/>
        <rFont val="Arial"/>
        <family val="0"/>
        <charset val="1"/>
      </rPr>
      <t xml:space="preserve">+ </t>
    </r>
    <r>
      <rPr>
        <sz val="10"/>
        <rFont val="Noto Sans CJK SC"/>
        <family val="2"/>
      </rPr>
      <t xml:space="preserve">ら、〜  </t>
    </r>
    <r>
      <rPr>
        <sz val="10"/>
        <rFont val="Arial"/>
        <family val="0"/>
        <charset val="1"/>
      </rPr>
      <t xml:space="preserve">(Nếu ~ thì ~. Điều kiện linh hoạt nhất, dùng được với cả ý chí, mệnh lệnh, rủ rê.)
   Ví dụ: </t>
    </r>
    <r>
      <rPr>
        <sz val="10"/>
        <rFont val="Noto Sans CJK SC"/>
        <family val="2"/>
      </rPr>
      <t xml:space="preserve">雨が 降ったら、行きません。  </t>
    </r>
    <r>
      <rPr>
        <sz val="10"/>
        <rFont val="Arial"/>
        <family val="0"/>
        <charset val="1"/>
      </rPr>
      <t xml:space="preserve">= Nếu trời mưa thì tôi không đi.
• V </t>
    </r>
    <r>
      <rPr>
        <sz val="10"/>
        <rFont val="Noto Sans CJK SC"/>
        <family val="2"/>
      </rPr>
      <t xml:space="preserve">て も、〜  </t>
    </r>
    <r>
      <rPr>
        <sz val="10"/>
        <rFont val="Arial"/>
        <family val="0"/>
        <charset val="1"/>
      </rPr>
      <t xml:space="preserve">(Dù ~ thì vẫn ~. Vế sau đi ngược lại mong đợi.)
   Ví dụ: </t>
    </r>
    <r>
      <rPr>
        <sz val="10"/>
        <rFont val="Noto Sans CJK SC"/>
        <family val="2"/>
      </rPr>
      <t xml:space="preserve">雨が 降っても、行きます。  </t>
    </r>
    <r>
      <rPr>
        <sz val="10"/>
        <rFont val="Arial"/>
        <family val="0"/>
        <charset val="1"/>
      </rPr>
      <t xml:space="preserve">= Dù trời mưa tôi vẫn đi.
→ Làm </t>
    </r>
    <r>
      <rPr>
        <sz val="10"/>
        <rFont val="Noto Sans CJK SC"/>
        <family val="2"/>
      </rPr>
      <t xml:space="preserve">練習</t>
    </r>
    <r>
      <rPr>
        <sz val="10"/>
        <rFont val="Arial"/>
        <family val="0"/>
        <charset val="1"/>
      </rPr>
      <t xml:space="preserve">A của bài 25 trong sách, mỗi mẫu tự đặt 3 câu.</t>
    </r>
  </si>
  <si>
    <r>
      <rPr>
        <sz val="10"/>
        <rFont val="Arial"/>
        <family val="0"/>
        <charset val="1"/>
      </rPr>
      <t xml:space="preserve">Từ mới Minna bài 25:
• </t>
    </r>
    <r>
      <rPr>
        <sz val="10"/>
        <rFont val="Noto Sans CJK SC"/>
        <family val="2"/>
      </rPr>
      <t xml:space="preserve">ひっこしします（引っ越しします） </t>
    </r>
    <r>
      <rPr>
        <sz val="10"/>
        <rFont val="Arial"/>
        <family val="0"/>
        <charset val="1"/>
      </rPr>
      <t xml:space="preserve">= Chuyển nhà
   Mẹo: </t>
    </r>
    <r>
      <rPr>
        <sz val="10"/>
        <rFont val="Noto Sans CJK SC"/>
        <family val="2"/>
      </rPr>
      <t xml:space="preserve">引 </t>
    </r>
    <r>
      <rPr>
        <sz val="10"/>
        <rFont val="Arial"/>
        <family val="0"/>
        <charset val="1"/>
      </rPr>
      <t xml:space="preserve">(kéo) + </t>
    </r>
    <r>
      <rPr>
        <sz val="10"/>
        <rFont val="Noto Sans CJK SC"/>
        <family val="2"/>
      </rPr>
      <t xml:space="preserve">越 </t>
    </r>
    <r>
      <rPr>
        <sz val="10"/>
        <rFont val="Arial"/>
        <family val="0"/>
        <charset val="1"/>
      </rPr>
      <t xml:space="preserve">(vượt qua) → kéo đồ vượt sang chỗ mới.
• </t>
    </r>
    <r>
      <rPr>
        <sz val="10"/>
        <rFont val="Noto Sans CJK SC"/>
        <family val="2"/>
      </rPr>
      <t xml:space="preserve">かんがえます（考えます） </t>
    </r>
    <r>
      <rPr>
        <sz val="10"/>
        <rFont val="Arial"/>
        <family val="0"/>
        <charset val="1"/>
      </rPr>
      <t xml:space="preserve">= Suy nghĩ
   Mẹo: </t>
    </r>
    <r>
      <rPr>
        <sz val="10"/>
        <rFont val="Noto Sans CJK SC"/>
        <family val="2"/>
      </rPr>
      <t xml:space="preserve">考 </t>
    </r>
    <r>
      <rPr>
        <sz val="10"/>
        <rFont val="Arial"/>
        <family val="0"/>
        <charset val="1"/>
      </rPr>
      <t xml:space="preserve">có bộ </t>
    </r>
    <r>
      <rPr>
        <sz val="10"/>
        <rFont val="Noto Sans CJK SC"/>
        <family val="2"/>
      </rPr>
      <t xml:space="preserve">耂 </t>
    </r>
    <r>
      <rPr>
        <sz val="10"/>
        <rFont val="Arial"/>
        <family val="0"/>
        <charset val="1"/>
      </rPr>
      <t xml:space="preserve">(người già) → người già suy nghĩ chín chắn.
• </t>
    </r>
    <r>
      <rPr>
        <sz val="10"/>
        <rFont val="Noto Sans CJK SC"/>
        <family val="2"/>
      </rPr>
      <t xml:space="preserve">とります（取ります） </t>
    </r>
    <r>
      <rPr>
        <sz val="10"/>
        <rFont val="Arial"/>
        <family val="0"/>
        <charset val="1"/>
      </rPr>
      <t xml:space="preserve">= Lấy, nhận
   Mẹo: </t>
    </r>
    <r>
      <rPr>
        <sz val="10"/>
        <rFont val="Noto Sans CJK SC"/>
        <family val="2"/>
      </rPr>
      <t xml:space="preserve">取 </t>
    </r>
    <r>
      <rPr>
        <sz val="10"/>
        <rFont val="Arial"/>
        <family val="0"/>
        <charset val="1"/>
      </rPr>
      <t xml:space="preserve">= </t>
    </r>
    <r>
      <rPr>
        <sz val="10"/>
        <rFont val="Noto Sans CJK SC"/>
        <family val="2"/>
      </rPr>
      <t xml:space="preserve">耳 </t>
    </r>
    <r>
      <rPr>
        <sz val="10"/>
        <rFont val="Arial"/>
        <family val="0"/>
        <charset val="1"/>
      </rPr>
      <t xml:space="preserve">(tai) + </t>
    </r>
    <r>
      <rPr>
        <sz val="10"/>
        <rFont val="Noto Sans CJK SC"/>
        <family val="2"/>
      </rPr>
      <t xml:space="preserve">又 </t>
    </r>
    <r>
      <rPr>
        <sz val="10"/>
        <rFont val="Arial"/>
        <family val="0"/>
        <charset val="1"/>
      </rPr>
      <t xml:space="preserve">(tay) → tay túm lấy. </t>
    </r>
    <r>
      <rPr>
        <sz val="10"/>
        <rFont val="Noto Sans CJK SC"/>
        <family val="2"/>
      </rPr>
      <t xml:space="preserve">年を 取ります </t>
    </r>
    <r>
      <rPr>
        <sz val="10"/>
        <rFont val="Arial"/>
        <family val="0"/>
        <charset val="1"/>
      </rPr>
      <t xml:space="preserve">= già đi.
• </t>
    </r>
    <r>
      <rPr>
        <sz val="10"/>
        <rFont val="Noto Sans CJK SC"/>
        <family val="2"/>
      </rPr>
      <t xml:space="preserve">いなか（田舎） </t>
    </r>
    <r>
      <rPr>
        <sz val="10"/>
        <rFont val="Arial"/>
        <family val="0"/>
        <charset val="1"/>
      </rPr>
      <t xml:space="preserve">= Quê, nông thôn
   Mẹo: ĐIỀN XÁ = nhà giữa ruộng đồng.
• </t>
    </r>
    <r>
      <rPr>
        <sz val="10"/>
        <rFont val="Noto Sans CJK SC"/>
        <family val="2"/>
      </rPr>
      <t xml:space="preserve">チャンス </t>
    </r>
    <r>
      <rPr>
        <sz val="10"/>
        <rFont val="Arial"/>
        <family val="0"/>
        <charset val="1"/>
      </rPr>
      <t xml:space="preserve">= Cơ hội
   Mẹo: Từ 'chance'.
• </t>
    </r>
    <r>
      <rPr>
        <sz val="10"/>
        <rFont val="Noto Sans CJK SC"/>
        <family val="2"/>
      </rPr>
      <t xml:space="preserve">おく（億） </t>
    </r>
    <r>
      <rPr>
        <sz val="10"/>
        <rFont val="Arial"/>
        <family val="0"/>
        <charset val="1"/>
      </rPr>
      <t xml:space="preserve">= Trăm triệu
   Mẹo: ỨC. </t>
    </r>
    <r>
      <rPr>
        <sz val="10"/>
        <rFont val="Noto Sans CJK SC"/>
        <family val="2"/>
      </rPr>
      <t xml:space="preserve">一億円 </t>
    </r>
    <r>
      <rPr>
        <sz val="10"/>
        <rFont val="Arial"/>
        <family val="0"/>
        <charset val="1"/>
      </rPr>
      <t xml:space="preserve">= 100 triệu yên.
• </t>
    </r>
    <r>
      <rPr>
        <sz val="10"/>
        <rFont val="Noto Sans CJK SC"/>
        <family val="2"/>
      </rPr>
      <t xml:space="preserve">〜たら </t>
    </r>
    <r>
      <rPr>
        <sz val="10"/>
        <rFont val="Arial"/>
        <family val="0"/>
        <charset val="1"/>
      </rPr>
      <t xml:space="preserve">= Nếu ~ thì
   Mẹo: Chia như thể </t>
    </r>
    <r>
      <rPr>
        <sz val="10"/>
        <rFont val="Noto Sans CJK SC"/>
        <family val="2"/>
      </rPr>
      <t xml:space="preserve">た </t>
    </r>
    <r>
      <rPr>
        <sz val="10"/>
        <rFont val="Arial"/>
        <family val="0"/>
        <charset val="1"/>
      </rPr>
      <t xml:space="preserve">rồi thêm </t>
    </r>
    <r>
      <rPr>
        <sz val="10"/>
        <rFont val="Noto Sans CJK SC"/>
        <family val="2"/>
      </rPr>
      <t xml:space="preserve">ら</t>
    </r>
    <r>
      <rPr>
        <sz val="10"/>
        <rFont val="Arial"/>
        <family val="0"/>
        <charset val="1"/>
      </rPr>
      <t xml:space="preserve">: </t>
    </r>
    <r>
      <rPr>
        <sz val="10"/>
        <rFont val="Noto Sans CJK SC"/>
        <family val="2"/>
      </rPr>
      <t xml:space="preserve">行った → 行ったら</t>
    </r>
    <r>
      <rPr>
        <sz val="10"/>
        <rFont val="Arial"/>
        <family val="0"/>
        <charset val="1"/>
      </rPr>
      <t xml:space="preserve">.
→ Đối chiếu thêm với mục </t>
    </r>
    <r>
      <rPr>
        <sz val="10"/>
        <rFont val="Noto Sans CJK SC"/>
        <family val="2"/>
      </rPr>
      <t xml:space="preserve">語彙 </t>
    </r>
    <r>
      <rPr>
        <sz val="10"/>
        <rFont val="Arial"/>
        <family val="0"/>
        <charset val="1"/>
      </rPr>
      <t xml:space="preserve">của bài 25 trong sách để bổ sung.</t>
    </r>
  </si>
  <si>
    <r>
      <rPr>
        <b val="true"/>
        <sz val="12"/>
        <color rgb="FF1F3864"/>
        <rFont val="Arial"/>
        <family val="0"/>
        <charset val="1"/>
      </rPr>
      <t xml:space="preserve">NGÀY 76  ·  Tuần 11  ·  Minna Bài 25 (2/2)  ·  Giả định — </t>
    </r>
    <r>
      <rPr>
        <b val="true"/>
        <sz val="12"/>
        <color rgb="FF1F3864"/>
        <rFont val="Noto Sans CJK SC"/>
        <family val="2"/>
      </rPr>
      <t xml:space="preserve">たら </t>
    </r>
    <r>
      <rPr>
        <b val="true"/>
        <sz val="12"/>
        <color rgb="FF1F3864"/>
        <rFont val="Arial"/>
        <family val="0"/>
        <charset val="1"/>
      </rPr>
      <t xml:space="preserve">&amp; </t>
    </r>
    <r>
      <rPr>
        <b val="true"/>
        <sz val="12"/>
        <color rgb="FF1F3864"/>
        <rFont val="Noto Sans CJK SC"/>
        <family val="2"/>
      </rPr>
      <t xml:space="preserve">ても      〔</t>
    </r>
    <r>
      <rPr>
        <b val="true"/>
        <sz val="12"/>
        <color rgb="FF1F3864"/>
        <rFont val="Arial"/>
        <family val="0"/>
        <charset val="1"/>
      </rPr>
      <t xml:space="preserve">100 phút · 6 việc</t>
    </r>
    <r>
      <rPr>
        <b val="true"/>
        <sz val="12"/>
        <color rgb="FF1F3864"/>
        <rFont val="Noto Sans CJK SC"/>
        <family val="2"/>
      </rPr>
      <t xml:space="preserve">〕</t>
    </r>
  </si>
  <si>
    <r>
      <rPr>
        <sz val="10"/>
        <rFont val="Arial"/>
        <family val="0"/>
        <charset val="1"/>
      </rPr>
      <t xml:space="preserve">Học 1 chữ. Mỗi chữ viết tay 10 lần đúng thứ tự nét.
• </t>
    </r>
    <r>
      <rPr>
        <sz val="10"/>
        <rFont val="Noto Sans CJK SC"/>
        <family val="2"/>
      </rPr>
      <t xml:space="preserve">耳 </t>
    </r>
    <r>
      <rPr>
        <sz val="10"/>
        <rFont val="Arial"/>
        <family val="0"/>
        <charset val="1"/>
      </rPr>
      <t xml:space="preserve">[NHĨ] Tai — On: </t>
    </r>
    <r>
      <rPr>
        <sz val="10"/>
        <rFont val="Noto Sans CJK SC"/>
        <family val="2"/>
      </rPr>
      <t xml:space="preserve">ジ </t>
    </r>
    <r>
      <rPr>
        <sz val="10"/>
        <rFont val="Arial"/>
        <family val="0"/>
        <charset val="1"/>
      </rPr>
      <t xml:space="preserve">/ Kun: </t>
    </r>
    <r>
      <rPr>
        <sz val="10"/>
        <rFont val="Noto Sans CJK SC"/>
        <family val="2"/>
      </rPr>
      <t xml:space="preserve">みみ </t>
    </r>
    <r>
      <rPr>
        <sz val="10"/>
        <rFont val="Arial"/>
        <family val="0"/>
        <charset val="1"/>
      </rPr>
      <t xml:space="preserve">(6 nét)
   Từ ghép: </t>
    </r>
    <r>
      <rPr>
        <sz val="10"/>
        <rFont val="Noto Sans CJK SC"/>
        <family val="2"/>
      </rPr>
      <t xml:space="preserve">耳 </t>
    </r>
    <r>
      <rPr>
        <sz val="10"/>
        <rFont val="Arial"/>
        <family val="0"/>
        <charset val="1"/>
      </rPr>
      <t xml:space="preserve">(</t>
    </r>
    <r>
      <rPr>
        <sz val="10"/>
        <rFont val="Noto Sans CJK SC"/>
        <family val="2"/>
      </rPr>
      <t xml:space="preserve">みみ</t>
    </r>
    <r>
      <rPr>
        <sz val="10"/>
        <rFont val="Arial"/>
        <family val="0"/>
        <charset val="1"/>
      </rPr>
      <t xml:space="preserve">) tai </t>
    </r>
    <r>
      <rPr>
        <sz val="10"/>
        <rFont val="Noto Sans CJK SC"/>
        <family val="2"/>
      </rPr>
      <t xml:space="preserve">・ 耳鼻科 </t>
    </r>
    <r>
      <rPr>
        <sz val="10"/>
        <rFont val="Arial"/>
        <family val="0"/>
        <charset val="1"/>
      </rPr>
      <t xml:space="preserve">(</t>
    </r>
    <r>
      <rPr>
        <sz val="10"/>
        <rFont val="Noto Sans CJK SC"/>
        <family val="2"/>
      </rPr>
      <t xml:space="preserve">じびか</t>
    </r>
    <r>
      <rPr>
        <sz val="10"/>
        <rFont val="Arial"/>
        <family val="0"/>
        <charset val="1"/>
      </rPr>
      <t xml:space="preserve">) khoa tai mũi họng </t>
    </r>
    <r>
      <rPr>
        <sz val="10"/>
        <rFont val="Noto Sans CJK SC"/>
        <family val="2"/>
      </rPr>
      <t xml:space="preserve">・ 中耳炎 </t>
    </r>
    <r>
      <rPr>
        <sz val="10"/>
        <rFont val="Arial"/>
        <family val="0"/>
        <charset val="1"/>
      </rPr>
      <t xml:space="preserve">(</t>
    </r>
    <r>
      <rPr>
        <sz val="10"/>
        <rFont val="Noto Sans CJK SC"/>
        <family val="2"/>
      </rPr>
      <t xml:space="preserve">ちゅうじえん</t>
    </r>
    <r>
      <rPr>
        <sz val="10"/>
        <rFont val="Arial"/>
        <family val="0"/>
        <charset val="1"/>
      </rPr>
      <t xml:space="preserve">) viêm tai giữa
   Mẹo: Hình vành TAI với các nếp gấp bên trong.</t>
    </r>
  </si>
  <si>
    <r>
      <rPr>
        <sz val="10"/>
        <rFont val="Arial"/>
        <family val="0"/>
        <charset val="1"/>
      </rPr>
      <t xml:space="preserve">Minna bài 25 (2/2) — Giả định — </t>
    </r>
    <r>
      <rPr>
        <sz val="10"/>
        <rFont val="Noto Sans CJK SC"/>
        <family val="2"/>
      </rPr>
      <t xml:space="preserve">たら </t>
    </r>
    <r>
      <rPr>
        <sz val="10"/>
        <rFont val="Arial"/>
        <family val="0"/>
        <charset val="1"/>
      </rPr>
      <t xml:space="preserve">&amp; </t>
    </r>
    <r>
      <rPr>
        <sz val="10"/>
        <rFont val="Noto Sans CJK SC"/>
        <family val="2"/>
      </rPr>
      <t xml:space="preserve">ても
• もし 〜 たら  </t>
    </r>
    <r>
      <rPr>
        <sz val="10"/>
        <rFont val="Arial"/>
        <family val="0"/>
        <charset val="1"/>
      </rPr>
      <t xml:space="preserve">(</t>
    </r>
    <r>
      <rPr>
        <sz val="10"/>
        <rFont val="Noto Sans CJK SC"/>
        <family val="2"/>
      </rPr>
      <t xml:space="preserve">もし </t>
    </r>
    <r>
      <rPr>
        <sz val="10"/>
        <rFont val="Arial"/>
        <family val="0"/>
        <charset val="1"/>
      </rPr>
      <t xml:space="preserve">đứng đầu câu nhấn mạnh đây là giả định.)
   Ví dụ: </t>
    </r>
    <r>
      <rPr>
        <sz val="10"/>
        <rFont val="Noto Sans CJK SC"/>
        <family val="2"/>
      </rPr>
      <t xml:space="preserve">もし </t>
    </r>
    <r>
      <rPr>
        <sz val="10"/>
        <rFont val="Arial"/>
        <family val="0"/>
        <charset val="1"/>
      </rPr>
      <t xml:space="preserve">1</t>
    </r>
    <r>
      <rPr>
        <sz val="10"/>
        <rFont val="Noto Sans CJK SC"/>
        <family val="2"/>
      </rPr>
      <t xml:space="preserve">億円 あったら、家を 買います。  </t>
    </r>
    <r>
      <rPr>
        <sz val="10"/>
        <rFont val="Arial"/>
        <family val="0"/>
        <charset val="1"/>
      </rPr>
      <t xml:space="preserve">= Nếu có 100 triệu yên, tôi sẽ mua nhà.
• </t>
    </r>
    <r>
      <rPr>
        <sz val="10"/>
        <rFont val="Noto Sans CJK SC"/>
        <family val="2"/>
      </rPr>
      <t xml:space="preserve">いくら 〜 ても  </t>
    </r>
    <r>
      <rPr>
        <sz val="10"/>
        <rFont val="Arial"/>
        <family val="0"/>
        <charset val="1"/>
      </rPr>
      <t xml:space="preserve">(Dù ~ đến mấy đi nữa cũng ~.)
   Ví dụ: </t>
    </r>
    <r>
      <rPr>
        <sz val="10"/>
        <rFont val="Noto Sans CJK SC"/>
        <family val="2"/>
      </rPr>
      <t xml:space="preserve">いくら 考えても、わかりません。  </t>
    </r>
    <r>
      <rPr>
        <sz val="10"/>
        <rFont val="Arial"/>
        <family val="0"/>
        <charset val="1"/>
      </rPr>
      <t xml:space="preserve">= Dù nghĩ thế nào tôi cũng không hiểu.
→ Làm </t>
    </r>
    <r>
      <rPr>
        <sz val="10"/>
        <rFont val="Noto Sans CJK SC"/>
        <family val="2"/>
      </rPr>
      <t xml:space="preserve">練習</t>
    </r>
    <r>
      <rPr>
        <sz val="10"/>
        <rFont val="Arial"/>
        <family val="0"/>
        <charset val="1"/>
      </rPr>
      <t xml:space="preserve">A của bài 25 trong sách, mỗi mẫu tự đặt 3 câu.</t>
    </r>
  </si>
  <si>
    <r>
      <rPr>
        <sz val="10"/>
        <rFont val="Arial"/>
        <family val="0"/>
        <charset val="1"/>
      </rPr>
      <t xml:space="preserve">Từ mới Minna bài 25:
• </t>
    </r>
    <r>
      <rPr>
        <sz val="10"/>
        <rFont val="Noto Sans CJK SC"/>
        <family val="2"/>
      </rPr>
      <t xml:space="preserve">〜ても </t>
    </r>
    <r>
      <rPr>
        <sz val="10"/>
        <rFont val="Arial"/>
        <family val="0"/>
        <charset val="1"/>
      </rPr>
      <t xml:space="preserve">= Dù ~ thì
   Mẹo: Chia như thể </t>
    </r>
    <r>
      <rPr>
        <sz val="10"/>
        <rFont val="Noto Sans CJK SC"/>
        <family val="2"/>
      </rPr>
      <t xml:space="preserve">て </t>
    </r>
    <r>
      <rPr>
        <sz val="10"/>
        <rFont val="Arial"/>
        <family val="0"/>
        <charset val="1"/>
      </rPr>
      <t xml:space="preserve">rồi thêm </t>
    </r>
    <r>
      <rPr>
        <sz val="10"/>
        <rFont val="Noto Sans CJK SC"/>
        <family val="2"/>
      </rPr>
      <t xml:space="preserve">も</t>
    </r>
    <r>
      <rPr>
        <sz val="10"/>
        <rFont val="Arial"/>
        <family val="0"/>
        <charset val="1"/>
      </rPr>
      <t xml:space="preserve">: </t>
    </r>
    <r>
      <rPr>
        <sz val="10"/>
        <rFont val="Noto Sans CJK SC"/>
        <family val="2"/>
      </rPr>
      <t xml:space="preserve">行って → 行っても</t>
    </r>
    <r>
      <rPr>
        <sz val="10"/>
        <rFont val="Arial"/>
        <family val="0"/>
        <charset val="1"/>
      </rPr>
      <t xml:space="preserve">.
• </t>
    </r>
    <r>
      <rPr>
        <sz val="10"/>
        <rFont val="Noto Sans CJK SC"/>
        <family val="2"/>
      </rPr>
      <t xml:space="preserve">もし </t>
    </r>
    <r>
      <rPr>
        <sz val="10"/>
        <rFont val="Arial"/>
        <family val="0"/>
        <charset val="1"/>
      </rPr>
      <t xml:space="preserve">= Giả sử, nếu như
   Mẹo: Đứng đầu câu, báo hiệu đây là giả định.
• </t>
    </r>
    <r>
      <rPr>
        <sz val="10"/>
        <rFont val="Noto Sans CJK SC"/>
        <family val="2"/>
      </rPr>
      <t xml:space="preserve">いくら〜ても </t>
    </r>
    <r>
      <rPr>
        <sz val="10"/>
        <rFont val="Arial"/>
        <family val="0"/>
        <charset val="1"/>
      </rPr>
      <t xml:space="preserve">= Dù ~ bao nhiêu đi nữa
   Mẹo: </t>
    </r>
    <r>
      <rPr>
        <sz val="10"/>
        <rFont val="Noto Sans CJK SC"/>
        <family val="2"/>
      </rPr>
      <t xml:space="preserve">いくら 高くても 買います </t>
    </r>
    <r>
      <rPr>
        <sz val="10"/>
        <rFont val="Arial"/>
        <family val="0"/>
        <charset val="1"/>
      </rPr>
      <t xml:space="preserve">= dù đắt mấy tôi cũng mua.
• </t>
    </r>
    <r>
      <rPr>
        <sz val="10"/>
        <rFont val="Noto Sans CJK SC"/>
        <family val="2"/>
      </rPr>
      <t xml:space="preserve">しゅうかん（習慣） </t>
    </r>
    <r>
      <rPr>
        <sz val="10"/>
        <rFont val="Arial"/>
        <family val="0"/>
        <charset val="1"/>
      </rPr>
      <t xml:space="preserve">= Thói quen
   Mẹo: TẬP QUÁN — âm Hán Việt y hệt tiếng Việt.
• </t>
    </r>
    <r>
      <rPr>
        <sz val="10"/>
        <rFont val="Noto Sans CJK SC"/>
        <family val="2"/>
      </rPr>
      <t xml:space="preserve">じんせい（人生） </t>
    </r>
    <r>
      <rPr>
        <sz val="10"/>
        <rFont val="Arial"/>
        <family val="0"/>
        <charset val="1"/>
      </rPr>
      <t xml:space="preserve">= Cuộc đời
   Mẹo: NHÂN SINH = đời người.
• </t>
    </r>
    <r>
      <rPr>
        <sz val="10"/>
        <rFont val="Noto Sans CJK SC"/>
        <family val="2"/>
      </rPr>
      <t xml:space="preserve">おせわに なりました（お世話に なりました） </t>
    </r>
    <r>
      <rPr>
        <sz val="10"/>
        <rFont val="Arial"/>
        <family val="0"/>
        <charset val="1"/>
      </rPr>
      <t xml:space="preserve">= Cảm ơn vì đã giúp đỡ
   Mẹo: Câu chào chia tay quan trọng nhất khi rời công ty, trường học.
• </t>
    </r>
    <r>
      <rPr>
        <sz val="10"/>
        <rFont val="Noto Sans CJK SC"/>
        <family val="2"/>
      </rPr>
      <t xml:space="preserve">がんばります（頑張ります） </t>
    </r>
    <r>
      <rPr>
        <sz val="10"/>
        <rFont val="Arial"/>
        <family val="0"/>
        <charset val="1"/>
      </rPr>
      <t xml:space="preserve">= Cố gắng
   Mẹo: NGOAN TRƯƠNG = bướng bỉnh mà căng ra → CỐ GẮNG hết sức.
→ Đối chiếu thêm với mục </t>
    </r>
    <r>
      <rPr>
        <sz val="10"/>
        <rFont val="Noto Sans CJK SC"/>
        <family val="2"/>
      </rPr>
      <t xml:space="preserve">語彙 </t>
    </r>
    <r>
      <rPr>
        <sz val="10"/>
        <rFont val="Arial"/>
        <family val="0"/>
        <charset val="1"/>
      </rPr>
      <t xml:space="preserve">của bài 25 trong sách để bổ sung.</t>
    </r>
  </si>
  <si>
    <r>
      <rPr>
        <b val="true"/>
        <sz val="12"/>
        <color rgb="FF1F3864"/>
        <rFont val="Arial"/>
        <family val="0"/>
        <charset val="1"/>
      </rPr>
      <t xml:space="preserve">NGÀY 77  ·  Tuần 11  ·  Minna Ôn bài 23–25  ·  Ôn tập tuần 11 — Minna bài 23–25      </t>
    </r>
    <r>
      <rPr>
        <b val="true"/>
        <sz val="12"/>
        <color rgb="FF1F3864"/>
        <rFont val="Noto Sans CJK SC"/>
        <family val="2"/>
      </rPr>
      <t xml:space="preserve">〔</t>
    </r>
    <r>
      <rPr>
        <b val="true"/>
        <sz val="12"/>
        <color rgb="FF1F3864"/>
        <rFont val="Arial"/>
        <family val="0"/>
        <charset val="1"/>
      </rPr>
      <t xml:space="preserve">105 phút · 5 việc</t>
    </r>
    <r>
      <rPr>
        <b val="true"/>
        <sz val="12"/>
        <color rgb="FF1F3864"/>
        <rFont val="Noto Sans CJK SC"/>
        <family val="2"/>
      </rPr>
      <t xml:space="preserve">〕</t>
    </r>
  </si>
  <si>
    <r>
      <rPr>
        <sz val="10"/>
        <rFont val="Arial"/>
        <family val="0"/>
        <charset val="1"/>
      </rPr>
      <t xml:space="preserve">Làm phần </t>
    </r>
    <r>
      <rPr>
        <sz val="10"/>
        <rFont val="Noto Sans CJK SC"/>
        <family val="2"/>
      </rPr>
      <t xml:space="preserve">練習</t>
    </r>
    <r>
      <rPr>
        <sz val="10"/>
        <rFont val="Arial"/>
        <family val="0"/>
        <charset val="1"/>
      </rPr>
      <t xml:space="preserve">B và </t>
    </r>
    <r>
      <rPr>
        <sz val="10"/>
        <rFont val="Noto Sans CJK SC"/>
        <family val="2"/>
      </rPr>
      <t xml:space="preserve">練習</t>
    </r>
    <r>
      <rPr>
        <sz val="10"/>
        <rFont val="Arial"/>
        <family val="0"/>
        <charset val="1"/>
      </rPr>
      <t xml:space="preserve">C trong Minna bài 23–25. Sau đó tự đặt 5 câu mới.</t>
    </r>
  </si>
  <si>
    <t xml:space="preserve">Kiểm tra lại toàn bộ từ vựng Minna bài 23–25. Từ nào quên đánh dấu 'Đang học'.</t>
  </si>
  <si>
    <r>
      <rPr>
        <sz val="10"/>
        <rFont val="Arial"/>
        <family val="0"/>
        <charset val="1"/>
      </rPr>
      <t xml:space="preserve">Làm phần </t>
    </r>
    <r>
      <rPr>
        <sz val="10"/>
        <rFont val="Noto Sans CJK SC"/>
        <family val="2"/>
      </rPr>
      <t xml:space="preserve">問題 </t>
    </r>
    <r>
      <rPr>
        <sz val="10"/>
        <rFont val="Arial"/>
        <family val="0"/>
        <charset val="1"/>
      </rPr>
      <t xml:space="preserve">(nghe + đọc) cuối mỗi bài trong Minna bài 23–25. Ghi lỗi sai vào cột Ghi chú.</t>
    </r>
  </si>
  <si>
    <t xml:space="preserve">GIAI ĐOẠN 3 · NGÀY 78–90 · TỔNG ÔN &amp; THI THỬ</t>
  </si>
  <si>
    <r>
      <rPr>
        <b val="true"/>
        <sz val="12"/>
        <color rgb="FF1F3864"/>
        <rFont val="Arial"/>
        <family val="0"/>
        <charset val="1"/>
      </rPr>
      <t xml:space="preserve">NGÀY 78  ·  Tuần 12  ·  Tổng ôn Kanji vòng 1      </t>
    </r>
    <r>
      <rPr>
        <b val="true"/>
        <sz val="12"/>
        <color rgb="FF1F3864"/>
        <rFont val="Noto Sans CJK SC"/>
        <family val="2"/>
      </rPr>
      <t xml:space="preserve">〔</t>
    </r>
    <r>
      <rPr>
        <b val="true"/>
        <sz val="12"/>
        <color rgb="FF1F3864"/>
        <rFont val="Arial"/>
        <family val="0"/>
        <charset val="1"/>
      </rPr>
      <t xml:space="preserve">100 phút · 4 việc</t>
    </r>
    <r>
      <rPr>
        <b val="true"/>
        <sz val="12"/>
        <color rgb="FF1F3864"/>
        <rFont val="Noto Sans CJK SC"/>
        <family val="2"/>
      </rPr>
      <t xml:space="preserve">〕</t>
    </r>
  </si>
  <si>
    <t xml:space="preserve">Chạy hết 103 Kanji: chia 4 lượt × 26 chữ. Che nghĩa đọc chữ, che chữ viết lại. Chữ nào sai đánh dấu ★ ở sheet '9. Kanji 103'.</t>
  </si>
  <si>
    <t xml:space="preserve">Ôn 45 bộ thủ: nhìn bộ nói nghĩa, kể 1 Kanji chứa bộ đó. Bộ nào quên viết lại 5 lần.</t>
  </si>
  <si>
    <t xml:space="preserve">Lọc sheet Từ vựng theo cột Trạng thái, ôn lại mọi từ chưa tick 'Xong'.</t>
  </si>
  <si>
    <r>
      <rPr>
        <sz val="10"/>
        <rFont val="Arial"/>
        <family val="0"/>
        <charset val="1"/>
      </rPr>
      <t xml:space="preserve">Nghe lại </t>
    </r>
    <r>
      <rPr>
        <sz val="10"/>
        <rFont val="Noto Sans CJK SC"/>
        <family val="2"/>
      </rPr>
      <t xml:space="preserve">会話 </t>
    </r>
    <r>
      <rPr>
        <sz val="10"/>
        <rFont val="Arial"/>
        <family val="0"/>
        <charset val="1"/>
      </rPr>
      <t xml:space="preserve">của Minna bài 1–8, chép chính tả 1 bài.</t>
    </r>
  </si>
  <si>
    <r>
      <rPr>
        <b val="true"/>
        <sz val="12"/>
        <color rgb="FF1F3864"/>
        <rFont val="Arial"/>
        <family val="0"/>
        <charset val="1"/>
      </rPr>
      <t xml:space="preserve">NGÀY 79  ·  Tuần 12  ·  Tổng ôn trợ từ (Minna bài 1–10)      </t>
    </r>
    <r>
      <rPr>
        <b val="true"/>
        <sz val="12"/>
        <color rgb="FF1F3864"/>
        <rFont val="Noto Sans CJK SC"/>
        <family val="2"/>
      </rPr>
      <t xml:space="preserve">〔</t>
    </r>
    <r>
      <rPr>
        <b val="true"/>
        <sz val="12"/>
        <color rgb="FF1F3864"/>
        <rFont val="Arial"/>
        <family val="0"/>
        <charset val="1"/>
      </rPr>
      <t xml:space="preserve">100 phút · 4 việc</t>
    </r>
    <r>
      <rPr>
        <b val="true"/>
        <sz val="12"/>
        <color rgb="FF1F3864"/>
        <rFont val="Noto Sans CJK SC"/>
        <family val="2"/>
      </rPr>
      <t xml:space="preserve">〕</t>
    </r>
  </si>
  <si>
    <t xml:space="preserve">Viết lại các chữ ★ hôm qua, mỗi chữ 5 lần kèm 1 từ ghép.</t>
  </si>
  <si>
    <r>
      <rPr>
        <sz val="10"/>
        <rFont val="Arial"/>
        <family val="0"/>
        <charset val="1"/>
      </rPr>
      <t xml:space="preserve">Ôn toàn bộ trợ từ </t>
    </r>
    <r>
      <rPr>
        <sz val="10"/>
        <rFont val="Noto Sans CJK SC"/>
        <family val="2"/>
      </rPr>
      <t xml:space="preserve">は・が・を・に・で・へ・と・も・や・から・まで</t>
    </r>
    <r>
      <rPr>
        <sz val="10"/>
        <rFont val="Arial"/>
        <family val="0"/>
        <charset val="1"/>
      </rPr>
      <t xml:space="preserve">. Tự đặt 1 câu cho mỗi trợ từ.</t>
    </r>
  </si>
  <si>
    <t xml:space="preserve">Ôn từ vựng Minna bài 1–10 (khoảng 140 từ).</t>
  </si>
  <si>
    <t xml:space="preserve">Đọc 2 bài NHK Easy News, gạch chân từ chưa biết.</t>
  </si>
  <si>
    <r>
      <rPr>
        <b val="true"/>
        <sz val="12"/>
        <color rgb="FF1F3864"/>
        <rFont val="Arial"/>
        <family val="0"/>
        <charset val="1"/>
      </rPr>
      <t xml:space="preserve">NGÀY 80  ·  Tuần 12  ·  Tổng ôn tính từ &amp; so sánh (bài 8, 12, 16)      </t>
    </r>
    <r>
      <rPr>
        <b val="true"/>
        <sz val="12"/>
        <color rgb="FF1F3864"/>
        <rFont val="Noto Sans CJK SC"/>
        <family val="2"/>
      </rPr>
      <t xml:space="preserve">〔</t>
    </r>
    <r>
      <rPr>
        <b val="true"/>
        <sz val="12"/>
        <color rgb="FF1F3864"/>
        <rFont val="Arial"/>
        <family val="0"/>
        <charset val="1"/>
      </rPr>
      <t xml:space="preserve">100 phút · 4 việc</t>
    </r>
    <r>
      <rPr>
        <b val="true"/>
        <sz val="12"/>
        <color rgb="FF1F3864"/>
        <rFont val="Noto Sans CJK SC"/>
        <family val="2"/>
      </rPr>
      <t xml:space="preserve">〕</t>
    </r>
  </si>
  <si>
    <r>
      <rPr>
        <sz val="10"/>
        <rFont val="Arial"/>
        <family val="0"/>
        <charset val="1"/>
      </rPr>
      <t xml:space="preserve">Ôn nhóm Kanji số đếm, thời gian, phương hướng: </t>
    </r>
    <r>
      <rPr>
        <sz val="10"/>
        <rFont val="Noto Sans CJK SC"/>
        <family val="2"/>
      </rPr>
      <t xml:space="preserve">一〜十・百・千・万・時・分・半・東西南北・上下左右</t>
    </r>
    <r>
      <rPr>
        <sz val="10"/>
        <rFont val="Arial"/>
        <family val="0"/>
        <charset val="1"/>
      </rPr>
      <t xml:space="preserve">.</t>
    </r>
  </si>
  <si>
    <r>
      <rPr>
        <sz val="10"/>
        <rFont val="Arial"/>
        <family val="0"/>
        <charset val="1"/>
      </rPr>
      <t xml:space="preserve">Ôn chia tính từ </t>
    </r>
    <r>
      <rPr>
        <sz val="10"/>
        <rFont val="Noto Sans CJK SC"/>
        <family val="2"/>
      </rPr>
      <t xml:space="preserve">い</t>
    </r>
    <r>
      <rPr>
        <sz val="10"/>
        <rFont val="Arial"/>
        <family val="0"/>
        <charset val="1"/>
      </rPr>
      <t xml:space="preserve">/</t>
    </r>
    <r>
      <rPr>
        <sz val="10"/>
        <rFont val="Noto Sans CJK SC"/>
        <family val="2"/>
      </rPr>
      <t xml:space="preserve">な </t>
    </r>
    <r>
      <rPr>
        <sz val="10"/>
        <rFont val="Arial"/>
        <family val="0"/>
        <charset val="1"/>
      </rPr>
      <t xml:space="preserve">ở 4 thể, và </t>
    </r>
    <r>
      <rPr>
        <sz val="10"/>
        <rFont val="Noto Sans CJK SC"/>
        <family val="2"/>
      </rPr>
      <t xml:space="preserve">より・ほうが・いちばん・どちら</t>
    </r>
    <r>
      <rPr>
        <sz val="10"/>
        <rFont val="Arial"/>
        <family val="0"/>
        <charset val="1"/>
      </rPr>
      <t xml:space="preserve">.</t>
    </r>
  </si>
  <si>
    <r>
      <rPr>
        <sz val="10"/>
        <rFont val="Arial"/>
        <family val="0"/>
        <charset val="1"/>
      </rPr>
      <t xml:space="preserve">Ôn tính từ theo cặp trái nghĩa: </t>
    </r>
    <r>
      <rPr>
        <sz val="10"/>
        <rFont val="Noto Sans CJK SC"/>
        <family val="2"/>
      </rPr>
      <t xml:space="preserve">大きい↔小さい</t>
    </r>
    <r>
      <rPr>
        <sz val="10"/>
        <rFont val="Arial"/>
        <family val="0"/>
        <charset val="1"/>
      </rPr>
      <t xml:space="preserve">, </t>
    </r>
    <r>
      <rPr>
        <sz val="10"/>
        <rFont val="Noto Sans CJK SC"/>
        <family val="2"/>
      </rPr>
      <t xml:space="preserve">安い↔高い</t>
    </r>
    <r>
      <rPr>
        <sz val="10"/>
        <rFont val="Arial"/>
        <family val="0"/>
        <charset val="1"/>
      </rPr>
      <t xml:space="preserve">, </t>
    </r>
    <r>
      <rPr>
        <sz val="10"/>
        <rFont val="Noto Sans CJK SC"/>
        <family val="2"/>
      </rPr>
      <t xml:space="preserve">広い↔狭い</t>
    </r>
    <r>
      <rPr>
        <sz val="10"/>
        <rFont val="Arial"/>
        <family val="0"/>
        <charset val="1"/>
      </rPr>
      <t xml:space="preserve">, </t>
    </r>
    <r>
      <rPr>
        <sz val="10"/>
        <rFont val="Noto Sans CJK SC"/>
        <family val="2"/>
      </rPr>
      <t xml:space="preserve">明るい↔暗い</t>
    </r>
    <r>
      <rPr>
        <sz val="10"/>
        <rFont val="Arial"/>
        <family val="0"/>
        <charset val="1"/>
      </rPr>
      <t xml:space="preserve">.</t>
    </r>
  </si>
  <si>
    <t xml:space="preserve">Xem 15 phút Erin's Challenge, trả lời câu hỏi cuối video.</t>
  </si>
  <si>
    <r>
      <rPr>
        <b val="true"/>
        <sz val="12"/>
        <color rgb="FF1F3864"/>
        <rFont val="Arial"/>
        <family val="0"/>
        <charset val="1"/>
      </rPr>
      <t xml:space="preserve">NGÀY 81  ·  Tuần 12  ·  Tổng ôn chia động từ (bài 14, 17, 18, 19)      </t>
    </r>
    <r>
      <rPr>
        <b val="true"/>
        <sz val="12"/>
        <color rgb="FF1F3864"/>
        <rFont val="Noto Sans CJK SC"/>
        <family val="2"/>
      </rPr>
      <t xml:space="preserve">〔</t>
    </r>
    <r>
      <rPr>
        <b val="true"/>
        <sz val="12"/>
        <color rgb="FF1F3864"/>
        <rFont val="Arial"/>
        <family val="0"/>
        <charset val="1"/>
      </rPr>
      <t xml:space="preserve">100 phút · 4 việc</t>
    </r>
    <r>
      <rPr>
        <b val="true"/>
        <sz val="12"/>
        <color rgb="FF1F3864"/>
        <rFont val="Noto Sans CJK SC"/>
        <family val="2"/>
      </rPr>
      <t xml:space="preserve">〕</t>
    </r>
  </si>
  <si>
    <r>
      <rPr>
        <sz val="10"/>
        <rFont val="Arial"/>
        <family val="0"/>
        <charset val="1"/>
      </rPr>
      <t xml:space="preserve">Ôn nhóm Kanji động từ: </t>
    </r>
    <r>
      <rPr>
        <sz val="10"/>
        <rFont val="Noto Sans CJK SC"/>
        <family val="2"/>
      </rPr>
      <t xml:space="preserve">行・見・聞・食・飲・買・読・書・話・来・入・出・立・休</t>
    </r>
    <r>
      <rPr>
        <sz val="10"/>
        <rFont val="Arial"/>
        <family val="0"/>
        <charset val="1"/>
      </rPr>
      <t xml:space="preserve">.</t>
    </r>
  </si>
  <si>
    <r>
      <rPr>
        <sz val="10"/>
        <rFont val="Arial"/>
        <family val="0"/>
        <charset val="1"/>
      </rPr>
      <t xml:space="preserve">Bảng chia tổng hợp: </t>
    </r>
    <r>
      <rPr>
        <sz val="10"/>
        <rFont val="Noto Sans CJK SC"/>
        <family val="2"/>
      </rPr>
      <t xml:space="preserve">ます → て → ない → 辞書形 → た</t>
    </r>
    <r>
      <rPr>
        <sz val="10"/>
        <rFont val="Arial"/>
        <family val="0"/>
        <charset val="1"/>
      </rPr>
      <t xml:space="preserve">. Lấy 20 động từ tự chia đủ 5 thể.</t>
    </r>
  </si>
  <si>
    <t xml:space="preserve">Ôn từ vựng Minna bài 11–18.</t>
  </si>
  <si>
    <t xml:space="preserve">Đọc 3 đoạn dokkai ngắn, bấm giờ 2 phút mỗi bài.</t>
  </si>
  <si>
    <r>
      <rPr>
        <b val="true"/>
        <sz val="12"/>
        <color rgb="FF1F3864"/>
        <rFont val="Arial"/>
        <family val="0"/>
        <charset val="1"/>
      </rPr>
      <t xml:space="preserve">NGÀY 82  ·  Tuần 12  ·  Luyện dạng đề: Chữ Hán – Từ vựng      </t>
    </r>
    <r>
      <rPr>
        <b val="true"/>
        <sz val="12"/>
        <color rgb="FF1F3864"/>
        <rFont val="Noto Sans CJK SC"/>
        <family val="2"/>
      </rPr>
      <t xml:space="preserve">〔</t>
    </r>
    <r>
      <rPr>
        <b val="true"/>
        <sz val="12"/>
        <color rgb="FF1F3864"/>
        <rFont val="Arial"/>
        <family val="0"/>
        <charset val="1"/>
      </rPr>
      <t xml:space="preserve">95 phút · 4 việc</t>
    </r>
    <r>
      <rPr>
        <b val="true"/>
        <sz val="12"/>
        <color rgb="FF1F3864"/>
        <rFont val="Noto Sans CJK SC"/>
        <family val="2"/>
      </rPr>
      <t xml:space="preserve">〕</t>
    </r>
  </si>
  <si>
    <t xml:space="preserve">📝  Luyện đề</t>
  </si>
  <si>
    <t xml:space="preserve">Mondai 1–2: nhìn Kanji chọn cách đọc đúng. 30 câu, bấm giờ 10 phút.</t>
  </si>
  <si>
    <t xml:space="preserve">Mondai 3–4: chọn từ điền chỗ trống, chọn câu cùng nghĩa. 30 câu.</t>
  </si>
  <si>
    <t xml:space="preserve">Ôn cặp từ đồng nghĩa / trái nghĩa hay bị đánh lừa trong đề.</t>
  </si>
  <si>
    <r>
      <rPr>
        <sz val="10"/>
        <rFont val="Arial"/>
        <family val="0"/>
        <charset val="1"/>
      </rPr>
      <t xml:space="preserve">Nghe 1 đề Choukai phần 1 (</t>
    </r>
    <r>
      <rPr>
        <sz val="10"/>
        <rFont val="Noto Sans CJK SC"/>
        <family val="2"/>
      </rPr>
      <t xml:space="preserve">課題理解</t>
    </r>
    <r>
      <rPr>
        <sz val="10"/>
        <rFont val="Arial"/>
        <family val="0"/>
        <charset val="1"/>
      </rPr>
      <t xml:space="preserve">) đầy đủ.</t>
    </r>
  </si>
  <si>
    <r>
      <rPr>
        <b val="true"/>
        <sz val="12"/>
        <color rgb="FF1F3864"/>
        <rFont val="Arial"/>
        <family val="0"/>
        <charset val="1"/>
      </rPr>
      <t xml:space="preserve">NGÀY 83  ·  Tuần 12  ·  Luyện dạng đề: Ngữ pháp – Đọc hiểu      </t>
    </r>
    <r>
      <rPr>
        <b val="true"/>
        <sz val="12"/>
        <color rgb="FF1F3864"/>
        <rFont val="Noto Sans CJK SC"/>
        <family val="2"/>
      </rPr>
      <t xml:space="preserve">〔</t>
    </r>
    <r>
      <rPr>
        <b val="true"/>
        <sz val="12"/>
        <color rgb="FF1F3864"/>
        <rFont val="Arial"/>
        <family val="0"/>
        <charset val="1"/>
      </rPr>
      <t xml:space="preserve">95 phút · 4 việc</t>
    </r>
    <r>
      <rPr>
        <b val="true"/>
        <sz val="12"/>
        <color rgb="FF1F3864"/>
        <rFont val="Noto Sans CJK SC"/>
        <family val="2"/>
      </rPr>
      <t xml:space="preserve">〕</t>
    </r>
  </si>
  <si>
    <t xml:space="preserve">Vòng 2 các chữ ★. Chữ nào vẫn sai chép vào sổ tay riêng.</t>
  </si>
  <si>
    <r>
      <rPr>
        <sz val="10"/>
        <rFont val="Arial"/>
        <family val="0"/>
        <charset val="1"/>
      </rPr>
      <t xml:space="preserve">Luyện </t>
    </r>
    <r>
      <rPr>
        <sz val="10"/>
        <rFont val="Noto Sans CJK SC"/>
        <family val="2"/>
      </rPr>
      <t xml:space="preserve">文の組み立て </t>
    </r>
    <r>
      <rPr>
        <sz val="10"/>
        <rFont val="Arial"/>
        <family val="0"/>
        <charset val="1"/>
      </rPr>
      <t xml:space="preserve">(sắp xếp câu) 20 câu — dạng mất điểm nhiều nhất.</t>
    </r>
  </si>
  <si>
    <r>
      <rPr>
        <sz val="10"/>
        <rFont val="Arial"/>
        <family val="0"/>
        <charset val="1"/>
      </rPr>
      <t xml:space="preserve">1 bài đọc dài + 1 bài </t>
    </r>
    <r>
      <rPr>
        <sz val="10"/>
        <rFont val="Noto Sans CJK SC"/>
        <family val="2"/>
      </rPr>
      <t xml:space="preserve">情報検索 </t>
    </r>
    <r>
      <rPr>
        <sz val="10"/>
        <rFont val="Arial"/>
        <family val="0"/>
        <charset val="1"/>
      </rPr>
      <t xml:space="preserve">(tìm thông tin trong tờ rơi, bảng giờ tàu).</t>
    </r>
  </si>
  <si>
    <r>
      <rPr>
        <sz val="10"/>
        <rFont val="Arial"/>
        <family val="0"/>
        <charset val="1"/>
      </rPr>
      <t xml:space="preserve">Ôn trạng từ tần suất: </t>
    </r>
    <r>
      <rPr>
        <sz val="10"/>
        <rFont val="Noto Sans CJK SC"/>
        <family val="2"/>
      </rPr>
      <t xml:space="preserve">よく・ときどき・あまり・ぜんぜん・いつも・もう・まだ</t>
    </r>
    <r>
      <rPr>
        <sz val="10"/>
        <rFont val="Arial"/>
        <family val="0"/>
        <charset val="1"/>
      </rPr>
      <t xml:space="preserve">.</t>
    </r>
  </si>
  <si>
    <r>
      <rPr>
        <b val="true"/>
        <sz val="12"/>
        <color rgb="FF1F3864"/>
        <rFont val="Arial"/>
        <family val="0"/>
        <charset val="1"/>
      </rPr>
      <t xml:space="preserve">NGÀY 84  ·  Tuần 12  ·  🎯 ĐỀ THI THỬ SỐ 1 — full, bấm giờ      </t>
    </r>
    <r>
      <rPr>
        <b val="true"/>
        <sz val="12"/>
        <color rgb="FF1F3864"/>
        <rFont val="Noto Sans CJK SC"/>
        <family val="2"/>
      </rPr>
      <t xml:space="preserve">〔</t>
    </r>
    <r>
      <rPr>
        <b val="true"/>
        <sz val="12"/>
        <color rgb="FF1F3864"/>
        <rFont val="Arial"/>
        <family val="0"/>
        <charset val="1"/>
      </rPr>
      <t xml:space="preserve">120 phút · 4 việc</t>
    </r>
    <r>
      <rPr>
        <b val="true"/>
        <sz val="12"/>
        <color rgb="FF1F3864"/>
        <rFont val="Noto Sans CJK SC"/>
        <family val="2"/>
      </rPr>
      <t xml:space="preserve">〕</t>
    </r>
  </si>
  <si>
    <r>
      <rPr>
        <sz val="10"/>
        <rFont val="Arial"/>
        <family val="0"/>
        <charset val="1"/>
      </rPr>
      <t xml:space="preserve">Phần 1: </t>
    </r>
    <r>
      <rPr>
        <sz val="10"/>
        <rFont val="Noto Sans CJK SC"/>
        <family val="2"/>
      </rPr>
      <t xml:space="preserve">文字・語彙 </t>
    </r>
    <r>
      <rPr>
        <sz val="10"/>
        <rFont val="Arial"/>
        <family val="0"/>
        <charset val="1"/>
      </rPr>
      <t xml:space="preserve">(Chữ Hán – Từ vựng) — 25 phút, không tra từ điển.</t>
    </r>
  </si>
  <si>
    <r>
      <rPr>
        <sz val="10"/>
        <rFont val="Arial"/>
        <family val="0"/>
        <charset val="1"/>
      </rPr>
      <t xml:space="preserve">Phần 2: </t>
    </r>
    <r>
      <rPr>
        <sz val="10"/>
        <rFont val="Noto Sans CJK SC"/>
        <family val="2"/>
      </rPr>
      <t xml:space="preserve">文法・読解 </t>
    </r>
    <r>
      <rPr>
        <sz val="10"/>
        <rFont val="Arial"/>
        <family val="0"/>
        <charset val="1"/>
      </rPr>
      <t xml:space="preserve">(Ngữ pháp – Đọc hiểu) — 50 phút.</t>
    </r>
  </si>
  <si>
    <r>
      <rPr>
        <sz val="10"/>
        <rFont val="Arial"/>
        <family val="0"/>
        <charset val="1"/>
      </rPr>
      <t xml:space="preserve">Phần 3: </t>
    </r>
    <r>
      <rPr>
        <sz val="10"/>
        <rFont val="Noto Sans CJK SC"/>
        <family val="2"/>
      </rPr>
      <t xml:space="preserve">聴解 </t>
    </r>
    <r>
      <rPr>
        <sz val="10"/>
        <rFont val="Arial"/>
        <family val="0"/>
        <charset val="1"/>
      </rPr>
      <t xml:space="preserve">(Nghe hiểu) — 30 phút, chỉ nghe 1 lần đúng như thi thật.</t>
    </r>
  </si>
  <si>
    <t xml:space="preserve">✓  Chấm điểm</t>
  </si>
  <si>
    <t xml:space="preserve">Chấm và ghi số câu sai từng phần vào cột Ghi chú. Chuẩn đỗ: tổng ≥ 80/180 và mỗi phần ≥ 19/60.</t>
  </si>
  <si>
    <r>
      <rPr>
        <b val="true"/>
        <sz val="12"/>
        <color rgb="FF1F3864"/>
        <rFont val="Arial"/>
        <family val="0"/>
        <charset val="1"/>
      </rPr>
      <t xml:space="preserve">NGÀY 85  ·  Tuần 13  ·  Chữa đề số 1      </t>
    </r>
    <r>
      <rPr>
        <b val="true"/>
        <sz val="12"/>
        <color rgb="FF1F3864"/>
        <rFont val="Noto Sans CJK SC"/>
        <family val="2"/>
      </rPr>
      <t xml:space="preserve">〔</t>
    </r>
    <r>
      <rPr>
        <b val="true"/>
        <sz val="12"/>
        <color rgb="FF1F3864"/>
        <rFont val="Arial"/>
        <family val="0"/>
        <charset val="1"/>
      </rPr>
      <t xml:space="preserve">100 phút · 4 việc</t>
    </r>
    <r>
      <rPr>
        <b val="true"/>
        <sz val="12"/>
        <color rgb="FF1F3864"/>
        <rFont val="Noto Sans CJK SC"/>
        <family val="2"/>
      </rPr>
      <t xml:space="preserve">〕</t>
    </r>
  </si>
  <si>
    <t xml:space="preserve">Chép mọi Kanji làm sai vào sổ tay, viết mỗi chữ 10 lần.</t>
  </si>
  <si>
    <t xml:space="preserve">Với mỗi câu sai: viết ra LÝ DO vì sao sai, không chỉ khoanh đáp án đúng.</t>
  </si>
  <si>
    <t xml:space="preserve">Ghi 30 từ mới gặp trong đề vào sheet Từ vựng.</t>
  </si>
  <si>
    <t xml:space="preserve">Nghe lại các câu Choukai đã sai, vừa nghe vừa đọc transcript.</t>
  </si>
  <si>
    <r>
      <rPr>
        <b val="true"/>
        <sz val="12"/>
        <color rgb="FF1F3864"/>
        <rFont val="Arial"/>
        <family val="0"/>
        <charset val="1"/>
      </rPr>
      <t xml:space="preserve">NGÀY 86  ·  Tuần 13  ·  Vá lỗ hổng phần yếu nhất      </t>
    </r>
    <r>
      <rPr>
        <b val="true"/>
        <sz val="12"/>
        <color rgb="FF1F3864"/>
        <rFont val="Noto Sans CJK SC"/>
        <family val="2"/>
      </rPr>
      <t xml:space="preserve">〔</t>
    </r>
    <r>
      <rPr>
        <b val="true"/>
        <sz val="12"/>
        <color rgb="FF1F3864"/>
        <rFont val="Arial"/>
        <family val="0"/>
        <charset val="1"/>
      </rPr>
      <t xml:space="preserve">95 phút · 4 việc</t>
    </r>
    <r>
      <rPr>
        <b val="true"/>
        <sz val="12"/>
        <color rgb="FF1F3864"/>
        <rFont val="Noto Sans CJK SC"/>
        <family val="2"/>
      </rPr>
      <t xml:space="preserve">〕</t>
    </r>
  </si>
  <si>
    <t xml:space="preserve">◎  Xác định</t>
  </si>
  <si>
    <t xml:space="preserve">Nhìn bảng điểm đề 1, chọn ra phần điểm thấp nhất.</t>
  </si>
  <si>
    <t xml:space="preserve">Làm 2 bộ bài tập cùng dạng với phần yếu đó.</t>
  </si>
  <si>
    <t xml:space="preserve">Ôn toàn bộ từ vựng liên quan đến phần yếu.</t>
  </si>
  <si>
    <t xml:space="preserve">20 phút nghe thụ động (podcast N5) lúc nghỉ ngơi, không cần tập trung.</t>
  </si>
  <si>
    <r>
      <rPr>
        <b val="true"/>
        <sz val="12"/>
        <color rgb="FF1F3864"/>
        <rFont val="Arial"/>
        <family val="0"/>
        <charset val="1"/>
      </rPr>
      <t xml:space="preserve">NGÀY 87  ·  Tuần 13  ·  Tổng duyệt trước đề 2      </t>
    </r>
    <r>
      <rPr>
        <b val="true"/>
        <sz val="12"/>
        <color rgb="FF1F3864"/>
        <rFont val="Noto Sans CJK SC"/>
        <family val="2"/>
      </rPr>
      <t xml:space="preserve">〔</t>
    </r>
    <r>
      <rPr>
        <b val="true"/>
        <sz val="12"/>
        <color rgb="FF1F3864"/>
        <rFont val="Arial"/>
        <family val="0"/>
        <charset val="1"/>
      </rPr>
      <t xml:space="preserve">95 phút · 4 việc</t>
    </r>
    <r>
      <rPr>
        <b val="true"/>
        <sz val="12"/>
        <color rgb="FF1F3864"/>
        <rFont val="Noto Sans CJK SC"/>
        <family val="2"/>
      </rPr>
      <t xml:space="preserve">〕</t>
    </r>
  </si>
  <si>
    <t xml:space="preserve">Test nhanh 103 Kanji trong 20 phút. Ghi lại số chữ còn sai.</t>
  </si>
  <si>
    <t xml:space="preserve">Test nhanh toàn bộ mẫu ngữ pháp Minna bài 1–25 trong 25 phút.</t>
  </si>
  <si>
    <t xml:space="preserve">Lướt 200 từ hay quên nhất.</t>
  </si>
  <si>
    <t xml:space="preserve">Đọc 3 bài NHK Easy, tóm tắt mỗi bài bằng 1 câu tiếng Nhật.</t>
  </si>
  <si>
    <r>
      <rPr>
        <b val="true"/>
        <sz val="12"/>
        <color rgb="FF1F3864"/>
        <rFont val="Arial"/>
        <family val="0"/>
        <charset val="1"/>
      </rPr>
      <t xml:space="preserve">NGÀY 88  ·  Tuần 13  ·  🎯 ĐỀ THI THỬ SỐ 2 — full, bấm giờ      </t>
    </r>
    <r>
      <rPr>
        <b val="true"/>
        <sz val="12"/>
        <color rgb="FF1F3864"/>
        <rFont val="Noto Sans CJK SC"/>
        <family val="2"/>
      </rPr>
      <t xml:space="preserve">〔</t>
    </r>
    <r>
      <rPr>
        <b val="true"/>
        <sz val="12"/>
        <color rgb="FF1F3864"/>
        <rFont val="Arial"/>
        <family val="0"/>
        <charset val="1"/>
      </rPr>
      <t xml:space="preserve">120 phút · 4 việc</t>
    </r>
    <r>
      <rPr>
        <b val="true"/>
        <sz val="12"/>
        <color rgb="FF1F3864"/>
        <rFont val="Noto Sans CJK SC"/>
        <family val="2"/>
      </rPr>
      <t xml:space="preserve">〕</t>
    </r>
  </si>
  <si>
    <r>
      <rPr>
        <sz val="10"/>
        <rFont val="Arial"/>
        <family val="0"/>
        <charset val="1"/>
      </rPr>
      <t xml:space="preserve">Phần 1: </t>
    </r>
    <r>
      <rPr>
        <sz val="10"/>
        <rFont val="Noto Sans CJK SC"/>
        <family val="2"/>
      </rPr>
      <t xml:space="preserve">文字・語彙 — </t>
    </r>
    <r>
      <rPr>
        <sz val="10"/>
        <rFont val="Arial"/>
        <family val="0"/>
        <charset val="1"/>
      </rPr>
      <t xml:space="preserve">25 phút.</t>
    </r>
  </si>
  <si>
    <r>
      <rPr>
        <sz val="10"/>
        <rFont val="Arial"/>
        <family val="0"/>
        <charset val="1"/>
      </rPr>
      <t xml:space="preserve">Phần 2: </t>
    </r>
    <r>
      <rPr>
        <sz val="10"/>
        <rFont val="Noto Sans CJK SC"/>
        <family val="2"/>
      </rPr>
      <t xml:space="preserve">文法・読解 — </t>
    </r>
    <r>
      <rPr>
        <sz val="10"/>
        <rFont val="Arial"/>
        <family val="0"/>
        <charset val="1"/>
      </rPr>
      <t xml:space="preserve">50 phút. Phân bổ thời gian, đừng sa lầy ở một câu.</t>
    </r>
  </si>
  <si>
    <r>
      <rPr>
        <sz val="10"/>
        <rFont val="Arial"/>
        <family val="0"/>
        <charset val="1"/>
      </rPr>
      <t xml:space="preserve">Phần 3: </t>
    </r>
    <r>
      <rPr>
        <sz val="10"/>
        <rFont val="Noto Sans CJK SC"/>
        <family val="2"/>
      </rPr>
      <t xml:space="preserve">聴解 — </t>
    </r>
    <r>
      <rPr>
        <sz val="10"/>
        <rFont val="Arial"/>
        <family val="0"/>
        <charset val="1"/>
      </rPr>
      <t xml:space="preserve">30 phút.</t>
    </r>
  </si>
  <si>
    <t xml:space="preserve">Chấm điểm, so với đề 1. Mục tiêu: cao hơn ít nhất 15 điểm.</t>
  </si>
  <si>
    <r>
      <rPr>
        <b val="true"/>
        <sz val="12"/>
        <color rgb="FF1F3864"/>
        <rFont val="Arial"/>
        <family val="0"/>
        <charset val="1"/>
      </rPr>
      <t xml:space="preserve">NGÀY 89  ·  Tuần 13  ·  Chữa đề 2 + chốt sổ tay      </t>
    </r>
    <r>
      <rPr>
        <b val="true"/>
        <sz val="12"/>
        <color rgb="FF1F3864"/>
        <rFont val="Noto Sans CJK SC"/>
        <family val="2"/>
      </rPr>
      <t xml:space="preserve">〔</t>
    </r>
    <r>
      <rPr>
        <b val="true"/>
        <sz val="12"/>
        <color rgb="FF1F3864"/>
        <rFont val="Arial"/>
        <family val="0"/>
        <charset val="1"/>
      </rPr>
      <t xml:space="preserve">100 phút · 4 việc</t>
    </r>
    <r>
      <rPr>
        <b val="true"/>
        <sz val="12"/>
        <color rgb="FF1F3864"/>
        <rFont val="Noto Sans CJK SC"/>
        <family val="2"/>
      </rPr>
      <t xml:space="preserve">〕</t>
    </r>
  </si>
  <si>
    <t xml:space="preserve">Đọc lại toàn bộ sổ tay Kanji ★ một lượt, không viết nữa.</t>
  </si>
  <si>
    <t xml:space="preserve">Đọc lại sổ tay ngữ pháp sai, chú ý mẫu sai lặp ở cả hai đề.</t>
  </si>
  <si>
    <t xml:space="preserve">Lướt nhanh toàn bộ sheet Từ vựng, không dừng lâu ở từ nào.</t>
  </si>
  <si>
    <t xml:space="preserve">Nghe 1 đề Choukai nhẹ nhàng, không chấm điểm, không áp lực.</t>
  </si>
  <si>
    <r>
      <rPr>
        <b val="true"/>
        <sz val="12"/>
        <color rgb="FF1F3864"/>
        <rFont val="Arial"/>
        <family val="0"/>
        <charset val="1"/>
      </rPr>
      <t xml:space="preserve">NGÀY 90  ·  Tuần 13  ·  Ngày cuối — nghỉ ngơi, giữ sức      </t>
    </r>
    <r>
      <rPr>
        <b val="true"/>
        <sz val="12"/>
        <color rgb="FF1F3864"/>
        <rFont val="Noto Sans CJK SC"/>
        <family val="2"/>
      </rPr>
      <t xml:space="preserve">〔</t>
    </r>
    <r>
      <rPr>
        <b val="true"/>
        <sz val="12"/>
        <color rgb="FF1F3864"/>
        <rFont val="Arial"/>
        <family val="0"/>
        <charset val="1"/>
      </rPr>
      <t xml:space="preserve">60 phút · 4 việc</t>
    </r>
    <r>
      <rPr>
        <b val="true"/>
        <sz val="12"/>
        <color rgb="FF1F3864"/>
        <rFont val="Noto Sans CJK SC"/>
        <family val="2"/>
      </rPr>
      <t xml:space="preserve">〕</t>
    </r>
  </si>
  <si>
    <t xml:space="preserve">Chỉ lướt nhẹ bảng Kanji 15 phút. TUYỆT ĐỐI không học chữ mới hôm nay.</t>
  </si>
  <si>
    <t xml:space="preserve">Lướt nhẹ bảng ngữ pháp 15 phút.</t>
  </si>
  <si>
    <t xml:space="preserve">Đọc lại danh sách từ ★ 15 phút.</t>
  </si>
  <si>
    <t xml:space="preserve">🎒  Chuẩn bị</t>
  </si>
  <si>
    <r>
      <rPr>
        <sz val="10"/>
        <rFont val="Arial"/>
        <family val="0"/>
        <charset val="1"/>
      </rPr>
      <t xml:space="preserve">Soạn sẵn: thẻ dự thi, CCCD, bút chì 2B, tẩy, đồng hồ thường (không thông minh). Tra trước đường đến điểm thi. Ngủ trước 23h. </t>
    </r>
    <r>
      <rPr>
        <sz val="10"/>
        <rFont val="Noto Sans CJK SC"/>
        <family val="2"/>
      </rPr>
      <t xml:space="preserve">がんばって！</t>
    </r>
  </si>
  <si>
    <t xml:space="preserve">BẢNG CHỮ CÁI — 104 Hiragana &amp; 104 Katakana, kèm mẹo nhớ hình dáng</t>
  </si>
  <si>
    <t xml:space="preserve">STT</t>
  </si>
  <si>
    <t xml:space="preserve">Hiragana</t>
  </si>
  <si>
    <t xml:space="preserve">Katakana</t>
  </si>
  <si>
    <t xml:space="preserve">Romaji</t>
  </si>
  <si>
    <t xml:space="preserve">Ngày học</t>
  </si>
  <si>
    <t xml:space="preserve">Mẹo nhớ hình dáng</t>
  </si>
  <si>
    <t xml:space="preserve">あ</t>
  </si>
  <si>
    <t xml:space="preserve">ア</t>
  </si>
  <si>
    <t xml:space="preserve">a</t>
  </si>
  <si>
    <t xml:space="preserve">Giống chữ 'a' viết hoa bị gạch chéo — hoặc hình quả táo (Apple) có cuống.</t>
  </si>
  <si>
    <t xml:space="preserve">い</t>
  </si>
  <si>
    <t xml:space="preserve">イ</t>
  </si>
  <si>
    <t xml:space="preserve">i</t>
  </si>
  <si>
    <t xml:space="preserve">Hai nét dọc song song, giống số 'i' latinh viết đôi.</t>
  </si>
  <si>
    <t xml:space="preserve">う</t>
  </si>
  <si>
    <t xml:space="preserve">ウ</t>
  </si>
  <si>
    <t xml:space="preserve">u</t>
  </si>
  <si>
    <t xml:space="preserve">Giống chữ 'u' nghiêng — cái mỏ chim đang kêu 'u u'.</t>
  </si>
  <si>
    <t xml:space="preserve">え</t>
  </si>
  <si>
    <t xml:space="preserve">エ</t>
  </si>
  <si>
    <t xml:space="preserve">e</t>
  </si>
  <si>
    <t xml:space="preserve">Giống con én (é) đang bay, có đuôi xòe.</t>
  </si>
  <si>
    <t xml:space="preserve">お</t>
  </si>
  <si>
    <t xml:space="preserve">オ</t>
  </si>
  <si>
    <t xml:space="preserve">o</t>
  </si>
  <si>
    <r>
      <rPr>
        <sz val="10"/>
        <rFont val="Arial"/>
        <family val="0"/>
        <charset val="1"/>
      </rPr>
      <t xml:space="preserve">Giống </t>
    </r>
    <r>
      <rPr>
        <sz val="10"/>
        <rFont val="Noto Sans CJK SC"/>
        <family val="2"/>
      </rPr>
      <t xml:space="preserve">あ </t>
    </r>
    <r>
      <rPr>
        <sz val="10"/>
        <rFont val="Arial"/>
        <family val="0"/>
        <charset val="1"/>
      </rPr>
      <t xml:space="preserve">nhưng thêm một chấm — như 'ông' đội mũ.</t>
    </r>
  </si>
  <si>
    <t xml:space="preserve">か</t>
  </si>
  <si>
    <t xml:space="preserve">カ</t>
  </si>
  <si>
    <t xml:space="preserve">ka</t>
  </si>
  <si>
    <t xml:space="preserve">Có nét như thanh kiếm (KA-tana) chém xuống.</t>
  </si>
  <si>
    <t xml:space="preserve">き</t>
  </si>
  <si>
    <t xml:space="preserve">キ</t>
  </si>
  <si>
    <t xml:space="preserve">ki</t>
  </si>
  <si>
    <t xml:space="preserve">Giống chìa khóa (KEY) có hai răng.</t>
  </si>
  <si>
    <t xml:space="preserve">く</t>
  </si>
  <si>
    <t xml:space="preserve">ク</t>
  </si>
  <si>
    <t xml:space="preserve">ku</t>
  </si>
  <si>
    <t xml:space="preserve">Giống cái mỏ chim khép lại — hoặc dấu ngoặc '&lt;'.</t>
  </si>
  <si>
    <t xml:space="preserve">け</t>
  </si>
  <si>
    <t xml:space="preserve">ケ</t>
  </si>
  <si>
    <t xml:space="preserve">ke</t>
  </si>
  <si>
    <t xml:space="preserve">Giống chữ 'k' latinh nằm cạnh một nét dọc.</t>
  </si>
  <si>
    <t xml:space="preserve">こ</t>
  </si>
  <si>
    <t xml:space="preserve">コ</t>
  </si>
  <si>
    <t xml:space="preserve">ko</t>
  </si>
  <si>
    <t xml:space="preserve">Hai nét ngang ngắn — hai con sâu bò nối đuôi.</t>
  </si>
  <si>
    <t xml:space="preserve">さ</t>
  </si>
  <si>
    <t xml:space="preserve">サ</t>
  </si>
  <si>
    <t xml:space="preserve">sa</t>
  </si>
  <si>
    <t xml:space="preserve">Giống lưỡi câu — 'sa' xuống nước bắt cá.</t>
  </si>
  <si>
    <t xml:space="preserve">し</t>
  </si>
  <si>
    <t xml:space="preserve">シ</t>
  </si>
  <si>
    <t xml:space="preserve">shi</t>
  </si>
  <si>
    <t xml:space="preserve">Một nét cong duy nhất, như cần câu — dễ nhất bảng.</t>
  </si>
  <si>
    <t xml:space="preserve">す</t>
  </si>
  <si>
    <t xml:space="preserve">ス</t>
  </si>
  <si>
    <t xml:space="preserve">su</t>
  </si>
  <si>
    <t xml:space="preserve">Có vòng xoắn — như cái lò xo 'suuu'.</t>
  </si>
  <si>
    <t xml:space="preserve">せ</t>
  </si>
  <si>
    <t xml:space="preserve">セ</t>
  </si>
  <si>
    <t xml:space="preserve">se</t>
  </si>
  <si>
    <t xml:space="preserve">Giống cái nĩa nghiêng.</t>
  </si>
  <si>
    <t xml:space="preserve">そ</t>
  </si>
  <si>
    <t xml:space="preserve">ソ</t>
  </si>
  <si>
    <t xml:space="preserve">so</t>
  </si>
  <si>
    <t xml:space="preserve">Giống đường zigzag của mũi khâu.</t>
  </si>
  <si>
    <t xml:space="preserve">た</t>
  </si>
  <si>
    <t xml:space="preserve">タ</t>
  </si>
  <si>
    <t xml:space="preserve">ta</t>
  </si>
  <si>
    <r>
      <rPr>
        <sz val="10"/>
        <rFont val="Arial"/>
        <family val="0"/>
        <charset val="1"/>
      </rPr>
      <t xml:space="preserve">Giống chữ 'ta' ghép từ </t>
    </r>
    <r>
      <rPr>
        <sz val="10"/>
        <rFont val="Noto Sans CJK SC"/>
        <family val="2"/>
      </rPr>
      <t xml:space="preserve">た </t>
    </r>
    <r>
      <rPr>
        <sz val="10"/>
        <rFont val="Arial"/>
        <family val="0"/>
        <charset val="1"/>
      </rPr>
      <t xml:space="preserve">= TA (tôi trong tiếng Việt).</t>
    </r>
  </si>
  <si>
    <t xml:space="preserve">ち</t>
  </si>
  <si>
    <t xml:space="preserve">チ</t>
  </si>
  <si>
    <t xml:space="preserve">chi</t>
  </si>
  <si>
    <t xml:space="preserve">Giống số 5 viết ngược, hoặc cái ghế.</t>
  </si>
  <si>
    <t xml:space="preserve">つ</t>
  </si>
  <si>
    <t xml:space="preserve">ツ</t>
  </si>
  <si>
    <t xml:space="preserve">tsu</t>
  </si>
  <si>
    <t xml:space="preserve">Giống cơn sóng (TSU-nami) cuộn lên.</t>
  </si>
  <si>
    <t xml:space="preserve">て</t>
  </si>
  <si>
    <t xml:space="preserve">テ</t>
  </si>
  <si>
    <t xml:space="preserve">te</t>
  </si>
  <si>
    <r>
      <rPr>
        <sz val="10"/>
        <rFont val="Arial"/>
        <family val="0"/>
        <charset val="1"/>
      </rPr>
      <t xml:space="preserve">Giống bàn tay (</t>
    </r>
    <r>
      <rPr>
        <sz val="10"/>
        <rFont val="Noto Sans CJK SC"/>
        <family val="2"/>
      </rPr>
      <t xml:space="preserve">て </t>
    </r>
    <r>
      <rPr>
        <sz val="10"/>
        <rFont val="Arial"/>
        <family val="0"/>
        <charset val="1"/>
      </rPr>
      <t xml:space="preserve">= tay) chìa ra ngang.</t>
    </r>
  </si>
  <si>
    <t xml:space="preserve">と</t>
  </si>
  <si>
    <t xml:space="preserve">ト</t>
  </si>
  <si>
    <t xml:space="preserve">to</t>
  </si>
  <si>
    <t xml:space="preserve">Giống ngón chân (TOE) bị cái đinh đâm.</t>
  </si>
  <si>
    <t xml:space="preserve">な</t>
  </si>
  <si>
    <t xml:space="preserve">ナ</t>
  </si>
  <si>
    <t xml:space="preserve">na</t>
  </si>
  <si>
    <t xml:space="preserve">Có nét chéo và vòng nhỏ — như đầu gối quỳ.</t>
  </si>
  <si>
    <t xml:space="preserve">に</t>
  </si>
  <si>
    <t xml:space="preserve">ニ</t>
  </si>
  <si>
    <t xml:space="preserve">ni</t>
  </si>
  <si>
    <r>
      <rPr>
        <sz val="10"/>
        <rFont val="Arial"/>
        <family val="0"/>
        <charset val="1"/>
      </rPr>
      <t xml:space="preserve">Giống </t>
    </r>
    <r>
      <rPr>
        <sz val="10"/>
        <rFont val="Noto Sans CJK SC"/>
        <family val="2"/>
      </rPr>
      <t xml:space="preserve">二 </t>
    </r>
    <r>
      <rPr>
        <sz val="10"/>
        <rFont val="Arial"/>
        <family val="0"/>
        <charset val="1"/>
      </rPr>
      <t xml:space="preserve">(nhị) thêm một nét dọc bên trái.</t>
    </r>
  </si>
  <si>
    <t xml:space="preserve">ぬ</t>
  </si>
  <si>
    <t xml:space="preserve">ヌ</t>
  </si>
  <si>
    <t xml:space="preserve">nu</t>
  </si>
  <si>
    <r>
      <rPr>
        <sz val="10"/>
        <rFont val="Arial"/>
        <family val="0"/>
        <charset val="1"/>
      </rPr>
      <t xml:space="preserve">Giống </t>
    </r>
    <r>
      <rPr>
        <sz val="10"/>
        <rFont val="Noto Sans CJK SC"/>
        <family val="2"/>
      </rPr>
      <t xml:space="preserve">め </t>
    </r>
    <r>
      <rPr>
        <sz val="10"/>
        <rFont val="Arial"/>
        <family val="0"/>
        <charset val="1"/>
      </rPr>
      <t xml:space="preserve">nhưng thêm vòng xoắn — sợi mì (NOODLE) xoắn.</t>
    </r>
  </si>
  <si>
    <t xml:space="preserve">ね</t>
  </si>
  <si>
    <t xml:space="preserve">ネ</t>
  </si>
  <si>
    <t xml:space="preserve">ne</t>
  </si>
  <si>
    <r>
      <rPr>
        <sz val="10"/>
        <rFont val="Arial"/>
        <family val="0"/>
        <charset val="1"/>
      </rPr>
      <t xml:space="preserve">Giống </t>
    </r>
    <r>
      <rPr>
        <sz val="10"/>
        <rFont val="Noto Sans CJK SC"/>
        <family val="2"/>
      </rPr>
      <t xml:space="preserve">ぬ </t>
    </r>
    <r>
      <rPr>
        <sz val="10"/>
        <rFont val="Arial"/>
        <family val="0"/>
        <charset val="1"/>
      </rPr>
      <t xml:space="preserve">và </t>
    </r>
    <r>
      <rPr>
        <sz val="10"/>
        <rFont val="Noto Sans CJK SC"/>
        <family val="2"/>
      </rPr>
      <t xml:space="preserve">れ — </t>
    </r>
    <r>
      <rPr>
        <sz val="10"/>
        <rFont val="Arial"/>
        <family val="0"/>
        <charset val="1"/>
      </rPr>
      <t xml:space="preserve">con mèo (NEKO) có đuôi cuộn.</t>
    </r>
  </si>
  <si>
    <t xml:space="preserve">の</t>
  </si>
  <si>
    <t xml:space="preserve">ノ</t>
  </si>
  <si>
    <t xml:space="preserve">no</t>
  </si>
  <si>
    <t xml:space="preserve">Vòng tròn có đuôi — biển cấm 'NO' trong tiếng Anh.</t>
  </si>
  <si>
    <t xml:space="preserve">は</t>
  </si>
  <si>
    <t xml:space="preserve">ハ</t>
  </si>
  <si>
    <t xml:space="preserve">ha</t>
  </si>
  <si>
    <r>
      <rPr>
        <sz val="10"/>
        <rFont val="Arial"/>
        <family val="0"/>
        <charset val="1"/>
      </rPr>
      <t xml:space="preserve">Giống </t>
    </r>
    <r>
      <rPr>
        <sz val="10"/>
        <rFont val="Noto Sans CJK SC"/>
        <family val="2"/>
      </rPr>
      <t xml:space="preserve">ほ </t>
    </r>
    <r>
      <rPr>
        <sz val="10"/>
        <rFont val="Arial"/>
        <family val="0"/>
        <charset val="1"/>
      </rPr>
      <t xml:space="preserve">nhưng thiếu nét trên — cái thang có chân.</t>
    </r>
  </si>
  <si>
    <t xml:space="preserve">ひ</t>
  </si>
  <si>
    <t xml:space="preserve">ヒ</t>
  </si>
  <si>
    <t xml:space="preserve">hi</t>
  </si>
  <si>
    <t xml:space="preserve">Giống nụ cười (cái miệng cười 'hi hi').</t>
  </si>
  <si>
    <t xml:space="preserve">ふ</t>
  </si>
  <si>
    <t xml:space="preserve">フ</t>
  </si>
  <si>
    <t xml:space="preserve">fu</t>
  </si>
  <si>
    <t xml:space="preserve">Giống núi Phú Sĩ (FUji) có mây hai bên.</t>
  </si>
  <si>
    <t xml:space="preserve">へ</t>
  </si>
  <si>
    <t xml:space="preserve">ヘ</t>
  </si>
  <si>
    <t xml:space="preserve">he</t>
  </si>
  <si>
    <t xml:space="preserve">Một nét gấp khúc — giống mái nhà nghiêng.</t>
  </si>
  <si>
    <t xml:space="preserve">ほ</t>
  </si>
  <si>
    <t xml:space="preserve">ホ</t>
  </si>
  <si>
    <t xml:space="preserve">ho</t>
  </si>
  <si>
    <r>
      <rPr>
        <sz val="10"/>
        <rFont val="Arial"/>
        <family val="0"/>
        <charset val="1"/>
      </rPr>
      <t xml:space="preserve">Giống </t>
    </r>
    <r>
      <rPr>
        <sz val="10"/>
        <rFont val="Noto Sans CJK SC"/>
        <family val="2"/>
      </rPr>
      <t xml:space="preserve">は </t>
    </r>
    <r>
      <rPr>
        <sz val="10"/>
        <rFont val="Arial"/>
        <family val="0"/>
        <charset val="1"/>
      </rPr>
      <t xml:space="preserve">thêm một nét ngang — cột cờ có hai cờ.</t>
    </r>
  </si>
  <si>
    <t xml:space="preserve">ま</t>
  </si>
  <si>
    <t xml:space="preserve">マ</t>
  </si>
  <si>
    <t xml:space="preserve">ma</t>
  </si>
  <si>
    <t xml:space="preserve">Giống một cái nút thắt — mẹ (MAma) buộc tóc.</t>
  </si>
  <si>
    <t xml:space="preserve">み</t>
  </si>
  <si>
    <t xml:space="preserve">ミ</t>
  </si>
  <si>
    <t xml:space="preserve">mi</t>
  </si>
  <si>
    <t xml:space="preserve">Giống số 3 có đuôi — 'mi' là nốt nhạc thứ 3.</t>
  </si>
  <si>
    <t xml:space="preserve">む</t>
  </si>
  <si>
    <t xml:space="preserve">ム</t>
  </si>
  <si>
    <t xml:space="preserve">mu</t>
  </si>
  <si>
    <t xml:space="preserve">Giống con bò kêu 'muuu' có sừng.</t>
  </si>
  <si>
    <t xml:space="preserve">め</t>
  </si>
  <si>
    <t xml:space="preserve">メ</t>
  </si>
  <si>
    <t xml:space="preserve">me</t>
  </si>
  <si>
    <r>
      <rPr>
        <sz val="10"/>
        <rFont val="Arial"/>
        <family val="0"/>
        <charset val="1"/>
      </rPr>
      <t xml:space="preserve">Giống </t>
    </r>
    <r>
      <rPr>
        <sz val="10"/>
        <rFont val="Noto Sans CJK SC"/>
        <family val="2"/>
      </rPr>
      <t xml:space="preserve">ぬ </t>
    </r>
    <r>
      <rPr>
        <sz val="10"/>
        <rFont val="Arial"/>
        <family val="0"/>
        <charset val="1"/>
      </rPr>
      <t xml:space="preserve">nhưng không xoắn — con MẮT (</t>
    </r>
    <r>
      <rPr>
        <sz val="10"/>
        <rFont val="Noto Sans CJK SC"/>
        <family val="2"/>
      </rPr>
      <t xml:space="preserve">め</t>
    </r>
    <r>
      <rPr>
        <sz val="10"/>
        <rFont val="Arial"/>
        <family val="0"/>
        <charset val="1"/>
      </rPr>
      <t xml:space="preserve">) nhắm lại.</t>
    </r>
  </si>
  <si>
    <t xml:space="preserve">も</t>
  </si>
  <si>
    <t xml:space="preserve">モ</t>
  </si>
  <si>
    <t xml:space="preserve">mo</t>
  </si>
  <si>
    <r>
      <rPr>
        <sz val="10"/>
        <rFont val="Arial"/>
        <family val="0"/>
        <charset val="1"/>
      </rPr>
      <t xml:space="preserve">Giống </t>
    </r>
    <r>
      <rPr>
        <sz val="10"/>
        <rFont val="Noto Sans CJK SC"/>
        <family val="2"/>
      </rPr>
      <t xml:space="preserve">し </t>
    </r>
    <r>
      <rPr>
        <sz val="10"/>
        <rFont val="Arial"/>
        <family val="0"/>
        <charset val="1"/>
      </rPr>
      <t xml:space="preserve">thêm hai nét ngang — cái móc câu.</t>
    </r>
  </si>
  <si>
    <t xml:space="preserve">や</t>
  </si>
  <si>
    <t xml:space="preserve">ヤ</t>
  </si>
  <si>
    <t xml:space="preserve">ya</t>
  </si>
  <si>
    <t xml:space="preserve">Giống mũi tên (YA = mũi tên trong tiếng Nhật) bay đi.</t>
  </si>
  <si>
    <t xml:space="preserve">ゆ</t>
  </si>
  <si>
    <t xml:space="preserve">ユ</t>
  </si>
  <si>
    <t xml:space="preserve">yu</t>
  </si>
  <si>
    <t xml:space="preserve">Giống con cá đang bơi — hoặc chìa khóa lạ.</t>
  </si>
  <si>
    <t xml:space="preserve">よ</t>
  </si>
  <si>
    <t xml:space="preserve">ヨ</t>
  </si>
  <si>
    <t xml:space="preserve">yo</t>
  </si>
  <si>
    <t xml:space="preserve">Giống chữ 'yo' — cái móc treo có nút.</t>
  </si>
  <si>
    <t xml:space="preserve">ら</t>
  </si>
  <si>
    <t xml:space="preserve">ラ</t>
  </si>
  <si>
    <t xml:space="preserve">ra</t>
  </si>
  <si>
    <r>
      <rPr>
        <sz val="10"/>
        <rFont val="Arial"/>
        <family val="0"/>
        <charset val="1"/>
      </rPr>
      <t xml:space="preserve">Giống chữ '</t>
    </r>
    <r>
      <rPr>
        <sz val="10"/>
        <rFont val="Noto Sans CJK SC"/>
        <family val="2"/>
      </rPr>
      <t xml:space="preserve">ら</t>
    </r>
    <r>
      <rPr>
        <sz val="10"/>
        <rFont val="Arial"/>
        <family val="0"/>
        <charset val="1"/>
      </rPr>
      <t xml:space="preserve">' như người đang cúi chào.</t>
    </r>
  </si>
  <si>
    <t xml:space="preserve">り</t>
  </si>
  <si>
    <t xml:space="preserve">リ</t>
  </si>
  <si>
    <t xml:space="preserve">ri</t>
  </si>
  <si>
    <t xml:space="preserve">Hai nét song song, nét phải dài hơn — giống chữ 'ri'.</t>
  </si>
  <si>
    <t xml:space="preserve">る</t>
  </si>
  <si>
    <t xml:space="preserve">ル</t>
  </si>
  <si>
    <t xml:space="preserve">ru</t>
  </si>
  <si>
    <r>
      <rPr>
        <sz val="10"/>
        <rFont val="Arial"/>
        <family val="0"/>
        <charset val="1"/>
      </rPr>
      <t xml:space="preserve">Giống </t>
    </r>
    <r>
      <rPr>
        <sz val="10"/>
        <rFont val="Noto Sans CJK SC"/>
        <family val="2"/>
      </rPr>
      <t xml:space="preserve">ろ </t>
    </r>
    <r>
      <rPr>
        <sz val="10"/>
        <rFont val="Arial"/>
        <family val="0"/>
        <charset val="1"/>
      </rPr>
      <t xml:space="preserve">thêm vòng tròn ở đuôi — con đường (ROAD) cuộn lại.</t>
    </r>
  </si>
  <si>
    <t xml:space="preserve">れ</t>
  </si>
  <si>
    <t xml:space="preserve">レ</t>
  </si>
  <si>
    <t xml:space="preserve">re</t>
  </si>
  <si>
    <r>
      <rPr>
        <sz val="10"/>
        <rFont val="Arial"/>
        <family val="0"/>
        <charset val="1"/>
      </rPr>
      <t xml:space="preserve">Giống </t>
    </r>
    <r>
      <rPr>
        <sz val="10"/>
        <rFont val="Noto Sans CJK SC"/>
        <family val="2"/>
      </rPr>
      <t xml:space="preserve">ね </t>
    </r>
    <r>
      <rPr>
        <sz val="10"/>
        <rFont val="Arial"/>
        <family val="0"/>
        <charset val="1"/>
      </rPr>
      <t xml:space="preserve">nhưng đuôi hất ra ngoài, không cuộn.</t>
    </r>
  </si>
  <si>
    <t xml:space="preserve">ろ</t>
  </si>
  <si>
    <t xml:space="preserve">ロ</t>
  </si>
  <si>
    <t xml:space="preserve">ro</t>
  </si>
  <si>
    <r>
      <rPr>
        <sz val="10"/>
        <rFont val="Arial"/>
        <family val="0"/>
        <charset val="1"/>
      </rPr>
      <t xml:space="preserve">Giống </t>
    </r>
    <r>
      <rPr>
        <sz val="10"/>
        <rFont val="Noto Sans CJK SC"/>
        <family val="2"/>
      </rPr>
      <t xml:space="preserve">る </t>
    </r>
    <r>
      <rPr>
        <sz val="10"/>
        <rFont val="Arial"/>
        <family val="0"/>
        <charset val="1"/>
      </rPr>
      <t xml:space="preserve">nhưng đuôi thẳng, không có vòng.</t>
    </r>
  </si>
  <si>
    <t xml:space="preserve">わ</t>
  </si>
  <si>
    <t xml:space="preserve">ワ</t>
  </si>
  <si>
    <t xml:space="preserve">wa</t>
  </si>
  <si>
    <r>
      <rPr>
        <sz val="10"/>
        <rFont val="Arial"/>
        <family val="0"/>
        <charset val="1"/>
      </rPr>
      <t xml:space="preserve">Giống </t>
    </r>
    <r>
      <rPr>
        <sz val="10"/>
        <rFont val="Noto Sans CJK SC"/>
        <family val="2"/>
      </rPr>
      <t xml:space="preserve">ね</t>
    </r>
    <r>
      <rPr>
        <sz val="10"/>
        <rFont val="Arial"/>
        <family val="0"/>
        <charset val="1"/>
      </rPr>
      <t xml:space="preserve">, </t>
    </r>
    <r>
      <rPr>
        <sz val="10"/>
        <rFont val="Noto Sans CJK SC"/>
        <family val="2"/>
      </rPr>
      <t xml:space="preserve">れ </t>
    </r>
    <r>
      <rPr>
        <sz val="10"/>
        <rFont val="Arial"/>
        <family val="0"/>
        <charset val="1"/>
      </rPr>
      <t xml:space="preserve">nhưng đuôi hất nhẹ — bánh xe (WA = vòng tròn).</t>
    </r>
  </si>
  <si>
    <t xml:space="preserve">を</t>
  </si>
  <si>
    <t xml:space="preserve">ヲ</t>
  </si>
  <si>
    <t xml:space="preserve">wo</t>
  </si>
  <si>
    <r>
      <rPr>
        <sz val="10"/>
        <rFont val="Arial"/>
        <family val="0"/>
        <charset val="1"/>
      </rPr>
      <t xml:space="preserve">Chỉ dùng làm trợ từ tân ngữ, đọc là 'o'. Nhớ: </t>
    </r>
    <r>
      <rPr>
        <sz val="10"/>
        <rFont val="Noto Sans CJK SC"/>
        <family val="2"/>
      </rPr>
      <t xml:space="preserve">を </t>
    </r>
    <r>
      <rPr>
        <sz val="10"/>
        <rFont val="Arial"/>
        <family val="0"/>
        <charset val="1"/>
      </rPr>
      <t xml:space="preserve">chỉ đứng sau danh từ.</t>
    </r>
  </si>
  <si>
    <t xml:space="preserve">ん</t>
  </si>
  <si>
    <t xml:space="preserve">ン</t>
  </si>
  <si>
    <t xml:space="preserve">n</t>
  </si>
  <si>
    <t xml:space="preserve">Nét cong đơn giản, âm mũi kết thúc từ — giống chữ 'n' viết tay.</t>
  </si>
  <si>
    <t xml:space="preserve">が</t>
  </si>
  <si>
    <t xml:space="preserve">ガ</t>
  </si>
  <si>
    <t xml:space="preserve">ga</t>
  </si>
  <si>
    <t xml:space="preserve">Âm đục / bán đục: lấy chữ gốc thêm dấu " hoặc °. Nhớ chữ gốc là ra.</t>
  </si>
  <si>
    <t xml:space="preserve">ぎ</t>
  </si>
  <si>
    <t xml:space="preserve">ギ</t>
  </si>
  <si>
    <t xml:space="preserve">gi</t>
  </si>
  <si>
    <t xml:space="preserve">ぐ</t>
  </si>
  <si>
    <t xml:space="preserve">グ</t>
  </si>
  <si>
    <t xml:space="preserve">gu</t>
  </si>
  <si>
    <t xml:space="preserve">げ</t>
  </si>
  <si>
    <t xml:space="preserve">ゲ</t>
  </si>
  <si>
    <t xml:space="preserve">ge</t>
  </si>
  <si>
    <t xml:space="preserve">ご</t>
  </si>
  <si>
    <t xml:space="preserve">ゴ</t>
  </si>
  <si>
    <t xml:space="preserve">go</t>
  </si>
  <si>
    <t xml:space="preserve">ざ</t>
  </si>
  <si>
    <t xml:space="preserve">ザ</t>
  </si>
  <si>
    <t xml:space="preserve">za</t>
  </si>
  <si>
    <t xml:space="preserve">じ</t>
  </si>
  <si>
    <t xml:space="preserve">ジ</t>
  </si>
  <si>
    <t xml:space="preserve">ji</t>
  </si>
  <si>
    <t xml:space="preserve">ず</t>
  </si>
  <si>
    <t xml:space="preserve">ズ</t>
  </si>
  <si>
    <t xml:space="preserve">zu</t>
  </si>
  <si>
    <t xml:space="preserve">ぜ</t>
  </si>
  <si>
    <t xml:space="preserve">ゼ</t>
  </si>
  <si>
    <t xml:space="preserve">ze</t>
  </si>
  <si>
    <t xml:space="preserve">ぞ</t>
  </si>
  <si>
    <t xml:space="preserve">ゾ</t>
  </si>
  <si>
    <t xml:space="preserve">zo</t>
  </si>
  <si>
    <t xml:space="preserve">だ</t>
  </si>
  <si>
    <t xml:space="preserve">ダ</t>
  </si>
  <si>
    <t xml:space="preserve">da</t>
  </si>
  <si>
    <t xml:space="preserve">ぢ</t>
  </si>
  <si>
    <t xml:space="preserve">ヂ</t>
  </si>
  <si>
    <t xml:space="preserve">づ</t>
  </si>
  <si>
    <t xml:space="preserve">ヅ</t>
  </si>
  <si>
    <t xml:space="preserve">で</t>
  </si>
  <si>
    <t xml:space="preserve">デ</t>
  </si>
  <si>
    <t xml:space="preserve">de</t>
  </si>
  <si>
    <t xml:space="preserve">ど</t>
  </si>
  <si>
    <t xml:space="preserve">ド</t>
  </si>
  <si>
    <t xml:space="preserve">do</t>
  </si>
  <si>
    <t xml:space="preserve">ば</t>
  </si>
  <si>
    <t xml:space="preserve">バ</t>
  </si>
  <si>
    <t xml:space="preserve">ba</t>
  </si>
  <si>
    <t xml:space="preserve">び</t>
  </si>
  <si>
    <t xml:space="preserve">ビ</t>
  </si>
  <si>
    <t xml:space="preserve">bi</t>
  </si>
  <si>
    <t xml:space="preserve">ぶ</t>
  </si>
  <si>
    <t xml:space="preserve">ブ</t>
  </si>
  <si>
    <t xml:space="preserve">bu</t>
  </si>
  <si>
    <t xml:space="preserve">べ</t>
  </si>
  <si>
    <t xml:space="preserve">ベ</t>
  </si>
  <si>
    <t xml:space="preserve">be</t>
  </si>
  <si>
    <t xml:space="preserve">ぼ</t>
  </si>
  <si>
    <t xml:space="preserve">ボ</t>
  </si>
  <si>
    <t xml:space="preserve">bo</t>
  </si>
  <si>
    <t xml:space="preserve">ぱ</t>
  </si>
  <si>
    <t xml:space="preserve">パ</t>
  </si>
  <si>
    <t xml:space="preserve">pa</t>
  </si>
  <si>
    <t xml:space="preserve">ぴ</t>
  </si>
  <si>
    <t xml:space="preserve">ピ</t>
  </si>
  <si>
    <t xml:space="preserve">pi</t>
  </si>
  <si>
    <t xml:space="preserve">ぷ</t>
  </si>
  <si>
    <t xml:space="preserve">プ</t>
  </si>
  <si>
    <t xml:space="preserve">pu</t>
  </si>
  <si>
    <t xml:space="preserve">ぺ</t>
  </si>
  <si>
    <t xml:space="preserve">ペ</t>
  </si>
  <si>
    <t xml:space="preserve">pe</t>
  </si>
  <si>
    <t xml:space="preserve">ぽ</t>
  </si>
  <si>
    <t xml:space="preserve">ポ</t>
  </si>
  <si>
    <t xml:space="preserve">po</t>
  </si>
  <si>
    <t xml:space="preserve">きゃ</t>
  </si>
  <si>
    <t xml:space="preserve">キャ</t>
  </si>
  <si>
    <t xml:space="preserve">kya</t>
  </si>
  <si>
    <r>
      <rPr>
        <sz val="10"/>
        <rFont val="Arial"/>
        <family val="0"/>
        <charset val="1"/>
      </rPr>
      <t xml:space="preserve">Âm ghép: chữ hàng </t>
    </r>
    <r>
      <rPr>
        <sz val="10"/>
        <rFont val="Noto Sans CJK SC"/>
        <family val="2"/>
      </rPr>
      <t xml:space="preserve">い </t>
    </r>
    <r>
      <rPr>
        <sz val="10"/>
        <rFont val="Arial"/>
        <family val="0"/>
        <charset val="1"/>
      </rPr>
      <t xml:space="preserve">+ </t>
    </r>
    <r>
      <rPr>
        <sz val="10"/>
        <rFont val="Noto Sans CJK SC"/>
        <family val="2"/>
      </rPr>
      <t xml:space="preserve">や</t>
    </r>
    <r>
      <rPr>
        <sz val="10"/>
        <rFont val="Arial"/>
        <family val="0"/>
        <charset val="1"/>
      </rPr>
      <t xml:space="preserve">/</t>
    </r>
    <r>
      <rPr>
        <sz val="10"/>
        <rFont val="Noto Sans CJK SC"/>
        <family val="2"/>
      </rPr>
      <t xml:space="preserve">ゆ</t>
    </r>
    <r>
      <rPr>
        <sz val="10"/>
        <rFont val="Arial"/>
        <family val="0"/>
        <charset val="1"/>
      </rPr>
      <t xml:space="preserve">/</t>
    </r>
    <r>
      <rPr>
        <sz val="10"/>
        <rFont val="Noto Sans CJK SC"/>
        <family val="2"/>
      </rPr>
      <t xml:space="preserve">よ </t>
    </r>
    <r>
      <rPr>
        <sz val="10"/>
        <rFont val="Arial"/>
        <family val="0"/>
        <charset val="1"/>
      </rPr>
      <t xml:space="preserve">viết nhỏ. Đọc liền thành một âm.</t>
    </r>
  </si>
  <si>
    <t xml:space="preserve">きゅ</t>
  </si>
  <si>
    <t xml:space="preserve">キュ</t>
  </si>
  <si>
    <t xml:space="preserve">kyu</t>
  </si>
  <si>
    <t xml:space="preserve">きょ</t>
  </si>
  <si>
    <t xml:space="preserve">キョ</t>
  </si>
  <si>
    <t xml:space="preserve">kyo</t>
  </si>
  <si>
    <t xml:space="preserve">しゃ</t>
  </si>
  <si>
    <t xml:space="preserve">シャ</t>
  </si>
  <si>
    <t xml:space="preserve">sha</t>
  </si>
  <si>
    <t xml:space="preserve">しゅ</t>
  </si>
  <si>
    <t xml:space="preserve">シュ</t>
  </si>
  <si>
    <t xml:space="preserve">shu</t>
  </si>
  <si>
    <t xml:space="preserve">しょ</t>
  </si>
  <si>
    <t xml:space="preserve">ショ</t>
  </si>
  <si>
    <t xml:space="preserve">sho</t>
  </si>
  <si>
    <t xml:space="preserve">ちゃ</t>
  </si>
  <si>
    <t xml:space="preserve">チャ</t>
  </si>
  <si>
    <t xml:space="preserve">cha</t>
  </si>
  <si>
    <t xml:space="preserve">ちゅ</t>
  </si>
  <si>
    <t xml:space="preserve">チュ</t>
  </si>
  <si>
    <t xml:space="preserve">chu</t>
  </si>
  <si>
    <t xml:space="preserve">ちょ</t>
  </si>
  <si>
    <t xml:space="preserve">チョ</t>
  </si>
  <si>
    <t xml:space="preserve">cho</t>
  </si>
  <si>
    <t xml:space="preserve">にゃ</t>
  </si>
  <si>
    <t xml:space="preserve">ニャ</t>
  </si>
  <si>
    <t xml:space="preserve">nya</t>
  </si>
  <si>
    <t xml:space="preserve">にゅ</t>
  </si>
  <si>
    <t xml:space="preserve">ニュ</t>
  </si>
  <si>
    <t xml:space="preserve">nyu</t>
  </si>
  <si>
    <t xml:space="preserve">にょ</t>
  </si>
  <si>
    <t xml:space="preserve">ニョ</t>
  </si>
  <si>
    <t xml:space="preserve">nyo</t>
  </si>
  <si>
    <t xml:space="preserve">ひゃ</t>
  </si>
  <si>
    <t xml:space="preserve">ヒャ</t>
  </si>
  <si>
    <t xml:space="preserve">hya</t>
  </si>
  <si>
    <t xml:space="preserve">ひゅ</t>
  </si>
  <si>
    <t xml:space="preserve">ヒュ</t>
  </si>
  <si>
    <t xml:space="preserve">hyu</t>
  </si>
  <si>
    <t xml:space="preserve">ひょ</t>
  </si>
  <si>
    <t xml:space="preserve">ヒョ</t>
  </si>
  <si>
    <t xml:space="preserve">hyo</t>
  </si>
  <si>
    <t xml:space="preserve">みゃ</t>
  </si>
  <si>
    <t xml:space="preserve">ミャ</t>
  </si>
  <si>
    <t xml:space="preserve">mya</t>
  </si>
  <si>
    <t xml:space="preserve">みゅ</t>
  </si>
  <si>
    <t xml:space="preserve">ミュ</t>
  </si>
  <si>
    <t xml:space="preserve">myu</t>
  </si>
  <si>
    <t xml:space="preserve">みょ</t>
  </si>
  <si>
    <t xml:space="preserve">ミョ</t>
  </si>
  <si>
    <t xml:space="preserve">myo</t>
  </si>
  <si>
    <t xml:space="preserve">りゃ</t>
  </si>
  <si>
    <t xml:space="preserve">リャ</t>
  </si>
  <si>
    <t xml:space="preserve">rya</t>
  </si>
  <si>
    <t xml:space="preserve">りゅ</t>
  </si>
  <si>
    <t xml:space="preserve">リュ</t>
  </si>
  <si>
    <t xml:space="preserve">ryu</t>
  </si>
  <si>
    <t xml:space="preserve">りょ</t>
  </si>
  <si>
    <t xml:space="preserve">リョ</t>
  </si>
  <si>
    <t xml:space="preserve">ryo</t>
  </si>
  <si>
    <t xml:space="preserve">ぎゃ</t>
  </si>
  <si>
    <t xml:space="preserve">ギャ</t>
  </si>
  <si>
    <t xml:space="preserve">gya</t>
  </si>
  <si>
    <t xml:space="preserve">ぎゅ</t>
  </si>
  <si>
    <t xml:space="preserve">ギュ</t>
  </si>
  <si>
    <t xml:space="preserve">gyu</t>
  </si>
  <si>
    <t xml:space="preserve">ぎょ</t>
  </si>
  <si>
    <t xml:space="preserve">ギョ</t>
  </si>
  <si>
    <t xml:space="preserve">gyo</t>
  </si>
  <si>
    <t xml:space="preserve">じゃ</t>
  </si>
  <si>
    <t xml:space="preserve">ジャ</t>
  </si>
  <si>
    <t xml:space="preserve">ja</t>
  </si>
  <si>
    <t xml:space="preserve">じゅ</t>
  </si>
  <si>
    <t xml:space="preserve">ジュ</t>
  </si>
  <si>
    <t xml:space="preserve">ju</t>
  </si>
  <si>
    <t xml:space="preserve">じょ</t>
  </si>
  <si>
    <t xml:space="preserve">ジョ</t>
  </si>
  <si>
    <t xml:space="preserve">jo</t>
  </si>
  <si>
    <t xml:space="preserve">びゃ</t>
  </si>
  <si>
    <t xml:space="preserve">ビャ</t>
  </si>
  <si>
    <t xml:space="preserve">bya</t>
  </si>
  <si>
    <t xml:space="preserve">びゅ</t>
  </si>
  <si>
    <t xml:space="preserve">ビュ</t>
  </si>
  <si>
    <t xml:space="preserve">byu</t>
  </si>
  <si>
    <t xml:space="preserve">びょ</t>
  </si>
  <si>
    <t xml:space="preserve">ビョ</t>
  </si>
  <si>
    <t xml:space="preserve">byo</t>
  </si>
  <si>
    <t xml:space="preserve">ぴゃ</t>
  </si>
  <si>
    <t xml:space="preserve">ピャ</t>
  </si>
  <si>
    <t xml:space="preserve">pya</t>
  </si>
  <si>
    <t xml:space="preserve">ぴゅ</t>
  </si>
  <si>
    <t xml:space="preserve">ピュ</t>
  </si>
  <si>
    <t xml:space="preserve">pyu</t>
  </si>
  <si>
    <t xml:space="preserve">ぴょ</t>
  </si>
  <si>
    <t xml:space="preserve">ピョ</t>
  </si>
  <si>
    <t xml:space="preserve">pyo</t>
  </si>
  <si>
    <t xml:space="preserve">45 BỘ THỦ QUAN TRỌNG — mảnh ghép tạo nên Kanji, học 1 bộ mỗi ngày</t>
  </si>
  <si>
    <r>
      <rPr>
        <i val="true"/>
        <sz val="10"/>
        <color rgb="FF1F3864"/>
        <rFont val="Arial"/>
        <family val="0"/>
        <charset val="1"/>
      </rPr>
      <t xml:space="preserve">Mọi chữ có bộ </t>
    </r>
    <r>
      <rPr>
        <i val="true"/>
        <sz val="10"/>
        <color rgb="FF1F3864"/>
        <rFont val="Noto Sans CJK SC"/>
        <family val="2"/>
      </rPr>
      <t xml:space="preserve">言 </t>
    </r>
    <r>
      <rPr>
        <i val="true"/>
        <sz val="10"/>
        <color rgb="FF1F3864"/>
        <rFont val="Arial"/>
        <family val="0"/>
        <charset val="1"/>
      </rPr>
      <t xml:space="preserve">đều liên quan đến lời nói (</t>
    </r>
    <r>
      <rPr>
        <i val="true"/>
        <sz val="10"/>
        <color rgb="FF1F3864"/>
        <rFont val="Noto Sans CJK SC"/>
        <family val="2"/>
      </rPr>
      <t xml:space="preserve">話 </t>
    </r>
    <r>
      <rPr>
        <i val="true"/>
        <sz val="10"/>
        <color rgb="FF1F3864"/>
        <rFont val="Arial"/>
        <family val="0"/>
        <charset val="1"/>
      </rPr>
      <t xml:space="preserve">nói chuyện, </t>
    </r>
    <r>
      <rPr>
        <i val="true"/>
        <sz val="10"/>
        <color rgb="FF1F3864"/>
        <rFont val="Noto Sans CJK SC"/>
        <family val="2"/>
      </rPr>
      <t xml:space="preserve">語 </t>
    </r>
    <r>
      <rPr>
        <i val="true"/>
        <sz val="10"/>
        <color rgb="FF1F3864"/>
        <rFont val="Arial"/>
        <family val="0"/>
        <charset val="1"/>
      </rPr>
      <t xml:space="preserve">ngôn ngữ, </t>
    </r>
    <r>
      <rPr>
        <i val="true"/>
        <sz val="10"/>
        <color rgb="FF1F3864"/>
        <rFont val="Noto Sans CJK SC"/>
        <family val="2"/>
      </rPr>
      <t xml:space="preserve">読 </t>
    </r>
    <r>
      <rPr>
        <i val="true"/>
        <sz val="10"/>
        <color rgb="FF1F3864"/>
        <rFont val="Arial"/>
        <family val="0"/>
        <charset val="1"/>
      </rPr>
      <t xml:space="preserve">đọc). Mọi chữ có bộ </t>
    </r>
    <r>
      <rPr>
        <i val="true"/>
        <sz val="10"/>
        <color rgb="FF1F3864"/>
        <rFont val="Noto Sans CJK SC"/>
        <family val="2"/>
      </rPr>
      <t xml:space="preserve">氵 </t>
    </r>
    <r>
      <rPr>
        <i val="true"/>
        <sz val="10"/>
        <color rgb="FF1F3864"/>
        <rFont val="Arial"/>
        <family val="0"/>
        <charset val="1"/>
      </rPr>
      <t xml:space="preserve">đều liên quan đến nước (</t>
    </r>
    <r>
      <rPr>
        <i val="true"/>
        <sz val="10"/>
        <color rgb="FF1F3864"/>
        <rFont val="Noto Sans CJK SC"/>
        <family val="2"/>
      </rPr>
      <t xml:space="preserve">海 </t>
    </r>
    <r>
      <rPr>
        <i val="true"/>
        <sz val="10"/>
        <color rgb="FF1F3864"/>
        <rFont val="Arial"/>
        <family val="0"/>
        <charset val="1"/>
      </rPr>
      <t xml:space="preserve">biển, </t>
    </r>
    <r>
      <rPr>
        <i val="true"/>
        <sz val="10"/>
        <color rgb="FF1F3864"/>
        <rFont val="Noto Sans CJK SC"/>
        <family val="2"/>
      </rPr>
      <t xml:space="preserve">酒 </t>
    </r>
    <r>
      <rPr>
        <i val="true"/>
        <sz val="10"/>
        <color rgb="FF1F3864"/>
        <rFont val="Arial"/>
        <family val="0"/>
        <charset val="1"/>
      </rPr>
      <t xml:space="preserve">rượu, </t>
    </r>
    <r>
      <rPr>
        <i val="true"/>
        <sz val="10"/>
        <color rgb="FF1F3864"/>
        <rFont val="Noto Sans CJK SC"/>
        <family val="2"/>
      </rPr>
      <t xml:space="preserve">洗 </t>
    </r>
    <r>
      <rPr>
        <i val="true"/>
        <sz val="10"/>
        <color rgb="FF1F3864"/>
        <rFont val="Arial"/>
        <family val="0"/>
        <charset val="1"/>
      </rPr>
      <t xml:space="preserve">rửa). Nắm 45 bộ này là bạn đoán được nghĩa của chữ chưa từng gặp.</t>
    </r>
  </si>
  <si>
    <t xml:space="preserve">Tên tiếng Nhật</t>
  </si>
  <si>
    <t xml:space="preserve">Nghĩa</t>
  </si>
  <si>
    <t xml:space="preserve">Kanji chứa bộ này</t>
  </si>
  <si>
    <t xml:space="preserve">Mẹo nhớ</t>
  </si>
  <si>
    <r>
      <rPr>
        <b val="true"/>
        <sz val="16"/>
        <rFont val="Noto Sans CJK SC"/>
        <family val="2"/>
      </rPr>
      <t xml:space="preserve">人 </t>
    </r>
    <r>
      <rPr>
        <b val="true"/>
        <sz val="16"/>
        <rFont val="Arial"/>
        <family val="0"/>
        <charset val="1"/>
      </rPr>
      <t xml:space="preserve">/ </t>
    </r>
    <r>
      <rPr>
        <b val="true"/>
        <sz val="16"/>
        <rFont val="Noto Sans CJK SC"/>
        <family val="2"/>
      </rPr>
      <t xml:space="preserve">亻</t>
    </r>
  </si>
  <si>
    <r>
      <rPr>
        <sz val="10"/>
        <rFont val="Noto Sans CJK SC"/>
        <family val="2"/>
      </rPr>
      <t xml:space="preserve">ひと </t>
    </r>
    <r>
      <rPr>
        <sz val="10"/>
        <rFont val="Arial"/>
        <family val="0"/>
        <charset val="1"/>
      </rPr>
      <t xml:space="preserve">/ </t>
    </r>
    <r>
      <rPr>
        <sz val="10"/>
        <rFont val="Noto Sans CJK SC"/>
        <family val="2"/>
      </rPr>
      <t xml:space="preserve">にんべん</t>
    </r>
  </si>
  <si>
    <t xml:space="preserve">Người</t>
  </si>
  <si>
    <t xml:space="preserve">人・休・何・今</t>
  </si>
  <si>
    <r>
      <rPr>
        <sz val="10"/>
        <rFont val="Noto Sans CJK SC"/>
        <family val="2"/>
      </rPr>
      <t xml:space="preserve">亻 </t>
    </r>
    <r>
      <rPr>
        <sz val="10"/>
        <rFont val="Arial"/>
        <family val="0"/>
        <charset val="1"/>
      </rPr>
      <t xml:space="preserve">đứng bên trái = dáng người đứng nghiêng</t>
    </r>
  </si>
  <si>
    <t xml:space="preserve">くち</t>
  </si>
  <si>
    <t xml:space="preserve">Miệng, cái lỗ</t>
  </si>
  <si>
    <t xml:space="preserve">口・名・右・古</t>
  </si>
  <si>
    <t xml:space="preserve">Ô vuông nhỏ = cái miệng đang mở</t>
  </si>
  <si>
    <r>
      <rPr>
        <sz val="10"/>
        <rFont val="Noto Sans CJK SC"/>
        <family val="2"/>
      </rPr>
      <t xml:space="preserve">ひ </t>
    </r>
    <r>
      <rPr>
        <sz val="10"/>
        <rFont val="Arial"/>
        <family val="0"/>
        <charset val="1"/>
      </rPr>
      <t xml:space="preserve">/ </t>
    </r>
    <r>
      <rPr>
        <sz val="10"/>
        <rFont val="Noto Sans CJK SC"/>
        <family val="2"/>
      </rPr>
      <t xml:space="preserve">にちへん</t>
    </r>
  </si>
  <si>
    <t xml:space="preserve">Mặt trời, ngày</t>
  </si>
  <si>
    <t xml:space="preserve">日・時・明・早</t>
  </si>
  <si>
    <t xml:space="preserve">Ô vuông có gạch giữa = mặt trời</t>
  </si>
  <si>
    <r>
      <rPr>
        <sz val="10"/>
        <rFont val="Noto Sans CJK SC"/>
        <family val="2"/>
      </rPr>
      <t xml:space="preserve">つき </t>
    </r>
    <r>
      <rPr>
        <sz val="10"/>
        <rFont val="Arial"/>
        <family val="0"/>
        <charset val="1"/>
      </rPr>
      <t xml:space="preserve">/ </t>
    </r>
    <r>
      <rPr>
        <sz val="10"/>
        <rFont val="Noto Sans CJK SC"/>
        <family val="2"/>
      </rPr>
      <t xml:space="preserve">にくづき</t>
    </r>
  </si>
  <si>
    <t xml:space="preserve">Mặt trăng, tháng, thân thể</t>
  </si>
  <si>
    <t xml:space="preserve">月・前・服</t>
  </si>
  <si>
    <r>
      <rPr>
        <sz val="10"/>
        <rFont val="Arial"/>
        <family val="0"/>
        <charset val="1"/>
      </rPr>
      <t xml:space="preserve">Trăng khuyết; khi chỉ cơ thể đọc là </t>
    </r>
    <r>
      <rPr>
        <sz val="10"/>
        <rFont val="Noto Sans CJK SC"/>
        <family val="2"/>
      </rPr>
      <t xml:space="preserve">にくづき</t>
    </r>
  </si>
  <si>
    <r>
      <rPr>
        <sz val="10"/>
        <rFont val="Noto Sans CJK SC"/>
        <family val="2"/>
      </rPr>
      <t xml:space="preserve">き </t>
    </r>
    <r>
      <rPr>
        <sz val="10"/>
        <rFont val="Arial"/>
        <family val="0"/>
        <charset val="1"/>
      </rPr>
      <t xml:space="preserve">/ </t>
    </r>
    <r>
      <rPr>
        <sz val="10"/>
        <rFont val="Noto Sans CJK SC"/>
        <family val="2"/>
      </rPr>
      <t xml:space="preserve">きへん</t>
    </r>
  </si>
  <si>
    <t xml:space="preserve">Cây, gỗ</t>
  </si>
  <si>
    <t xml:space="preserve">木・本・校・東</t>
  </si>
  <si>
    <t xml:space="preserve">Thân cây có cành và rễ</t>
  </si>
  <si>
    <r>
      <rPr>
        <b val="true"/>
        <sz val="16"/>
        <rFont val="Noto Sans CJK SC"/>
        <family val="2"/>
      </rPr>
      <t xml:space="preserve">水 </t>
    </r>
    <r>
      <rPr>
        <b val="true"/>
        <sz val="16"/>
        <rFont val="Arial"/>
        <family val="0"/>
        <charset val="1"/>
      </rPr>
      <t xml:space="preserve">/ </t>
    </r>
    <r>
      <rPr>
        <b val="true"/>
        <sz val="16"/>
        <rFont val="Noto Sans CJK SC"/>
        <family val="2"/>
      </rPr>
      <t xml:space="preserve">氵</t>
    </r>
  </si>
  <si>
    <r>
      <rPr>
        <sz val="10"/>
        <rFont val="Noto Sans CJK SC"/>
        <family val="2"/>
      </rPr>
      <t xml:space="preserve">みず </t>
    </r>
    <r>
      <rPr>
        <sz val="10"/>
        <rFont val="Arial"/>
        <family val="0"/>
        <charset val="1"/>
      </rPr>
      <t xml:space="preserve">/ </t>
    </r>
    <r>
      <rPr>
        <sz val="10"/>
        <rFont val="Noto Sans CJK SC"/>
        <family val="2"/>
      </rPr>
      <t xml:space="preserve">さんずい</t>
    </r>
  </si>
  <si>
    <t xml:space="preserve">Nước, chất lỏng</t>
  </si>
  <si>
    <t xml:space="preserve">水・海・池・酒</t>
  </si>
  <si>
    <r>
      <rPr>
        <sz val="10"/>
        <rFont val="Noto Sans CJK SC"/>
        <family val="2"/>
      </rPr>
      <t xml:space="preserve">氵 </t>
    </r>
    <r>
      <rPr>
        <sz val="10"/>
        <rFont val="Arial"/>
        <family val="0"/>
        <charset val="1"/>
      </rPr>
      <t xml:space="preserve">ba giọt nước bên trái</t>
    </r>
  </si>
  <si>
    <r>
      <rPr>
        <b val="true"/>
        <sz val="16"/>
        <rFont val="Noto Sans CJK SC"/>
        <family val="2"/>
      </rPr>
      <t xml:space="preserve">火 </t>
    </r>
    <r>
      <rPr>
        <b val="true"/>
        <sz val="16"/>
        <rFont val="Arial"/>
        <family val="0"/>
        <charset val="1"/>
      </rPr>
      <t xml:space="preserve">/ </t>
    </r>
    <r>
      <rPr>
        <b val="true"/>
        <sz val="16"/>
        <rFont val="Noto Sans CJK SC"/>
        <family val="2"/>
      </rPr>
      <t xml:space="preserve">灬</t>
    </r>
  </si>
  <si>
    <r>
      <rPr>
        <sz val="10"/>
        <rFont val="Noto Sans CJK SC"/>
        <family val="2"/>
      </rPr>
      <t xml:space="preserve">ひ </t>
    </r>
    <r>
      <rPr>
        <sz val="10"/>
        <rFont val="Arial"/>
        <family val="0"/>
        <charset val="1"/>
      </rPr>
      <t xml:space="preserve">/ </t>
    </r>
    <r>
      <rPr>
        <sz val="10"/>
        <rFont val="Noto Sans CJK SC"/>
        <family val="2"/>
      </rPr>
      <t xml:space="preserve">れんが</t>
    </r>
  </si>
  <si>
    <t xml:space="preserve">Lửa, nhiệt</t>
  </si>
  <si>
    <t xml:space="preserve">火・点・無・焼</t>
  </si>
  <si>
    <r>
      <rPr>
        <sz val="10"/>
        <rFont val="Noto Sans CJK SC"/>
        <family val="2"/>
      </rPr>
      <t xml:space="preserve">灬 </t>
    </r>
    <r>
      <rPr>
        <sz val="10"/>
        <rFont val="Arial"/>
        <family val="0"/>
        <charset val="1"/>
      </rPr>
      <t xml:space="preserve">bốn chấm dưới = ngọn lửa cháy</t>
    </r>
  </si>
  <si>
    <r>
      <rPr>
        <sz val="10"/>
        <rFont val="Noto Sans CJK SC"/>
        <family val="2"/>
      </rPr>
      <t xml:space="preserve">つち </t>
    </r>
    <r>
      <rPr>
        <sz val="10"/>
        <rFont val="Arial"/>
        <family val="0"/>
        <charset val="1"/>
      </rPr>
      <t xml:space="preserve">/ </t>
    </r>
    <r>
      <rPr>
        <sz val="10"/>
        <rFont val="Noto Sans CJK SC"/>
        <family val="2"/>
      </rPr>
      <t xml:space="preserve">つちへん</t>
    </r>
  </si>
  <si>
    <t xml:space="preserve">Đất, nơi chốn</t>
  </si>
  <si>
    <t xml:space="preserve">土・地・場・在</t>
  </si>
  <si>
    <t xml:space="preserve">Chữ thập trên nền đất</t>
  </si>
  <si>
    <r>
      <rPr>
        <sz val="10"/>
        <rFont val="Noto Sans CJK SC"/>
        <family val="2"/>
      </rPr>
      <t xml:space="preserve">かね </t>
    </r>
    <r>
      <rPr>
        <sz val="10"/>
        <rFont val="Arial"/>
        <family val="0"/>
        <charset val="1"/>
      </rPr>
      <t xml:space="preserve">/ </t>
    </r>
    <r>
      <rPr>
        <sz val="10"/>
        <rFont val="Noto Sans CJK SC"/>
        <family val="2"/>
      </rPr>
      <t xml:space="preserve">かねへん</t>
    </r>
  </si>
  <si>
    <t xml:space="preserve">Kim loại, tiền</t>
  </si>
  <si>
    <t xml:space="preserve">金・銀・鉄・鏡</t>
  </si>
  <si>
    <t xml:space="preserve">Mái nhà che kho báu chôn dưới đất</t>
  </si>
  <si>
    <r>
      <rPr>
        <sz val="10"/>
        <rFont val="Noto Sans CJK SC"/>
        <family val="2"/>
      </rPr>
      <t xml:space="preserve">おんな </t>
    </r>
    <r>
      <rPr>
        <sz val="10"/>
        <rFont val="Arial"/>
        <family val="0"/>
        <charset val="1"/>
      </rPr>
      <t xml:space="preserve">/ </t>
    </r>
    <r>
      <rPr>
        <sz val="10"/>
        <rFont val="Noto Sans CJK SC"/>
        <family val="2"/>
      </rPr>
      <t xml:space="preserve">おんなへん</t>
    </r>
  </si>
  <si>
    <t xml:space="preserve">Phụ nữ, nữ giới</t>
  </si>
  <si>
    <t xml:space="preserve">女・安・好・姉</t>
  </si>
  <si>
    <t xml:space="preserve">Dáng người phụ nữ đang quỳ</t>
  </si>
  <si>
    <r>
      <rPr>
        <sz val="10"/>
        <rFont val="Noto Sans CJK SC"/>
        <family val="2"/>
      </rPr>
      <t xml:space="preserve">こ </t>
    </r>
    <r>
      <rPr>
        <sz val="10"/>
        <rFont val="Arial"/>
        <family val="0"/>
        <charset val="1"/>
      </rPr>
      <t xml:space="preserve">/ </t>
    </r>
    <r>
      <rPr>
        <sz val="10"/>
        <rFont val="Noto Sans CJK SC"/>
        <family val="2"/>
      </rPr>
      <t xml:space="preserve">こへん</t>
    </r>
  </si>
  <si>
    <t xml:space="preserve">Con, trẻ nhỏ</t>
  </si>
  <si>
    <t xml:space="preserve">子・学・字・孫</t>
  </si>
  <si>
    <t xml:space="preserve">Em bé quấn tã dang tay</t>
  </si>
  <si>
    <r>
      <rPr>
        <b val="true"/>
        <sz val="16"/>
        <rFont val="Noto Sans CJK SC"/>
        <family val="2"/>
      </rPr>
      <t xml:space="preserve">心 </t>
    </r>
    <r>
      <rPr>
        <b val="true"/>
        <sz val="16"/>
        <rFont val="Arial"/>
        <family val="0"/>
        <charset val="1"/>
      </rPr>
      <t xml:space="preserve">/ </t>
    </r>
    <r>
      <rPr>
        <b val="true"/>
        <sz val="16"/>
        <rFont val="Noto Sans CJK SC"/>
        <family val="2"/>
      </rPr>
      <t xml:space="preserve">忄</t>
    </r>
  </si>
  <si>
    <r>
      <rPr>
        <sz val="10"/>
        <rFont val="Noto Sans CJK SC"/>
        <family val="2"/>
      </rPr>
      <t xml:space="preserve">こころ </t>
    </r>
    <r>
      <rPr>
        <sz val="10"/>
        <rFont val="Arial"/>
        <family val="0"/>
        <charset val="1"/>
      </rPr>
      <t xml:space="preserve">/ </t>
    </r>
    <r>
      <rPr>
        <sz val="10"/>
        <rFont val="Noto Sans CJK SC"/>
        <family val="2"/>
      </rPr>
      <t xml:space="preserve">りっしんべん</t>
    </r>
  </si>
  <si>
    <t xml:space="preserve">Trái tim, cảm xúc</t>
  </si>
  <si>
    <t xml:space="preserve">心・思・急・忙</t>
  </si>
  <si>
    <r>
      <rPr>
        <sz val="10"/>
        <rFont val="Noto Sans CJK SC"/>
        <family val="2"/>
      </rPr>
      <t xml:space="preserve">忄 </t>
    </r>
    <r>
      <rPr>
        <sz val="10"/>
        <rFont val="Arial"/>
        <family val="0"/>
        <charset val="1"/>
      </rPr>
      <t xml:space="preserve">là trái tim dựng đứng bên trái</t>
    </r>
  </si>
  <si>
    <r>
      <rPr>
        <b val="true"/>
        <sz val="16"/>
        <rFont val="Noto Sans CJK SC"/>
        <family val="2"/>
      </rPr>
      <t xml:space="preserve">手 </t>
    </r>
    <r>
      <rPr>
        <b val="true"/>
        <sz val="16"/>
        <rFont val="Arial"/>
        <family val="0"/>
        <charset val="1"/>
      </rPr>
      <t xml:space="preserve">/ </t>
    </r>
    <r>
      <rPr>
        <b val="true"/>
        <sz val="16"/>
        <rFont val="Noto Sans CJK SC"/>
        <family val="2"/>
      </rPr>
      <t xml:space="preserve">扌</t>
    </r>
  </si>
  <si>
    <r>
      <rPr>
        <sz val="10"/>
        <rFont val="Noto Sans CJK SC"/>
        <family val="2"/>
      </rPr>
      <t xml:space="preserve">て </t>
    </r>
    <r>
      <rPr>
        <sz val="10"/>
        <rFont val="Arial"/>
        <family val="0"/>
        <charset val="1"/>
      </rPr>
      <t xml:space="preserve">/ </t>
    </r>
    <r>
      <rPr>
        <sz val="10"/>
        <rFont val="Noto Sans CJK SC"/>
        <family val="2"/>
      </rPr>
      <t xml:space="preserve">てへん</t>
    </r>
  </si>
  <si>
    <t xml:space="preserve">Tay, hành động bằng tay</t>
  </si>
  <si>
    <t xml:space="preserve">手・持・打・指</t>
  </si>
  <si>
    <r>
      <rPr>
        <sz val="10"/>
        <rFont val="Noto Sans CJK SC"/>
        <family val="2"/>
      </rPr>
      <t xml:space="preserve">扌 </t>
    </r>
    <r>
      <rPr>
        <sz val="10"/>
        <rFont val="Arial"/>
        <family val="0"/>
        <charset val="1"/>
      </rPr>
      <t xml:space="preserve">bàn tay đưa ra bên trái</t>
    </r>
  </si>
  <si>
    <r>
      <rPr>
        <sz val="10"/>
        <rFont val="Noto Sans CJK SC"/>
        <family val="2"/>
      </rPr>
      <t xml:space="preserve">め </t>
    </r>
    <r>
      <rPr>
        <sz val="10"/>
        <rFont val="Arial"/>
        <family val="0"/>
        <charset val="1"/>
      </rPr>
      <t xml:space="preserve">/ </t>
    </r>
    <r>
      <rPr>
        <sz val="10"/>
        <rFont val="Noto Sans CJK SC"/>
        <family val="2"/>
      </rPr>
      <t xml:space="preserve">めへん</t>
    </r>
  </si>
  <si>
    <t xml:space="preserve">Mắt, nhìn</t>
  </si>
  <si>
    <t xml:space="preserve">目・見・直・眠</t>
  </si>
  <si>
    <t xml:space="preserve">Con mắt dựng đứng lên</t>
  </si>
  <si>
    <r>
      <rPr>
        <sz val="10"/>
        <rFont val="Noto Sans CJK SC"/>
        <family val="2"/>
      </rPr>
      <t xml:space="preserve">みみ </t>
    </r>
    <r>
      <rPr>
        <sz val="10"/>
        <rFont val="Arial"/>
        <family val="0"/>
        <charset val="1"/>
      </rPr>
      <t xml:space="preserve">/ </t>
    </r>
    <r>
      <rPr>
        <sz val="10"/>
        <rFont val="Noto Sans CJK SC"/>
        <family val="2"/>
      </rPr>
      <t xml:space="preserve">みみへん</t>
    </r>
  </si>
  <si>
    <t xml:space="preserve">Tai, nghe</t>
  </si>
  <si>
    <t xml:space="preserve">耳・聞・取・職</t>
  </si>
  <si>
    <t xml:space="preserve">Hình vành tai</t>
  </si>
  <si>
    <r>
      <rPr>
        <b val="true"/>
        <sz val="16"/>
        <rFont val="Noto Sans CJK SC"/>
        <family val="2"/>
      </rPr>
      <t xml:space="preserve">足 </t>
    </r>
    <r>
      <rPr>
        <b val="true"/>
        <sz val="16"/>
        <rFont val="Arial"/>
        <family val="0"/>
        <charset val="1"/>
      </rPr>
      <t xml:space="preserve">/ </t>
    </r>
    <r>
      <rPr>
        <b val="true"/>
        <sz val="16"/>
        <rFont val="Noto Sans CJK SC"/>
        <family val="2"/>
      </rPr>
      <t xml:space="preserve">⻊</t>
    </r>
  </si>
  <si>
    <r>
      <rPr>
        <sz val="10"/>
        <rFont val="Noto Sans CJK SC"/>
        <family val="2"/>
      </rPr>
      <t xml:space="preserve">あし </t>
    </r>
    <r>
      <rPr>
        <sz val="10"/>
        <rFont val="Arial"/>
        <family val="0"/>
        <charset val="1"/>
      </rPr>
      <t xml:space="preserve">/ </t>
    </r>
    <r>
      <rPr>
        <sz val="10"/>
        <rFont val="Noto Sans CJK SC"/>
        <family val="2"/>
      </rPr>
      <t xml:space="preserve">あしへん</t>
    </r>
  </si>
  <si>
    <t xml:space="preserve">Chân, bước đi</t>
  </si>
  <si>
    <t xml:space="preserve">足・路・速</t>
  </si>
  <si>
    <t xml:space="preserve">Đầu gối và bàn chân</t>
  </si>
  <si>
    <r>
      <rPr>
        <b val="true"/>
        <sz val="16"/>
        <rFont val="Noto Sans CJK SC"/>
        <family val="2"/>
      </rPr>
      <t xml:space="preserve">言 </t>
    </r>
    <r>
      <rPr>
        <b val="true"/>
        <sz val="16"/>
        <rFont val="Arial"/>
        <family val="0"/>
        <charset val="1"/>
      </rPr>
      <t xml:space="preserve">/ </t>
    </r>
    <r>
      <rPr>
        <b val="true"/>
        <sz val="16"/>
        <rFont val="Noto Sans CJK SC"/>
        <family val="2"/>
      </rPr>
      <t xml:space="preserve">訁</t>
    </r>
  </si>
  <si>
    <t xml:space="preserve">ごんべん</t>
  </si>
  <si>
    <t xml:space="preserve">Lời nói, ngôn ngữ</t>
  </si>
  <si>
    <t xml:space="preserve">言・話・語・読</t>
  </si>
  <si>
    <r>
      <rPr>
        <sz val="10"/>
        <rFont val="Arial"/>
        <family val="0"/>
        <charset val="1"/>
      </rPr>
      <t xml:space="preserve">Miệng phát ra sóng âm — chữ nào có </t>
    </r>
    <r>
      <rPr>
        <sz val="10"/>
        <rFont val="Noto Sans CJK SC"/>
        <family val="2"/>
      </rPr>
      <t xml:space="preserve">言 </t>
    </r>
    <r>
      <rPr>
        <sz val="10"/>
        <rFont val="Arial"/>
        <family val="0"/>
        <charset val="1"/>
      </rPr>
      <t xml:space="preserve">đều liên quan đến nói</t>
    </r>
  </si>
  <si>
    <r>
      <rPr>
        <sz val="10"/>
        <rFont val="Noto Sans CJK SC"/>
        <family val="2"/>
      </rPr>
      <t xml:space="preserve">くるま </t>
    </r>
    <r>
      <rPr>
        <sz val="10"/>
        <rFont val="Arial"/>
        <family val="0"/>
        <charset val="1"/>
      </rPr>
      <t xml:space="preserve">/ </t>
    </r>
    <r>
      <rPr>
        <sz val="10"/>
        <rFont val="Noto Sans CJK SC"/>
        <family val="2"/>
      </rPr>
      <t xml:space="preserve">くるまへん</t>
    </r>
  </si>
  <si>
    <t xml:space="preserve">Xe cộ</t>
  </si>
  <si>
    <t xml:space="preserve">車・転・軽・輪</t>
  </si>
  <si>
    <t xml:space="preserve">Nhìn từ trên xuống: trục và hai bánh xe</t>
  </si>
  <si>
    <t xml:space="preserve">もんがまえ</t>
  </si>
  <si>
    <t xml:space="preserve">Cổng, cửa</t>
  </si>
  <si>
    <t xml:space="preserve">門・間・開・閉</t>
  </si>
  <si>
    <t xml:space="preserve">Hai cánh cửa mở — bộ này bao quanh chữ</t>
  </si>
  <si>
    <r>
      <rPr>
        <b val="true"/>
        <sz val="16"/>
        <rFont val="Noto Sans CJK SC"/>
        <family val="2"/>
      </rPr>
      <t xml:space="preserve">食 </t>
    </r>
    <r>
      <rPr>
        <b val="true"/>
        <sz val="16"/>
        <rFont val="Arial"/>
        <family val="0"/>
        <charset val="1"/>
      </rPr>
      <t xml:space="preserve">/ </t>
    </r>
    <r>
      <rPr>
        <b val="true"/>
        <sz val="16"/>
        <rFont val="Noto Sans CJK SC"/>
        <family val="2"/>
      </rPr>
      <t xml:space="preserve">飠</t>
    </r>
  </si>
  <si>
    <r>
      <rPr>
        <sz val="10"/>
        <rFont val="Noto Sans CJK SC"/>
        <family val="2"/>
      </rPr>
      <t xml:space="preserve">しょく </t>
    </r>
    <r>
      <rPr>
        <sz val="10"/>
        <rFont val="Arial"/>
        <family val="0"/>
        <charset val="1"/>
      </rPr>
      <t xml:space="preserve">/ </t>
    </r>
    <r>
      <rPr>
        <sz val="10"/>
        <rFont val="Noto Sans CJK SC"/>
        <family val="2"/>
      </rPr>
      <t xml:space="preserve">しょくへん</t>
    </r>
  </si>
  <si>
    <t xml:space="preserve">Ăn uống, thức ăn</t>
  </si>
  <si>
    <t xml:space="preserve">食・飲・飯・館</t>
  </si>
  <si>
    <t xml:space="preserve">Mái che trên mâm cơm</t>
  </si>
  <si>
    <r>
      <rPr>
        <sz val="10"/>
        <rFont val="Noto Sans CJK SC"/>
        <family val="2"/>
      </rPr>
      <t xml:space="preserve">うお </t>
    </r>
    <r>
      <rPr>
        <sz val="10"/>
        <rFont val="Arial"/>
        <family val="0"/>
        <charset val="1"/>
      </rPr>
      <t xml:space="preserve">/ </t>
    </r>
    <r>
      <rPr>
        <sz val="10"/>
        <rFont val="Noto Sans CJK SC"/>
        <family val="2"/>
      </rPr>
      <t xml:space="preserve">うおへん</t>
    </r>
  </si>
  <si>
    <t xml:space="preserve">Cá, hải sản</t>
  </si>
  <si>
    <t xml:space="preserve">魚・鮮・鯨</t>
  </si>
  <si>
    <t xml:space="preserve">Đầu, thân, vảy và đuôi cá</t>
  </si>
  <si>
    <t xml:space="preserve">あめかんむり</t>
  </si>
  <si>
    <t xml:space="preserve">Mưa, hiện tượng thời tiết</t>
  </si>
  <si>
    <t xml:space="preserve">雨・電・雪・雲</t>
  </si>
  <si>
    <t xml:space="preserve">Giọt nước rơi từ mây — bộ này nằm trên đầu</t>
  </si>
  <si>
    <r>
      <rPr>
        <sz val="10"/>
        <rFont val="Noto Sans CJK SC"/>
        <family val="2"/>
      </rPr>
      <t xml:space="preserve">やま </t>
    </r>
    <r>
      <rPr>
        <sz val="10"/>
        <rFont val="Arial"/>
        <family val="0"/>
        <charset val="1"/>
      </rPr>
      <t xml:space="preserve">/ </t>
    </r>
    <r>
      <rPr>
        <sz val="10"/>
        <rFont val="Noto Sans CJK SC"/>
        <family val="2"/>
      </rPr>
      <t xml:space="preserve">やまへん</t>
    </r>
  </si>
  <si>
    <t xml:space="preserve">Núi</t>
  </si>
  <si>
    <t xml:space="preserve">山・岩・島</t>
  </si>
  <si>
    <t xml:space="preserve">Ba đỉnh núi nhô lên</t>
  </si>
  <si>
    <r>
      <rPr>
        <b val="true"/>
        <sz val="16"/>
        <rFont val="Noto Sans CJK SC"/>
        <family val="2"/>
      </rPr>
      <t xml:space="preserve">川 </t>
    </r>
    <r>
      <rPr>
        <b val="true"/>
        <sz val="16"/>
        <rFont val="Arial"/>
        <family val="0"/>
        <charset val="1"/>
      </rPr>
      <t xml:space="preserve">/ </t>
    </r>
    <r>
      <rPr>
        <b val="true"/>
        <sz val="16"/>
        <rFont val="Noto Sans CJK SC"/>
        <family val="2"/>
      </rPr>
      <t xml:space="preserve">巛</t>
    </r>
  </si>
  <si>
    <t xml:space="preserve">かわ</t>
  </si>
  <si>
    <t xml:space="preserve">Sông, dòng chảy</t>
  </si>
  <si>
    <t xml:space="preserve">川・州・巡</t>
  </si>
  <si>
    <t xml:space="preserve">Ba dòng nước chảy song song</t>
  </si>
  <si>
    <r>
      <rPr>
        <sz val="10"/>
        <rFont val="Noto Sans CJK SC"/>
        <family val="2"/>
      </rPr>
      <t xml:space="preserve">た </t>
    </r>
    <r>
      <rPr>
        <sz val="10"/>
        <rFont val="Arial"/>
        <family val="0"/>
        <charset val="1"/>
      </rPr>
      <t xml:space="preserve">/ </t>
    </r>
    <r>
      <rPr>
        <sz val="10"/>
        <rFont val="Noto Sans CJK SC"/>
        <family val="2"/>
      </rPr>
      <t xml:space="preserve">たへん</t>
    </r>
  </si>
  <si>
    <t xml:space="preserve">Ruộng đồng</t>
  </si>
  <si>
    <t xml:space="preserve">田・男・町・界</t>
  </si>
  <si>
    <t xml:space="preserve">Thửa ruộng chia bốn ô</t>
  </si>
  <si>
    <t xml:space="preserve">ちから</t>
  </si>
  <si>
    <t xml:space="preserve">Sức mạnh, nỗ lực</t>
  </si>
  <si>
    <t xml:space="preserve">力・男・動・助</t>
  </si>
  <si>
    <t xml:space="preserve">Cánh tay đang gồng cơ</t>
  </si>
  <si>
    <t xml:space="preserve">だい</t>
  </si>
  <si>
    <t xml:space="preserve">To, lớn</t>
  </si>
  <si>
    <t xml:space="preserve">大・天・太・犬</t>
  </si>
  <si>
    <t xml:space="preserve">Người dang rộng hai tay</t>
  </si>
  <si>
    <t xml:space="preserve">しょう</t>
  </si>
  <si>
    <t xml:space="preserve">Nhỏ, ít</t>
  </si>
  <si>
    <t xml:space="preserve">小・少</t>
  </si>
  <si>
    <t xml:space="preserve">Ba chấm bé xíu</t>
  </si>
  <si>
    <t xml:space="preserve">うかんむり</t>
  </si>
  <si>
    <t xml:space="preserve">Mái nhà, nơi ở</t>
  </si>
  <si>
    <t xml:space="preserve">安・家・室・宿</t>
  </si>
  <si>
    <t xml:space="preserve">Nóc nhà úp lên trên chữ</t>
  </si>
  <si>
    <t xml:space="preserve">くさかんむり</t>
  </si>
  <si>
    <t xml:space="preserve">Cỏ, thực vật</t>
  </si>
  <si>
    <t xml:space="preserve">花・茶・草・薬</t>
  </si>
  <si>
    <t xml:space="preserve">Hai chồi cỏ mọc trên đầu chữ</t>
  </si>
  <si>
    <t xml:space="preserve">しんにょう</t>
  </si>
  <si>
    <t xml:space="preserve">Di chuyển, đường đi</t>
  </si>
  <si>
    <t xml:space="preserve">道・週・近・通</t>
  </si>
  <si>
    <t xml:space="preserve">Ngã tư và bàn chân bước — bao bên trái và dưới</t>
  </si>
  <si>
    <t xml:space="preserve">ぎょうにんべん</t>
  </si>
  <si>
    <t xml:space="preserve">Bước đi, hành trình</t>
  </si>
  <si>
    <t xml:space="preserve">後・待・役</t>
  </si>
  <si>
    <t xml:space="preserve">Ngã ba đường thu nhỏ bên trái</t>
  </si>
  <si>
    <t xml:space="preserve">まだれ</t>
  </si>
  <si>
    <t xml:space="preserve">Mái hiên, công trình</t>
  </si>
  <si>
    <t xml:space="preserve">店・広・度・庭</t>
  </si>
  <si>
    <t xml:space="preserve">Mái nhà có tường một bên</t>
  </si>
  <si>
    <t xml:space="preserve">にんにょう</t>
  </si>
  <si>
    <t xml:space="preserve">Đôi chân người</t>
  </si>
  <si>
    <t xml:space="preserve">先・見・元・光</t>
  </si>
  <si>
    <t xml:space="preserve">Hai chân đỡ phần trên của chữ</t>
  </si>
  <si>
    <t xml:space="preserve">じゅう</t>
  </si>
  <si>
    <t xml:space="preserve">Mười, đầy đủ</t>
  </si>
  <si>
    <t xml:space="preserve">十・千・南・午</t>
  </si>
  <si>
    <t xml:space="preserve">Dấu cộng = số mười</t>
  </si>
  <si>
    <t xml:space="preserve">しろ</t>
  </si>
  <si>
    <t xml:space="preserve">Trắng, sáng</t>
  </si>
  <si>
    <t xml:space="preserve">白・百・的</t>
  </si>
  <si>
    <t xml:space="preserve">Mặt trời có tia sáng nhô lên</t>
  </si>
  <si>
    <r>
      <rPr>
        <sz val="10"/>
        <rFont val="Noto Sans CJK SC"/>
        <family val="2"/>
      </rPr>
      <t xml:space="preserve">たつ </t>
    </r>
    <r>
      <rPr>
        <sz val="10"/>
        <rFont val="Arial"/>
        <family val="0"/>
        <charset val="1"/>
      </rPr>
      <t xml:space="preserve">/ </t>
    </r>
    <r>
      <rPr>
        <sz val="10"/>
        <rFont val="Noto Sans CJK SC"/>
        <family val="2"/>
      </rPr>
      <t xml:space="preserve">たつへん</t>
    </r>
  </si>
  <si>
    <t xml:space="preserve">Đứng, dựng lên</t>
  </si>
  <si>
    <t xml:space="preserve">立・音・章・親</t>
  </si>
  <si>
    <t xml:space="preserve">Người đứng trên mặt đất</t>
  </si>
  <si>
    <r>
      <rPr>
        <sz val="10"/>
        <rFont val="Noto Sans CJK SC"/>
        <family val="2"/>
      </rPr>
      <t xml:space="preserve">うま </t>
    </r>
    <r>
      <rPr>
        <sz val="10"/>
        <rFont val="Arial"/>
        <family val="0"/>
        <charset val="1"/>
      </rPr>
      <t xml:space="preserve">/ </t>
    </r>
    <r>
      <rPr>
        <sz val="10"/>
        <rFont val="Noto Sans CJK SC"/>
        <family val="2"/>
      </rPr>
      <t xml:space="preserve">うまへん</t>
    </r>
  </si>
  <si>
    <t xml:space="preserve">Ngựa</t>
  </si>
  <si>
    <t xml:space="preserve">駅・験・駐</t>
  </si>
  <si>
    <t xml:space="preserve">Bờm, thân và bốn chân ngựa</t>
  </si>
  <si>
    <r>
      <rPr>
        <sz val="10"/>
        <rFont val="Noto Sans CJK SC"/>
        <family val="2"/>
      </rPr>
      <t xml:space="preserve">かい </t>
    </r>
    <r>
      <rPr>
        <sz val="10"/>
        <rFont val="Arial"/>
        <family val="0"/>
        <charset val="1"/>
      </rPr>
      <t xml:space="preserve">/ </t>
    </r>
    <r>
      <rPr>
        <sz val="10"/>
        <rFont val="Noto Sans CJK SC"/>
        <family val="2"/>
      </rPr>
      <t xml:space="preserve">かいへん</t>
    </r>
  </si>
  <si>
    <t xml:space="preserve">Vỏ sò, tiền bạc</t>
  </si>
  <si>
    <t xml:space="preserve">買・貝・財・買</t>
  </si>
  <si>
    <t xml:space="preserve">Ngày xưa vỏ sò dùng làm tiền</t>
  </si>
  <si>
    <r>
      <rPr>
        <sz val="10"/>
        <rFont val="Noto Sans CJK SC"/>
        <family val="2"/>
      </rPr>
      <t xml:space="preserve">いと </t>
    </r>
    <r>
      <rPr>
        <sz val="10"/>
        <rFont val="Arial"/>
        <family val="0"/>
        <charset val="1"/>
      </rPr>
      <t xml:space="preserve">/ </t>
    </r>
    <r>
      <rPr>
        <sz val="10"/>
        <rFont val="Noto Sans CJK SC"/>
        <family val="2"/>
      </rPr>
      <t xml:space="preserve">いとへん</t>
    </r>
  </si>
  <si>
    <t xml:space="preserve">Sợi chỉ, dệt</t>
  </si>
  <si>
    <t xml:space="preserve">糸・紙・細・組</t>
  </si>
  <si>
    <t xml:space="preserve">Bó tơ tằm xoắn lại</t>
  </si>
  <si>
    <r>
      <rPr>
        <sz val="10"/>
        <rFont val="Noto Sans CJK SC"/>
        <family val="2"/>
      </rPr>
      <t xml:space="preserve">こめ </t>
    </r>
    <r>
      <rPr>
        <sz val="10"/>
        <rFont val="Arial"/>
        <family val="0"/>
        <charset val="1"/>
      </rPr>
      <t xml:space="preserve">/ </t>
    </r>
    <r>
      <rPr>
        <sz val="10"/>
        <rFont val="Noto Sans CJK SC"/>
        <family val="2"/>
      </rPr>
      <t xml:space="preserve">こめへん</t>
    </r>
  </si>
  <si>
    <t xml:space="preserve">Gạo</t>
  </si>
  <si>
    <t xml:space="preserve">米・料・粉</t>
  </si>
  <si>
    <t xml:space="preserve">Hạt lúa rơi ra bốn phía</t>
  </si>
  <si>
    <t xml:space="preserve">うまれる</t>
  </si>
  <si>
    <t xml:space="preserve">Sinh ra, sống</t>
  </si>
  <si>
    <t xml:space="preserve">生・産</t>
  </si>
  <si>
    <t xml:space="preserve">Mầm cây nhú lên khỏi mặt đất</t>
  </si>
  <si>
    <t xml:space="preserve">いち</t>
  </si>
  <si>
    <t xml:space="preserve">Một, ngang bằng</t>
  </si>
  <si>
    <t xml:space="preserve">一・三・上・下</t>
  </si>
  <si>
    <t xml:space="preserve">Một nét ngang duy nhất</t>
  </si>
  <si>
    <t xml:space="preserve">なべぶた</t>
  </si>
  <si>
    <t xml:space="preserve">Nắp vung, phần che trên</t>
  </si>
  <si>
    <t xml:space="preserve">高・京・交</t>
  </si>
  <si>
    <t xml:space="preserve">Trông như cái nắp nồi</t>
  </si>
  <si>
    <t xml:space="preserve">しかばね</t>
  </si>
  <si>
    <t xml:space="preserve">Mái, thân người nằm</t>
  </si>
  <si>
    <t xml:space="preserve">屋・局・屋</t>
  </si>
  <si>
    <t xml:space="preserve">Người nằm nghiêng / mái che</t>
  </si>
  <si>
    <t xml:space="preserve">103 KANJI N5 — âm Hán Việt, âm On/Kun, số nét, từ ghép và mẹo nhớ</t>
  </si>
  <si>
    <t xml:space="preserve">Hán Việt</t>
  </si>
  <si>
    <r>
      <rPr>
        <b val="true"/>
        <sz val="10"/>
        <color rgb="FFFFFFFF"/>
        <rFont val="Arial"/>
        <family val="0"/>
        <charset val="1"/>
      </rPr>
      <t xml:space="preserve">Âm On (</t>
    </r>
    <r>
      <rPr>
        <b val="true"/>
        <sz val="10"/>
        <color rgb="FFFFFFFF"/>
        <rFont val="Noto Sans CJK SC"/>
        <family val="2"/>
      </rPr>
      <t xml:space="preserve">音</t>
    </r>
    <r>
      <rPr>
        <b val="true"/>
        <sz val="10"/>
        <color rgb="FFFFFFFF"/>
        <rFont val="Arial"/>
        <family val="0"/>
        <charset val="1"/>
      </rPr>
      <t xml:space="preserve">)</t>
    </r>
  </si>
  <si>
    <r>
      <rPr>
        <b val="true"/>
        <sz val="10"/>
        <color rgb="FFFFFFFF"/>
        <rFont val="Arial"/>
        <family val="0"/>
        <charset val="1"/>
      </rPr>
      <t xml:space="preserve">Âm Kun (</t>
    </r>
    <r>
      <rPr>
        <b val="true"/>
        <sz val="10"/>
        <color rgb="FFFFFFFF"/>
        <rFont val="Noto Sans CJK SC"/>
        <family val="2"/>
      </rPr>
      <t xml:space="preserve">訓</t>
    </r>
    <r>
      <rPr>
        <b val="true"/>
        <sz val="10"/>
        <color rgb="FFFFFFFF"/>
        <rFont val="Arial"/>
        <family val="0"/>
        <charset val="1"/>
      </rPr>
      <t xml:space="preserve">)</t>
    </r>
  </si>
  <si>
    <t xml:space="preserve">Nét</t>
  </si>
  <si>
    <t xml:space="preserve">Từ ghép thường gặp</t>
  </si>
  <si>
    <t xml:space="preserve">★</t>
  </si>
  <si>
    <t xml:space="preserve">NHẬT</t>
  </si>
  <si>
    <t xml:space="preserve">Ngày, mặt trời</t>
  </si>
  <si>
    <t xml:space="preserve">ニチ・ジツ</t>
  </si>
  <si>
    <t xml:space="preserve">ひ・か</t>
  </si>
  <si>
    <t xml:space="preserve">4</t>
  </si>
  <si>
    <r>
      <rPr>
        <sz val="10"/>
        <rFont val="Noto Sans CJK SC"/>
        <family val="2"/>
      </rPr>
      <t xml:space="preserve">日本 </t>
    </r>
    <r>
      <rPr>
        <sz val="10"/>
        <rFont val="Arial"/>
        <family val="0"/>
        <charset val="1"/>
      </rPr>
      <t xml:space="preserve">(</t>
    </r>
    <r>
      <rPr>
        <sz val="10"/>
        <rFont val="Noto Sans CJK SC"/>
        <family val="2"/>
      </rPr>
      <t xml:space="preserve">にほん</t>
    </r>
    <r>
      <rPr>
        <sz val="10"/>
        <rFont val="Arial"/>
        <family val="0"/>
        <charset val="1"/>
      </rPr>
      <t xml:space="preserve">) Nhật Bản </t>
    </r>
    <r>
      <rPr>
        <sz val="10"/>
        <rFont val="Noto Sans CJK SC"/>
        <family val="2"/>
      </rPr>
      <t xml:space="preserve">・ 今日 </t>
    </r>
    <r>
      <rPr>
        <sz val="10"/>
        <rFont val="Arial"/>
        <family val="0"/>
        <charset val="1"/>
      </rPr>
      <t xml:space="preserve">(</t>
    </r>
    <r>
      <rPr>
        <sz val="10"/>
        <rFont val="Noto Sans CJK SC"/>
        <family val="2"/>
      </rPr>
      <t xml:space="preserve">きょう</t>
    </r>
    <r>
      <rPr>
        <sz val="10"/>
        <rFont val="Arial"/>
        <family val="0"/>
        <charset val="1"/>
      </rPr>
      <t xml:space="preserve">) hôm nay </t>
    </r>
    <r>
      <rPr>
        <sz val="10"/>
        <rFont val="Noto Sans CJK SC"/>
        <family val="2"/>
      </rPr>
      <t xml:space="preserve">・ 毎日 </t>
    </r>
    <r>
      <rPr>
        <sz val="10"/>
        <rFont val="Arial"/>
        <family val="0"/>
        <charset val="1"/>
      </rPr>
      <t xml:space="preserve">(</t>
    </r>
    <r>
      <rPr>
        <sz val="10"/>
        <rFont val="Noto Sans CJK SC"/>
        <family val="2"/>
      </rPr>
      <t xml:space="preserve">まいにち</t>
    </r>
    <r>
      <rPr>
        <sz val="10"/>
        <rFont val="Arial"/>
        <family val="0"/>
        <charset val="1"/>
      </rPr>
      <t xml:space="preserve">) hằng ngày</t>
    </r>
  </si>
  <si>
    <t xml:space="preserve">Ô vuông có một gạch ở giữa = mặt trời có chấm đen. Mặt trời mọc một lần → một NGÀY.</t>
  </si>
  <si>
    <t xml:space="preserve">NHẤT</t>
  </si>
  <si>
    <t xml:space="preserve">Một</t>
  </si>
  <si>
    <t xml:space="preserve">イチ・イツ</t>
  </si>
  <si>
    <r>
      <rPr>
        <sz val="10"/>
        <rFont val="Noto Sans CJK SC"/>
        <family val="2"/>
      </rPr>
      <t xml:space="preserve">ひと</t>
    </r>
    <r>
      <rPr>
        <sz val="10"/>
        <rFont val="Arial"/>
        <family val="0"/>
        <charset val="1"/>
      </rPr>
      <t xml:space="preserve">(</t>
    </r>
    <r>
      <rPr>
        <sz val="10"/>
        <rFont val="Noto Sans CJK SC"/>
        <family val="2"/>
      </rPr>
      <t xml:space="preserve">つ</t>
    </r>
    <r>
      <rPr>
        <sz val="10"/>
        <rFont val="Arial"/>
        <family val="0"/>
        <charset val="1"/>
      </rPr>
      <t xml:space="preserve">)</t>
    </r>
  </si>
  <si>
    <t xml:space="preserve">1</t>
  </si>
  <si>
    <r>
      <rPr>
        <sz val="10"/>
        <rFont val="Noto Sans CJK SC"/>
        <family val="2"/>
      </rPr>
      <t xml:space="preserve">一つ </t>
    </r>
    <r>
      <rPr>
        <sz val="10"/>
        <rFont val="Arial"/>
        <family val="0"/>
        <charset val="1"/>
      </rPr>
      <t xml:space="preserve">(</t>
    </r>
    <r>
      <rPr>
        <sz val="10"/>
        <rFont val="Noto Sans CJK SC"/>
        <family val="2"/>
      </rPr>
      <t xml:space="preserve">ひとつ</t>
    </r>
    <r>
      <rPr>
        <sz val="10"/>
        <rFont val="Arial"/>
        <family val="0"/>
        <charset val="1"/>
      </rPr>
      <t xml:space="preserve">) một cái </t>
    </r>
    <r>
      <rPr>
        <sz val="10"/>
        <rFont val="Noto Sans CJK SC"/>
        <family val="2"/>
      </rPr>
      <t xml:space="preserve">・ 一人 </t>
    </r>
    <r>
      <rPr>
        <sz val="10"/>
        <rFont val="Arial"/>
        <family val="0"/>
        <charset val="1"/>
      </rPr>
      <t xml:space="preserve">(</t>
    </r>
    <r>
      <rPr>
        <sz val="10"/>
        <rFont val="Noto Sans CJK SC"/>
        <family val="2"/>
      </rPr>
      <t xml:space="preserve">ひとり</t>
    </r>
    <r>
      <rPr>
        <sz val="10"/>
        <rFont val="Arial"/>
        <family val="0"/>
        <charset val="1"/>
      </rPr>
      <t xml:space="preserve">) một người </t>
    </r>
    <r>
      <rPr>
        <sz val="10"/>
        <rFont val="Noto Sans CJK SC"/>
        <family val="2"/>
      </rPr>
      <t xml:space="preserve">・ 一月 </t>
    </r>
    <r>
      <rPr>
        <sz val="10"/>
        <rFont val="Arial"/>
        <family val="0"/>
        <charset val="1"/>
      </rPr>
      <t xml:space="preserve">(</t>
    </r>
    <r>
      <rPr>
        <sz val="10"/>
        <rFont val="Noto Sans CJK SC"/>
        <family val="2"/>
      </rPr>
      <t xml:space="preserve">いちがつ</t>
    </r>
    <r>
      <rPr>
        <sz val="10"/>
        <rFont val="Arial"/>
        <family val="0"/>
        <charset val="1"/>
      </rPr>
      <t xml:space="preserve">) tháng Một</t>
    </r>
  </si>
  <si>
    <r>
      <rPr>
        <sz val="10"/>
        <rFont val="Arial"/>
        <family val="0"/>
        <charset val="1"/>
      </rPr>
      <t xml:space="preserve">Một nét ngang = số 1. Dễ nhất trong 103 chữ, nhưng chú ý </t>
    </r>
    <r>
      <rPr>
        <sz val="10"/>
        <rFont val="Noto Sans CJK SC"/>
        <family val="2"/>
      </rPr>
      <t xml:space="preserve">一人 </t>
    </r>
    <r>
      <rPr>
        <sz val="10"/>
        <rFont val="Arial"/>
        <family val="0"/>
        <charset val="1"/>
      </rPr>
      <t xml:space="preserve">đọc bất quy tắc là </t>
    </r>
    <r>
      <rPr>
        <sz val="10"/>
        <rFont val="Noto Sans CJK SC"/>
        <family val="2"/>
      </rPr>
      <t xml:space="preserve">ひとり</t>
    </r>
    <r>
      <rPr>
        <sz val="10"/>
        <rFont val="Arial"/>
        <family val="0"/>
        <charset val="1"/>
      </rPr>
      <t xml:space="preserve">.</t>
    </r>
  </si>
  <si>
    <t xml:space="preserve">国</t>
  </si>
  <si>
    <t xml:space="preserve">QUỐC</t>
  </si>
  <si>
    <t xml:space="preserve">Đất nước</t>
  </si>
  <si>
    <t xml:space="preserve">コク</t>
  </si>
  <si>
    <t xml:space="preserve">くに</t>
  </si>
  <si>
    <t xml:space="preserve">8</t>
  </si>
  <si>
    <r>
      <rPr>
        <sz val="10"/>
        <rFont val="Noto Sans CJK SC"/>
        <family val="2"/>
      </rPr>
      <t xml:space="preserve">外国 </t>
    </r>
    <r>
      <rPr>
        <sz val="10"/>
        <rFont val="Arial"/>
        <family val="0"/>
        <charset val="1"/>
      </rPr>
      <t xml:space="preserve">(</t>
    </r>
    <r>
      <rPr>
        <sz val="10"/>
        <rFont val="Noto Sans CJK SC"/>
        <family val="2"/>
      </rPr>
      <t xml:space="preserve">がいこく</t>
    </r>
    <r>
      <rPr>
        <sz val="10"/>
        <rFont val="Arial"/>
        <family val="0"/>
        <charset val="1"/>
      </rPr>
      <t xml:space="preserve">) nước ngoài </t>
    </r>
    <r>
      <rPr>
        <sz val="10"/>
        <rFont val="Noto Sans CJK SC"/>
        <family val="2"/>
      </rPr>
      <t xml:space="preserve">・ 国語 </t>
    </r>
    <r>
      <rPr>
        <sz val="10"/>
        <rFont val="Arial"/>
        <family val="0"/>
        <charset val="1"/>
      </rPr>
      <t xml:space="preserve">(</t>
    </r>
    <r>
      <rPr>
        <sz val="10"/>
        <rFont val="Noto Sans CJK SC"/>
        <family val="2"/>
      </rPr>
      <t xml:space="preserve">こくご</t>
    </r>
    <r>
      <rPr>
        <sz val="10"/>
        <rFont val="Arial"/>
        <family val="0"/>
        <charset val="1"/>
      </rPr>
      <t xml:space="preserve">) quốc ngữ </t>
    </r>
    <r>
      <rPr>
        <sz val="10"/>
        <rFont val="Noto Sans CJK SC"/>
        <family val="2"/>
      </rPr>
      <t xml:space="preserve">・ 中国 </t>
    </r>
    <r>
      <rPr>
        <sz val="10"/>
        <rFont val="Arial"/>
        <family val="0"/>
        <charset val="1"/>
      </rPr>
      <t xml:space="preserve">(</t>
    </r>
    <r>
      <rPr>
        <sz val="10"/>
        <rFont val="Noto Sans CJK SC"/>
        <family val="2"/>
      </rPr>
      <t xml:space="preserve">ちゅうごく</t>
    </r>
    <r>
      <rPr>
        <sz val="10"/>
        <rFont val="Arial"/>
        <family val="0"/>
        <charset val="1"/>
      </rPr>
      <t xml:space="preserve">) Trung Quốc</t>
    </r>
  </si>
  <si>
    <r>
      <rPr>
        <sz val="10"/>
        <rFont val="Arial"/>
        <family val="0"/>
        <charset val="1"/>
      </rPr>
      <t xml:space="preserve">Bộ </t>
    </r>
    <r>
      <rPr>
        <sz val="10"/>
        <rFont val="Noto Sans CJK SC"/>
        <family val="2"/>
      </rPr>
      <t xml:space="preserve">囗 </t>
    </r>
    <r>
      <rPr>
        <sz val="10"/>
        <rFont val="Arial"/>
        <family val="0"/>
        <charset val="1"/>
      </rPr>
      <t xml:space="preserve">(vòng vây, biên giới) bao lấy </t>
    </r>
    <r>
      <rPr>
        <sz val="10"/>
        <rFont val="Noto Sans CJK SC"/>
        <family val="2"/>
      </rPr>
      <t xml:space="preserve">玉 </t>
    </r>
    <r>
      <rPr>
        <sz val="10"/>
        <rFont val="Arial"/>
        <family val="0"/>
        <charset val="1"/>
      </rPr>
      <t xml:space="preserve">(ngọc quý) = lãnh thổ có biên giới bảo vệ báu vật → QUỐC GIA.</t>
    </r>
  </si>
  <si>
    <t xml:space="preserve">会</t>
  </si>
  <si>
    <t xml:space="preserve">HỘI</t>
  </si>
  <si>
    <t xml:space="preserve">Gặp gỡ, hội họp</t>
  </si>
  <si>
    <t xml:space="preserve">カイ</t>
  </si>
  <si>
    <r>
      <rPr>
        <sz val="10"/>
        <rFont val="Noto Sans CJK SC"/>
        <family val="2"/>
      </rPr>
      <t xml:space="preserve">あ</t>
    </r>
    <r>
      <rPr>
        <sz val="10"/>
        <rFont val="Arial"/>
        <family val="0"/>
        <charset val="1"/>
      </rPr>
      <t xml:space="preserve">(</t>
    </r>
    <r>
      <rPr>
        <sz val="10"/>
        <rFont val="Noto Sans CJK SC"/>
        <family val="2"/>
      </rPr>
      <t xml:space="preserve">う</t>
    </r>
    <r>
      <rPr>
        <sz val="10"/>
        <rFont val="Arial"/>
        <family val="0"/>
        <charset val="1"/>
      </rPr>
      <t xml:space="preserve">)</t>
    </r>
  </si>
  <si>
    <t xml:space="preserve">6</t>
  </si>
  <si>
    <r>
      <rPr>
        <sz val="10"/>
        <rFont val="Noto Sans CJK SC"/>
        <family val="2"/>
      </rPr>
      <t xml:space="preserve">会社 </t>
    </r>
    <r>
      <rPr>
        <sz val="10"/>
        <rFont val="Arial"/>
        <family val="0"/>
        <charset val="1"/>
      </rPr>
      <t xml:space="preserve">(</t>
    </r>
    <r>
      <rPr>
        <sz val="10"/>
        <rFont val="Noto Sans CJK SC"/>
        <family val="2"/>
      </rPr>
      <t xml:space="preserve">かいしゃ</t>
    </r>
    <r>
      <rPr>
        <sz val="10"/>
        <rFont val="Arial"/>
        <family val="0"/>
        <charset val="1"/>
      </rPr>
      <t xml:space="preserve">) công ty </t>
    </r>
    <r>
      <rPr>
        <sz val="10"/>
        <rFont val="Noto Sans CJK SC"/>
        <family val="2"/>
      </rPr>
      <t xml:space="preserve">・ 会います </t>
    </r>
    <r>
      <rPr>
        <sz val="10"/>
        <rFont val="Arial"/>
        <family val="0"/>
        <charset val="1"/>
      </rPr>
      <t xml:space="preserve">(</t>
    </r>
    <r>
      <rPr>
        <sz val="10"/>
        <rFont val="Noto Sans CJK SC"/>
        <family val="2"/>
      </rPr>
      <t xml:space="preserve">あいます</t>
    </r>
    <r>
      <rPr>
        <sz val="10"/>
        <rFont val="Arial"/>
        <family val="0"/>
        <charset val="1"/>
      </rPr>
      <t xml:space="preserve">) gặp </t>
    </r>
    <r>
      <rPr>
        <sz val="10"/>
        <rFont val="Noto Sans CJK SC"/>
        <family val="2"/>
      </rPr>
      <t xml:space="preserve">・ 会話 </t>
    </r>
    <r>
      <rPr>
        <sz val="10"/>
        <rFont val="Arial"/>
        <family val="0"/>
        <charset val="1"/>
      </rPr>
      <t xml:space="preserve">(</t>
    </r>
    <r>
      <rPr>
        <sz val="10"/>
        <rFont val="Noto Sans CJK SC"/>
        <family val="2"/>
      </rPr>
      <t xml:space="preserve">かいわ</t>
    </r>
    <r>
      <rPr>
        <sz val="10"/>
        <rFont val="Arial"/>
        <family val="0"/>
        <charset val="1"/>
      </rPr>
      <t xml:space="preserve">) hội thoại</t>
    </r>
  </si>
  <si>
    <r>
      <rPr>
        <sz val="10"/>
        <rFont val="Arial"/>
        <family val="0"/>
        <charset val="1"/>
      </rPr>
      <t xml:space="preserve">Mái nhà </t>
    </r>
    <r>
      <rPr>
        <sz val="10"/>
        <rFont val="Noto Sans CJK SC"/>
        <family val="2"/>
      </rPr>
      <t xml:space="preserve">人 </t>
    </r>
    <r>
      <rPr>
        <sz val="10"/>
        <rFont val="Arial"/>
        <family val="0"/>
        <charset val="1"/>
      </rPr>
      <t xml:space="preserve">che bên trên, nhiều người tụ lại bên dưới = cuộc HỘI HỌP.</t>
    </r>
  </si>
  <si>
    <t xml:space="preserve">人</t>
  </si>
  <si>
    <t xml:space="preserve">NHÂN</t>
  </si>
  <si>
    <t xml:space="preserve">ジン・ニン</t>
  </si>
  <si>
    <t xml:space="preserve">ひと</t>
  </si>
  <si>
    <t xml:space="preserve">2</t>
  </si>
  <si>
    <r>
      <rPr>
        <sz val="10"/>
        <rFont val="Noto Sans CJK SC"/>
        <family val="2"/>
      </rPr>
      <t xml:space="preserve">日本人 </t>
    </r>
    <r>
      <rPr>
        <sz val="10"/>
        <rFont val="Arial"/>
        <family val="0"/>
        <charset val="1"/>
      </rPr>
      <t xml:space="preserve">(</t>
    </r>
    <r>
      <rPr>
        <sz val="10"/>
        <rFont val="Noto Sans CJK SC"/>
        <family val="2"/>
      </rPr>
      <t xml:space="preserve">にほんじん</t>
    </r>
    <r>
      <rPr>
        <sz val="10"/>
        <rFont val="Arial"/>
        <family val="0"/>
        <charset val="1"/>
      </rPr>
      <t xml:space="preserve">) người Nhật </t>
    </r>
    <r>
      <rPr>
        <sz val="10"/>
        <rFont val="Noto Sans CJK SC"/>
        <family val="2"/>
      </rPr>
      <t xml:space="preserve">・ 一人 </t>
    </r>
    <r>
      <rPr>
        <sz val="10"/>
        <rFont val="Arial"/>
        <family val="0"/>
        <charset val="1"/>
      </rPr>
      <t xml:space="preserve">(</t>
    </r>
    <r>
      <rPr>
        <sz val="10"/>
        <rFont val="Noto Sans CJK SC"/>
        <family val="2"/>
      </rPr>
      <t xml:space="preserve">ひとり</t>
    </r>
    <r>
      <rPr>
        <sz val="10"/>
        <rFont val="Arial"/>
        <family val="0"/>
        <charset val="1"/>
      </rPr>
      <t xml:space="preserve">) một người </t>
    </r>
    <r>
      <rPr>
        <sz val="10"/>
        <rFont val="Noto Sans CJK SC"/>
        <family val="2"/>
      </rPr>
      <t xml:space="preserve">・ 人口 </t>
    </r>
    <r>
      <rPr>
        <sz val="10"/>
        <rFont val="Arial"/>
        <family val="0"/>
        <charset val="1"/>
      </rPr>
      <t xml:space="preserve">(</t>
    </r>
    <r>
      <rPr>
        <sz val="10"/>
        <rFont val="Noto Sans CJK SC"/>
        <family val="2"/>
      </rPr>
      <t xml:space="preserve">じんこう</t>
    </r>
    <r>
      <rPr>
        <sz val="10"/>
        <rFont val="Arial"/>
        <family val="0"/>
        <charset val="1"/>
      </rPr>
      <t xml:space="preserve">) dân số</t>
    </r>
  </si>
  <si>
    <r>
      <rPr>
        <sz val="10"/>
        <rFont val="Arial"/>
        <family val="0"/>
        <charset val="1"/>
      </rPr>
      <t xml:space="preserve">Hai nét như hai chân đang bước = dáng NGƯỜI đi. Đuôi </t>
    </r>
    <r>
      <rPr>
        <sz val="10"/>
        <rFont val="Noto Sans CJK SC"/>
        <family val="2"/>
      </rPr>
      <t xml:space="preserve">〜人 </t>
    </r>
    <r>
      <rPr>
        <sz val="10"/>
        <rFont val="Arial"/>
        <family val="0"/>
        <charset val="1"/>
      </rPr>
      <t xml:space="preserve">gắn tên nước = người nước đó.</t>
    </r>
  </si>
  <si>
    <t xml:space="preserve">年</t>
  </si>
  <si>
    <t xml:space="preserve">NIÊN</t>
  </si>
  <si>
    <t xml:space="preserve">Năm</t>
  </si>
  <si>
    <t xml:space="preserve">ネン</t>
  </si>
  <si>
    <t xml:space="preserve">とし</t>
  </si>
  <si>
    <r>
      <rPr>
        <sz val="10"/>
        <rFont val="Noto Sans CJK SC"/>
        <family val="2"/>
      </rPr>
      <t xml:space="preserve">今年 </t>
    </r>
    <r>
      <rPr>
        <sz val="10"/>
        <rFont val="Arial"/>
        <family val="0"/>
        <charset val="1"/>
      </rPr>
      <t xml:space="preserve">(</t>
    </r>
    <r>
      <rPr>
        <sz val="10"/>
        <rFont val="Noto Sans CJK SC"/>
        <family val="2"/>
      </rPr>
      <t xml:space="preserve">ことし</t>
    </r>
    <r>
      <rPr>
        <sz val="10"/>
        <rFont val="Arial"/>
        <family val="0"/>
        <charset val="1"/>
      </rPr>
      <t xml:space="preserve">) năm nay </t>
    </r>
    <r>
      <rPr>
        <sz val="10"/>
        <rFont val="Noto Sans CJK SC"/>
        <family val="2"/>
      </rPr>
      <t xml:space="preserve">・ 去年 </t>
    </r>
    <r>
      <rPr>
        <sz val="10"/>
        <rFont val="Arial"/>
        <family val="0"/>
        <charset val="1"/>
      </rPr>
      <t xml:space="preserve">(</t>
    </r>
    <r>
      <rPr>
        <sz val="10"/>
        <rFont val="Noto Sans CJK SC"/>
        <family val="2"/>
      </rPr>
      <t xml:space="preserve">きょねん</t>
    </r>
    <r>
      <rPr>
        <sz val="10"/>
        <rFont val="Arial"/>
        <family val="0"/>
        <charset val="1"/>
      </rPr>
      <t xml:space="preserve">) năm ngoái </t>
    </r>
    <r>
      <rPr>
        <sz val="10"/>
        <rFont val="Noto Sans CJK SC"/>
        <family val="2"/>
      </rPr>
      <t xml:space="preserve">・ 一年 </t>
    </r>
    <r>
      <rPr>
        <sz val="10"/>
        <rFont val="Arial"/>
        <family val="0"/>
        <charset val="1"/>
      </rPr>
      <t xml:space="preserve">(</t>
    </r>
    <r>
      <rPr>
        <sz val="10"/>
        <rFont val="Noto Sans CJK SC"/>
        <family val="2"/>
      </rPr>
      <t xml:space="preserve">いちねん</t>
    </r>
    <r>
      <rPr>
        <sz val="10"/>
        <rFont val="Arial"/>
        <family val="0"/>
        <charset val="1"/>
      </rPr>
      <t xml:space="preserve">) một năm</t>
    </r>
  </si>
  <si>
    <t xml:space="preserve">Hình cây lúa trĩu hạt. Lúa chín một vụ = trôi qua một NĂM.</t>
  </si>
  <si>
    <t xml:space="preserve">ĐẠI</t>
  </si>
  <si>
    <t xml:space="preserve">ダイ・タイ</t>
  </si>
  <si>
    <r>
      <rPr>
        <sz val="10"/>
        <rFont val="Noto Sans CJK SC"/>
        <family val="2"/>
      </rPr>
      <t xml:space="preserve">おお</t>
    </r>
    <r>
      <rPr>
        <sz val="10"/>
        <rFont val="Arial"/>
        <family val="0"/>
        <charset val="1"/>
      </rPr>
      <t xml:space="preserve">(</t>
    </r>
    <r>
      <rPr>
        <sz val="10"/>
        <rFont val="Noto Sans CJK SC"/>
        <family val="2"/>
      </rPr>
      <t xml:space="preserve">きい</t>
    </r>
    <r>
      <rPr>
        <sz val="10"/>
        <rFont val="Arial"/>
        <family val="0"/>
        <charset val="1"/>
      </rPr>
      <t xml:space="preserve">)</t>
    </r>
  </si>
  <si>
    <t xml:space="preserve">3</t>
  </si>
  <si>
    <r>
      <rPr>
        <sz val="10"/>
        <rFont val="Noto Sans CJK SC"/>
        <family val="2"/>
      </rPr>
      <t xml:space="preserve">大学 </t>
    </r>
    <r>
      <rPr>
        <sz val="10"/>
        <rFont val="Arial"/>
        <family val="0"/>
        <charset val="1"/>
      </rPr>
      <t xml:space="preserve">(</t>
    </r>
    <r>
      <rPr>
        <sz val="10"/>
        <rFont val="Noto Sans CJK SC"/>
        <family val="2"/>
      </rPr>
      <t xml:space="preserve">だいがく</t>
    </r>
    <r>
      <rPr>
        <sz val="10"/>
        <rFont val="Arial"/>
        <family val="0"/>
        <charset val="1"/>
      </rPr>
      <t xml:space="preserve">) đại học </t>
    </r>
    <r>
      <rPr>
        <sz val="10"/>
        <rFont val="Noto Sans CJK SC"/>
        <family val="2"/>
      </rPr>
      <t xml:space="preserve">・ 大きい </t>
    </r>
    <r>
      <rPr>
        <sz val="10"/>
        <rFont val="Arial"/>
        <family val="0"/>
        <charset val="1"/>
      </rPr>
      <t xml:space="preserve">(</t>
    </r>
    <r>
      <rPr>
        <sz val="10"/>
        <rFont val="Noto Sans CJK SC"/>
        <family val="2"/>
      </rPr>
      <t xml:space="preserve">おおきい</t>
    </r>
    <r>
      <rPr>
        <sz val="10"/>
        <rFont val="Arial"/>
        <family val="0"/>
        <charset val="1"/>
      </rPr>
      <t xml:space="preserve">) to </t>
    </r>
    <r>
      <rPr>
        <sz val="10"/>
        <rFont val="Noto Sans CJK SC"/>
        <family val="2"/>
      </rPr>
      <t xml:space="preserve">・ 大人 </t>
    </r>
    <r>
      <rPr>
        <sz val="10"/>
        <rFont val="Arial"/>
        <family val="0"/>
        <charset val="1"/>
      </rPr>
      <t xml:space="preserve">(</t>
    </r>
    <r>
      <rPr>
        <sz val="10"/>
        <rFont val="Noto Sans CJK SC"/>
        <family val="2"/>
      </rPr>
      <t xml:space="preserve">おとな</t>
    </r>
    <r>
      <rPr>
        <sz val="10"/>
        <rFont val="Arial"/>
        <family val="0"/>
        <charset val="1"/>
      </rPr>
      <t xml:space="preserve">) người lớn</t>
    </r>
  </si>
  <si>
    <r>
      <rPr>
        <sz val="10"/>
        <rFont val="Arial"/>
        <family val="0"/>
        <charset val="1"/>
      </rPr>
      <t xml:space="preserve">Người </t>
    </r>
    <r>
      <rPr>
        <sz val="10"/>
        <rFont val="Noto Sans CJK SC"/>
        <family val="2"/>
      </rPr>
      <t xml:space="preserve">人 </t>
    </r>
    <r>
      <rPr>
        <sz val="10"/>
        <rFont val="Arial"/>
        <family val="0"/>
        <charset val="1"/>
      </rPr>
      <t xml:space="preserve">dang rộng hai tay ra hết cỡ để khoe 'to bằng này!' → TO LỚN.</t>
    </r>
  </si>
  <si>
    <t xml:space="preserve">THẬP</t>
  </si>
  <si>
    <t xml:space="preserve">Mười</t>
  </si>
  <si>
    <t xml:space="preserve">ジュウ</t>
  </si>
  <si>
    <t xml:space="preserve">とお</t>
  </si>
  <si>
    <r>
      <rPr>
        <sz val="10"/>
        <rFont val="Noto Sans CJK SC"/>
        <family val="2"/>
      </rPr>
      <t xml:space="preserve">十日 </t>
    </r>
    <r>
      <rPr>
        <sz val="10"/>
        <rFont val="Arial"/>
        <family val="0"/>
        <charset val="1"/>
      </rPr>
      <t xml:space="preserve">(</t>
    </r>
    <r>
      <rPr>
        <sz val="10"/>
        <rFont val="Noto Sans CJK SC"/>
        <family val="2"/>
      </rPr>
      <t xml:space="preserve">とおか</t>
    </r>
    <r>
      <rPr>
        <sz val="10"/>
        <rFont val="Arial"/>
        <family val="0"/>
        <charset val="1"/>
      </rPr>
      <t xml:space="preserve">) ngày 10 </t>
    </r>
    <r>
      <rPr>
        <sz val="10"/>
        <rFont val="Noto Sans CJK SC"/>
        <family val="2"/>
      </rPr>
      <t xml:space="preserve">・ 二十歳 </t>
    </r>
    <r>
      <rPr>
        <sz val="10"/>
        <rFont val="Arial"/>
        <family val="0"/>
        <charset val="1"/>
      </rPr>
      <t xml:space="preserve">(</t>
    </r>
    <r>
      <rPr>
        <sz val="10"/>
        <rFont val="Noto Sans CJK SC"/>
        <family val="2"/>
      </rPr>
      <t xml:space="preserve">はたち</t>
    </r>
    <r>
      <rPr>
        <sz val="10"/>
        <rFont val="Arial"/>
        <family val="0"/>
        <charset val="1"/>
      </rPr>
      <t xml:space="preserve">) 20 tuổi </t>
    </r>
    <r>
      <rPr>
        <sz val="10"/>
        <rFont val="Noto Sans CJK SC"/>
        <family val="2"/>
      </rPr>
      <t xml:space="preserve">・ 十分 </t>
    </r>
    <r>
      <rPr>
        <sz val="10"/>
        <rFont val="Arial"/>
        <family val="0"/>
        <charset val="1"/>
      </rPr>
      <t xml:space="preserve">(</t>
    </r>
    <r>
      <rPr>
        <sz val="10"/>
        <rFont val="Noto Sans CJK SC"/>
        <family val="2"/>
      </rPr>
      <t xml:space="preserve">じゅっぷん</t>
    </r>
    <r>
      <rPr>
        <sz val="10"/>
        <rFont val="Arial"/>
        <family val="0"/>
        <charset val="1"/>
      </rPr>
      <t xml:space="preserve">) 10 phút</t>
    </r>
  </si>
  <si>
    <t xml:space="preserve">Dấu cộng = đủ mười ngón tay của hai bàn tay chắp ngang dọc.</t>
  </si>
  <si>
    <t xml:space="preserve">二</t>
  </si>
  <si>
    <t xml:space="preserve">NHỊ</t>
  </si>
  <si>
    <t xml:space="preserve">Hai</t>
  </si>
  <si>
    <r>
      <rPr>
        <sz val="10"/>
        <rFont val="Noto Sans CJK SC"/>
        <family val="2"/>
      </rPr>
      <t xml:space="preserve">ふた</t>
    </r>
    <r>
      <rPr>
        <sz val="10"/>
        <rFont val="Arial"/>
        <family val="0"/>
        <charset val="1"/>
      </rPr>
      <t xml:space="preserve">(</t>
    </r>
    <r>
      <rPr>
        <sz val="10"/>
        <rFont val="Noto Sans CJK SC"/>
        <family val="2"/>
      </rPr>
      <t xml:space="preserve">つ</t>
    </r>
    <r>
      <rPr>
        <sz val="10"/>
        <rFont val="Arial"/>
        <family val="0"/>
        <charset val="1"/>
      </rPr>
      <t xml:space="preserve">)</t>
    </r>
  </si>
  <si>
    <r>
      <rPr>
        <sz val="10"/>
        <rFont val="Noto Sans CJK SC"/>
        <family val="2"/>
      </rPr>
      <t xml:space="preserve">二つ </t>
    </r>
    <r>
      <rPr>
        <sz val="10"/>
        <rFont val="Arial"/>
        <family val="0"/>
        <charset val="1"/>
      </rPr>
      <t xml:space="preserve">(</t>
    </r>
    <r>
      <rPr>
        <sz val="10"/>
        <rFont val="Noto Sans CJK SC"/>
        <family val="2"/>
      </rPr>
      <t xml:space="preserve">ふたつ</t>
    </r>
    <r>
      <rPr>
        <sz val="10"/>
        <rFont val="Arial"/>
        <family val="0"/>
        <charset val="1"/>
      </rPr>
      <t xml:space="preserve">) hai cái </t>
    </r>
    <r>
      <rPr>
        <sz val="10"/>
        <rFont val="Noto Sans CJK SC"/>
        <family val="2"/>
      </rPr>
      <t xml:space="preserve">・ 二人 </t>
    </r>
    <r>
      <rPr>
        <sz val="10"/>
        <rFont val="Arial"/>
        <family val="0"/>
        <charset val="1"/>
      </rPr>
      <t xml:space="preserve">(</t>
    </r>
    <r>
      <rPr>
        <sz val="10"/>
        <rFont val="Noto Sans CJK SC"/>
        <family val="2"/>
      </rPr>
      <t xml:space="preserve">ふたり</t>
    </r>
    <r>
      <rPr>
        <sz val="10"/>
        <rFont val="Arial"/>
        <family val="0"/>
        <charset val="1"/>
      </rPr>
      <t xml:space="preserve">) hai người </t>
    </r>
    <r>
      <rPr>
        <sz val="10"/>
        <rFont val="Noto Sans CJK SC"/>
        <family val="2"/>
      </rPr>
      <t xml:space="preserve">・ 二月 </t>
    </r>
    <r>
      <rPr>
        <sz val="10"/>
        <rFont val="Arial"/>
        <family val="0"/>
        <charset val="1"/>
      </rPr>
      <t xml:space="preserve">(</t>
    </r>
    <r>
      <rPr>
        <sz val="10"/>
        <rFont val="Noto Sans CJK SC"/>
        <family val="2"/>
      </rPr>
      <t xml:space="preserve">にがつ</t>
    </r>
    <r>
      <rPr>
        <sz val="10"/>
        <rFont val="Arial"/>
        <family val="0"/>
        <charset val="1"/>
      </rPr>
      <t xml:space="preserve">) tháng Hai</t>
    </r>
  </si>
  <si>
    <t xml:space="preserve">Hai nét ngang = số 2. Nét trên ngắn, nét dưới dài — viết ngược là sai.</t>
  </si>
  <si>
    <t xml:space="preserve">本</t>
  </si>
  <si>
    <t xml:space="preserve">BẢN / BỔN</t>
  </si>
  <si>
    <t xml:space="preserve">Sách, gốc, quyển</t>
  </si>
  <si>
    <t xml:space="preserve">ホン</t>
  </si>
  <si>
    <t xml:space="preserve">もと</t>
  </si>
  <si>
    <t xml:space="preserve">5</t>
  </si>
  <si>
    <r>
      <rPr>
        <sz val="10"/>
        <rFont val="Noto Sans CJK SC"/>
        <family val="2"/>
      </rPr>
      <t xml:space="preserve">本 </t>
    </r>
    <r>
      <rPr>
        <sz val="10"/>
        <rFont val="Arial"/>
        <family val="0"/>
        <charset val="1"/>
      </rPr>
      <t xml:space="preserve">(</t>
    </r>
    <r>
      <rPr>
        <sz val="10"/>
        <rFont val="Noto Sans CJK SC"/>
        <family val="2"/>
      </rPr>
      <t xml:space="preserve">ほん</t>
    </r>
    <r>
      <rPr>
        <sz val="10"/>
        <rFont val="Arial"/>
        <family val="0"/>
        <charset val="1"/>
      </rPr>
      <t xml:space="preserve">) sách </t>
    </r>
    <r>
      <rPr>
        <sz val="10"/>
        <rFont val="Noto Sans CJK SC"/>
        <family val="2"/>
      </rPr>
      <t xml:space="preserve">・ 日本 </t>
    </r>
    <r>
      <rPr>
        <sz val="10"/>
        <rFont val="Arial"/>
        <family val="0"/>
        <charset val="1"/>
      </rPr>
      <t xml:space="preserve">(</t>
    </r>
    <r>
      <rPr>
        <sz val="10"/>
        <rFont val="Noto Sans CJK SC"/>
        <family val="2"/>
      </rPr>
      <t xml:space="preserve">にほん</t>
    </r>
    <r>
      <rPr>
        <sz val="10"/>
        <rFont val="Arial"/>
        <family val="0"/>
        <charset val="1"/>
      </rPr>
      <t xml:space="preserve">) Nhật Bản </t>
    </r>
    <r>
      <rPr>
        <sz val="10"/>
        <rFont val="Noto Sans CJK SC"/>
        <family val="2"/>
      </rPr>
      <t xml:space="preserve">・ 本屋 </t>
    </r>
    <r>
      <rPr>
        <sz val="10"/>
        <rFont val="Arial"/>
        <family val="0"/>
        <charset val="1"/>
      </rPr>
      <t xml:space="preserve">(</t>
    </r>
    <r>
      <rPr>
        <sz val="10"/>
        <rFont val="Noto Sans CJK SC"/>
        <family val="2"/>
      </rPr>
      <t xml:space="preserve">ほんや</t>
    </r>
    <r>
      <rPr>
        <sz val="10"/>
        <rFont val="Arial"/>
        <family val="0"/>
        <charset val="1"/>
      </rPr>
      <t xml:space="preserve">) hiệu sách</t>
    </r>
  </si>
  <si>
    <r>
      <rPr>
        <sz val="10"/>
        <rFont val="Arial"/>
        <family val="0"/>
        <charset val="1"/>
      </rPr>
      <t xml:space="preserve">Chữ </t>
    </r>
    <r>
      <rPr>
        <sz val="10"/>
        <rFont val="Noto Sans CJK SC"/>
        <family val="2"/>
      </rPr>
      <t xml:space="preserve">木 </t>
    </r>
    <r>
      <rPr>
        <sz val="10"/>
        <rFont val="Arial"/>
        <family val="0"/>
        <charset val="1"/>
      </rPr>
      <t xml:space="preserve">(cây) thêm một gạch ở gốc rễ = GỐC của cây. Gốc → nguồn gốc → sách (nguồn tri thức).</t>
    </r>
  </si>
  <si>
    <t xml:space="preserve">中</t>
  </si>
  <si>
    <t xml:space="preserve">TRUNG</t>
  </si>
  <si>
    <t xml:space="preserve">Ở giữa, bên trong</t>
  </si>
  <si>
    <t xml:space="preserve">チュウ</t>
  </si>
  <si>
    <t xml:space="preserve">なか</t>
  </si>
  <si>
    <r>
      <rPr>
        <sz val="10"/>
        <rFont val="Noto Sans CJK SC"/>
        <family val="2"/>
      </rPr>
      <t xml:space="preserve">中国 </t>
    </r>
    <r>
      <rPr>
        <sz val="10"/>
        <rFont val="Arial"/>
        <family val="0"/>
        <charset val="1"/>
      </rPr>
      <t xml:space="preserve">(</t>
    </r>
    <r>
      <rPr>
        <sz val="10"/>
        <rFont val="Noto Sans CJK SC"/>
        <family val="2"/>
      </rPr>
      <t xml:space="preserve">ちゅうごく</t>
    </r>
    <r>
      <rPr>
        <sz val="10"/>
        <rFont val="Arial"/>
        <family val="0"/>
        <charset val="1"/>
      </rPr>
      <t xml:space="preserve">) Trung Quốc </t>
    </r>
    <r>
      <rPr>
        <sz val="10"/>
        <rFont val="Noto Sans CJK SC"/>
        <family val="2"/>
      </rPr>
      <t xml:space="preserve">・ 中 </t>
    </r>
    <r>
      <rPr>
        <sz val="10"/>
        <rFont val="Arial"/>
        <family val="0"/>
        <charset val="1"/>
      </rPr>
      <t xml:space="preserve">(</t>
    </r>
    <r>
      <rPr>
        <sz val="10"/>
        <rFont val="Noto Sans CJK SC"/>
        <family val="2"/>
      </rPr>
      <t xml:space="preserve">なか</t>
    </r>
    <r>
      <rPr>
        <sz val="10"/>
        <rFont val="Arial"/>
        <family val="0"/>
        <charset val="1"/>
      </rPr>
      <t xml:space="preserve">) bên trong </t>
    </r>
    <r>
      <rPr>
        <sz val="10"/>
        <rFont val="Noto Sans CJK SC"/>
        <family val="2"/>
      </rPr>
      <t xml:space="preserve">・ 一日中 </t>
    </r>
    <r>
      <rPr>
        <sz val="10"/>
        <rFont val="Arial"/>
        <family val="0"/>
        <charset val="1"/>
      </rPr>
      <t xml:space="preserve">(</t>
    </r>
    <r>
      <rPr>
        <sz val="10"/>
        <rFont val="Noto Sans CJK SC"/>
        <family val="2"/>
      </rPr>
      <t xml:space="preserve">いちにちじゅう</t>
    </r>
    <r>
      <rPr>
        <sz val="10"/>
        <rFont val="Arial"/>
        <family val="0"/>
        <charset val="1"/>
      </rPr>
      <t xml:space="preserve">) suốt cả ngày</t>
    </r>
  </si>
  <si>
    <t xml:space="preserve">Một mũi tên xuyên đúng TÂM của ô vuông = ở GIỮA.</t>
  </si>
  <si>
    <t xml:space="preserve">長</t>
  </si>
  <si>
    <t xml:space="preserve">TRƯỜNG / TRƯỞNG</t>
  </si>
  <si>
    <t xml:space="preserve">Dài, người đứng đầu</t>
  </si>
  <si>
    <t xml:space="preserve">チョウ</t>
  </si>
  <si>
    <r>
      <rPr>
        <sz val="10"/>
        <rFont val="Noto Sans CJK SC"/>
        <family val="2"/>
      </rPr>
      <t xml:space="preserve">なが</t>
    </r>
    <r>
      <rPr>
        <sz val="10"/>
        <rFont val="Arial"/>
        <family val="0"/>
        <charset val="1"/>
      </rPr>
      <t xml:space="preserve">(</t>
    </r>
    <r>
      <rPr>
        <sz val="10"/>
        <rFont val="Noto Sans CJK SC"/>
        <family val="2"/>
      </rPr>
      <t xml:space="preserve">い</t>
    </r>
    <r>
      <rPr>
        <sz val="10"/>
        <rFont val="Arial"/>
        <family val="0"/>
        <charset val="1"/>
      </rPr>
      <t xml:space="preserve">)</t>
    </r>
  </si>
  <si>
    <r>
      <rPr>
        <sz val="10"/>
        <rFont val="Noto Sans CJK SC"/>
        <family val="2"/>
      </rPr>
      <t xml:space="preserve">長い </t>
    </r>
    <r>
      <rPr>
        <sz val="10"/>
        <rFont val="Arial"/>
        <family val="0"/>
        <charset val="1"/>
      </rPr>
      <t xml:space="preserve">(</t>
    </r>
    <r>
      <rPr>
        <sz val="10"/>
        <rFont val="Noto Sans CJK SC"/>
        <family val="2"/>
      </rPr>
      <t xml:space="preserve">ながい</t>
    </r>
    <r>
      <rPr>
        <sz val="10"/>
        <rFont val="Arial"/>
        <family val="0"/>
        <charset val="1"/>
      </rPr>
      <t xml:space="preserve">) dài </t>
    </r>
    <r>
      <rPr>
        <sz val="10"/>
        <rFont val="Noto Sans CJK SC"/>
        <family val="2"/>
      </rPr>
      <t xml:space="preserve">・ 社長 </t>
    </r>
    <r>
      <rPr>
        <sz val="10"/>
        <rFont val="Arial"/>
        <family val="0"/>
        <charset val="1"/>
      </rPr>
      <t xml:space="preserve">(</t>
    </r>
    <r>
      <rPr>
        <sz val="10"/>
        <rFont val="Noto Sans CJK SC"/>
        <family val="2"/>
      </rPr>
      <t xml:space="preserve">しゃちょう</t>
    </r>
    <r>
      <rPr>
        <sz val="10"/>
        <rFont val="Arial"/>
        <family val="0"/>
        <charset val="1"/>
      </rPr>
      <t xml:space="preserve">) giám đốc </t>
    </r>
    <r>
      <rPr>
        <sz val="10"/>
        <rFont val="Noto Sans CJK SC"/>
        <family val="2"/>
      </rPr>
      <t xml:space="preserve">・ 校長 </t>
    </r>
    <r>
      <rPr>
        <sz val="10"/>
        <rFont val="Arial"/>
        <family val="0"/>
        <charset val="1"/>
      </rPr>
      <t xml:space="preserve">(</t>
    </r>
    <r>
      <rPr>
        <sz val="10"/>
        <rFont val="Noto Sans CJK SC"/>
        <family val="2"/>
      </rPr>
      <t xml:space="preserve">こうちょう</t>
    </r>
    <r>
      <rPr>
        <sz val="10"/>
        <rFont val="Arial"/>
        <family val="0"/>
        <charset val="1"/>
      </rPr>
      <t xml:space="preserve">) hiệu trưởng</t>
    </r>
  </si>
  <si>
    <t xml:space="preserve">Hình một ông cụ tóc DÀI chống gậy. Tóc dài → sống lâu → bậc TRƯỞNG bối.</t>
  </si>
  <si>
    <t xml:space="preserve">出</t>
  </si>
  <si>
    <t xml:space="preserve">XUẤT</t>
  </si>
  <si>
    <t xml:space="preserve">Ra, đi ra</t>
  </si>
  <si>
    <t xml:space="preserve">シュツ</t>
  </si>
  <si>
    <r>
      <rPr>
        <sz val="10"/>
        <rFont val="Noto Sans CJK SC"/>
        <family val="2"/>
      </rPr>
      <t xml:space="preserve">で</t>
    </r>
    <r>
      <rPr>
        <sz val="10"/>
        <rFont val="Arial"/>
        <family val="0"/>
        <charset val="1"/>
      </rPr>
      <t xml:space="preserve">(</t>
    </r>
    <r>
      <rPr>
        <sz val="10"/>
        <rFont val="Noto Sans CJK SC"/>
        <family val="2"/>
      </rPr>
      <t xml:space="preserve">る</t>
    </r>
    <r>
      <rPr>
        <sz val="10"/>
        <rFont val="Arial"/>
        <family val="0"/>
        <charset val="1"/>
      </rPr>
      <t xml:space="preserve">)</t>
    </r>
    <r>
      <rPr>
        <sz val="10"/>
        <rFont val="Noto Sans CJK SC"/>
        <family val="2"/>
      </rPr>
      <t xml:space="preserve">・だ</t>
    </r>
    <r>
      <rPr>
        <sz val="10"/>
        <rFont val="Arial"/>
        <family val="0"/>
        <charset val="1"/>
      </rPr>
      <t xml:space="preserve">(</t>
    </r>
    <r>
      <rPr>
        <sz val="10"/>
        <rFont val="Noto Sans CJK SC"/>
        <family val="2"/>
      </rPr>
      <t xml:space="preserve">す</t>
    </r>
    <r>
      <rPr>
        <sz val="10"/>
        <rFont val="Arial"/>
        <family val="0"/>
        <charset val="1"/>
      </rPr>
      <t xml:space="preserve">)</t>
    </r>
  </si>
  <si>
    <r>
      <rPr>
        <sz val="10"/>
        <rFont val="Noto Sans CJK SC"/>
        <family val="2"/>
      </rPr>
      <t xml:space="preserve">出ます </t>
    </r>
    <r>
      <rPr>
        <sz val="10"/>
        <rFont val="Arial"/>
        <family val="0"/>
        <charset val="1"/>
      </rPr>
      <t xml:space="preserve">(</t>
    </r>
    <r>
      <rPr>
        <sz val="10"/>
        <rFont val="Noto Sans CJK SC"/>
        <family val="2"/>
      </rPr>
      <t xml:space="preserve">でます</t>
    </r>
    <r>
      <rPr>
        <sz val="10"/>
        <rFont val="Arial"/>
        <family val="0"/>
        <charset val="1"/>
      </rPr>
      <t xml:space="preserve">) ra </t>
    </r>
    <r>
      <rPr>
        <sz val="10"/>
        <rFont val="Noto Sans CJK SC"/>
        <family val="2"/>
      </rPr>
      <t xml:space="preserve">・ 出口 </t>
    </r>
    <r>
      <rPr>
        <sz val="10"/>
        <rFont val="Arial"/>
        <family val="0"/>
        <charset val="1"/>
      </rPr>
      <t xml:space="preserve">(</t>
    </r>
    <r>
      <rPr>
        <sz val="10"/>
        <rFont val="Noto Sans CJK SC"/>
        <family val="2"/>
      </rPr>
      <t xml:space="preserve">でぐち</t>
    </r>
    <r>
      <rPr>
        <sz val="10"/>
        <rFont val="Arial"/>
        <family val="0"/>
        <charset val="1"/>
      </rPr>
      <t xml:space="preserve">) lối ra </t>
    </r>
    <r>
      <rPr>
        <sz val="10"/>
        <rFont val="Noto Sans CJK SC"/>
        <family val="2"/>
      </rPr>
      <t xml:space="preserve">・ 出発 </t>
    </r>
    <r>
      <rPr>
        <sz val="10"/>
        <rFont val="Arial"/>
        <family val="0"/>
        <charset val="1"/>
      </rPr>
      <t xml:space="preserve">(</t>
    </r>
    <r>
      <rPr>
        <sz val="10"/>
        <rFont val="Noto Sans CJK SC"/>
        <family val="2"/>
      </rPr>
      <t xml:space="preserve">しゅっぱつ</t>
    </r>
    <r>
      <rPr>
        <sz val="10"/>
        <rFont val="Arial"/>
        <family val="0"/>
        <charset val="1"/>
      </rPr>
      <t xml:space="preserve">) xuất phát</t>
    </r>
  </si>
  <si>
    <r>
      <rPr>
        <sz val="10"/>
        <rFont val="Arial"/>
        <family val="0"/>
        <charset val="1"/>
      </rPr>
      <t xml:space="preserve">Hai chữ </t>
    </r>
    <r>
      <rPr>
        <sz val="10"/>
        <rFont val="Noto Sans CJK SC"/>
        <family val="2"/>
      </rPr>
      <t xml:space="preserve">山 </t>
    </r>
    <r>
      <rPr>
        <sz val="10"/>
        <rFont val="Arial"/>
        <family val="0"/>
        <charset val="1"/>
      </rPr>
      <t xml:space="preserve">chồng lên nhau = mầm cây chui RA khỏi núi đất. Đối lập với </t>
    </r>
    <r>
      <rPr>
        <sz val="10"/>
        <rFont val="Noto Sans CJK SC"/>
        <family val="2"/>
      </rPr>
      <t xml:space="preserve">入 </t>
    </r>
    <r>
      <rPr>
        <sz val="10"/>
        <rFont val="Arial"/>
        <family val="0"/>
        <charset val="1"/>
      </rPr>
      <t xml:space="preserve">(vào).</t>
    </r>
  </si>
  <si>
    <t xml:space="preserve">三</t>
  </si>
  <si>
    <t xml:space="preserve">TAM</t>
  </si>
  <si>
    <t xml:space="preserve">Ba</t>
  </si>
  <si>
    <t xml:space="preserve">サン</t>
  </si>
  <si>
    <r>
      <rPr>
        <sz val="10"/>
        <rFont val="Noto Sans CJK SC"/>
        <family val="2"/>
      </rPr>
      <t xml:space="preserve">みっ</t>
    </r>
    <r>
      <rPr>
        <sz val="10"/>
        <rFont val="Arial"/>
        <family val="0"/>
        <charset val="1"/>
      </rPr>
      <t xml:space="preserve">(</t>
    </r>
    <r>
      <rPr>
        <sz val="10"/>
        <rFont val="Noto Sans CJK SC"/>
        <family val="2"/>
      </rPr>
      <t xml:space="preserve">つ</t>
    </r>
    <r>
      <rPr>
        <sz val="10"/>
        <rFont val="Arial"/>
        <family val="0"/>
        <charset val="1"/>
      </rPr>
      <t xml:space="preserve">)</t>
    </r>
  </si>
  <si>
    <r>
      <rPr>
        <sz val="10"/>
        <rFont val="Noto Sans CJK SC"/>
        <family val="2"/>
      </rPr>
      <t xml:space="preserve">三つ </t>
    </r>
    <r>
      <rPr>
        <sz val="10"/>
        <rFont val="Arial"/>
        <family val="0"/>
        <charset val="1"/>
      </rPr>
      <t xml:space="preserve">(</t>
    </r>
    <r>
      <rPr>
        <sz val="10"/>
        <rFont val="Noto Sans CJK SC"/>
        <family val="2"/>
      </rPr>
      <t xml:space="preserve">みっつ</t>
    </r>
    <r>
      <rPr>
        <sz val="10"/>
        <rFont val="Arial"/>
        <family val="0"/>
        <charset val="1"/>
      </rPr>
      <t xml:space="preserve">) ba cái </t>
    </r>
    <r>
      <rPr>
        <sz val="10"/>
        <rFont val="Noto Sans CJK SC"/>
        <family val="2"/>
      </rPr>
      <t xml:space="preserve">・ 三月 </t>
    </r>
    <r>
      <rPr>
        <sz val="10"/>
        <rFont val="Arial"/>
        <family val="0"/>
        <charset val="1"/>
      </rPr>
      <t xml:space="preserve">(</t>
    </r>
    <r>
      <rPr>
        <sz val="10"/>
        <rFont val="Noto Sans CJK SC"/>
        <family val="2"/>
      </rPr>
      <t xml:space="preserve">さんがつ</t>
    </r>
    <r>
      <rPr>
        <sz val="10"/>
        <rFont val="Arial"/>
        <family val="0"/>
        <charset val="1"/>
      </rPr>
      <t xml:space="preserve">) tháng Ba </t>
    </r>
    <r>
      <rPr>
        <sz val="10"/>
        <rFont val="Noto Sans CJK SC"/>
        <family val="2"/>
      </rPr>
      <t xml:space="preserve">・ 三時 </t>
    </r>
    <r>
      <rPr>
        <sz val="10"/>
        <rFont val="Arial"/>
        <family val="0"/>
        <charset val="1"/>
      </rPr>
      <t xml:space="preserve">(</t>
    </r>
    <r>
      <rPr>
        <sz val="10"/>
        <rFont val="Noto Sans CJK SC"/>
        <family val="2"/>
      </rPr>
      <t xml:space="preserve">さんじ</t>
    </r>
    <r>
      <rPr>
        <sz val="10"/>
        <rFont val="Arial"/>
        <family val="0"/>
        <charset val="1"/>
      </rPr>
      <t xml:space="preserve">) ba giờ</t>
    </r>
  </si>
  <si>
    <t xml:space="preserve">Ba nét ngang = số 3. Nét giữa ngắn nhất.</t>
  </si>
  <si>
    <t xml:space="preserve">時</t>
  </si>
  <si>
    <t xml:space="preserve">THỜI</t>
  </si>
  <si>
    <t xml:space="preserve">Giờ, thời gian</t>
  </si>
  <si>
    <t xml:space="preserve">とき</t>
  </si>
  <si>
    <t xml:space="preserve">10</t>
  </si>
  <si>
    <r>
      <rPr>
        <sz val="10"/>
        <rFont val="Noto Sans CJK SC"/>
        <family val="2"/>
      </rPr>
      <t xml:space="preserve">時間 </t>
    </r>
    <r>
      <rPr>
        <sz val="10"/>
        <rFont val="Arial"/>
        <family val="0"/>
        <charset val="1"/>
      </rPr>
      <t xml:space="preserve">(</t>
    </r>
    <r>
      <rPr>
        <sz val="10"/>
        <rFont val="Noto Sans CJK SC"/>
        <family val="2"/>
      </rPr>
      <t xml:space="preserve">じかん</t>
    </r>
    <r>
      <rPr>
        <sz val="10"/>
        <rFont val="Arial"/>
        <family val="0"/>
        <charset val="1"/>
      </rPr>
      <t xml:space="preserve">) thời gian </t>
    </r>
    <r>
      <rPr>
        <sz val="10"/>
        <rFont val="Noto Sans CJK SC"/>
        <family val="2"/>
      </rPr>
      <t xml:space="preserve">・ 何時 </t>
    </r>
    <r>
      <rPr>
        <sz val="10"/>
        <rFont val="Arial"/>
        <family val="0"/>
        <charset val="1"/>
      </rPr>
      <t xml:space="preserve">(</t>
    </r>
    <r>
      <rPr>
        <sz val="10"/>
        <rFont val="Noto Sans CJK SC"/>
        <family val="2"/>
      </rPr>
      <t xml:space="preserve">なんじ</t>
    </r>
    <r>
      <rPr>
        <sz val="10"/>
        <rFont val="Arial"/>
        <family val="0"/>
        <charset val="1"/>
      </rPr>
      <t xml:space="preserve">) mấy giờ </t>
    </r>
    <r>
      <rPr>
        <sz val="10"/>
        <rFont val="Noto Sans CJK SC"/>
        <family val="2"/>
      </rPr>
      <t xml:space="preserve">・ 時々 </t>
    </r>
    <r>
      <rPr>
        <sz val="10"/>
        <rFont val="Arial"/>
        <family val="0"/>
        <charset val="1"/>
      </rPr>
      <t xml:space="preserve">(</t>
    </r>
    <r>
      <rPr>
        <sz val="10"/>
        <rFont val="Noto Sans CJK SC"/>
        <family val="2"/>
      </rPr>
      <t xml:space="preserve">ときどき</t>
    </r>
    <r>
      <rPr>
        <sz val="10"/>
        <rFont val="Arial"/>
        <family val="0"/>
        <charset val="1"/>
      </rPr>
      <t xml:space="preserve">) thỉnh thoảng</t>
    </r>
  </si>
  <si>
    <r>
      <rPr>
        <sz val="10"/>
        <rFont val="Noto Sans CJK SC"/>
        <family val="2"/>
      </rPr>
      <t xml:space="preserve">日 </t>
    </r>
    <r>
      <rPr>
        <sz val="10"/>
        <rFont val="Arial"/>
        <family val="0"/>
        <charset val="1"/>
      </rPr>
      <t xml:space="preserve">(mặt trời) + </t>
    </r>
    <r>
      <rPr>
        <sz val="10"/>
        <rFont val="Noto Sans CJK SC"/>
        <family val="2"/>
      </rPr>
      <t xml:space="preserve">寺 </t>
    </r>
    <r>
      <rPr>
        <sz val="10"/>
        <rFont val="Arial"/>
        <family val="0"/>
        <charset val="1"/>
      </rPr>
      <t xml:space="preserve">(ngôi chùa). Ngày xưa xem bóng mặt trời trên sân chùa để biết GIỜ.</t>
    </r>
  </si>
  <si>
    <t xml:space="preserve">行</t>
  </si>
  <si>
    <t xml:space="preserve">HÀNH</t>
  </si>
  <si>
    <t xml:space="preserve">Đi</t>
  </si>
  <si>
    <t xml:space="preserve">コウ・ギョウ</t>
  </si>
  <si>
    <r>
      <rPr>
        <sz val="10"/>
        <rFont val="Noto Sans CJK SC"/>
        <family val="2"/>
      </rPr>
      <t xml:space="preserve">い</t>
    </r>
    <r>
      <rPr>
        <sz val="10"/>
        <rFont val="Arial"/>
        <family val="0"/>
        <charset val="1"/>
      </rPr>
      <t xml:space="preserve">(</t>
    </r>
    <r>
      <rPr>
        <sz val="10"/>
        <rFont val="Noto Sans CJK SC"/>
        <family val="2"/>
      </rPr>
      <t xml:space="preserve">く</t>
    </r>
    <r>
      <rPr>
        <sz val="10"/>
        <rFont val="Arial"/>
        <family val="0"/>
        <charset val="1"/>
      </rPr>
      <t xml:space="preserve">)</t>
    </r>
    <r>
      <rPr>
        <sz val="10"/>
        <rFont val="Noto Sans CJK SC"/>
        <family val="2"/>
      </rPr>
      <t xml:space="preserve">・おこな</t>
    </r>
    <r>
      <rPr>
        <sz val="10"/>
        <rFont val="Arial"/>
        <family val="0"/>
        <charset val="1"/>
      </rPr>
      <t xml:space="preserve">(</t>
    </r>
    <r>
      <rPr>
        <sz val="10"/>
        <rFont val="Noto Sans CJK SC"/>
        <family val="2"/>
      </rPr>
      <t xml:space="preserve">う</t>
    </r>
    <r>
      <rPr>
        <sz val="10"/>
        <rFont val="Arial"/>
        <family val="0"/>
        <charset val="1"/>
      </rPr>
      <t xml:space="preserve">)</t>
    </r>
  </si>
  <si>
    <r>
      <rPr>
        <sz val="10"/>
        <rFont val="Noto Sans CJK SC"/>
        <family val="2"/>
      </rPr>
      <t xml:space="preserve">行きます </t>
    </r>
    <r>
      <rPr>
        <sz val="10"/>
        <rFont val="Arial"/>
        <family val="0"/>
        <charset val="1"/>
      </rPr>
      <t xml:space="preserve">(</t>
    </r>
    <r>
      <rPr>
        <sz val="10"/>
        <rFont val="Noto Sans CJK SC"/>
        <family val="2"/>
      </rPr>
      <t xml:space="preserve">いきます</t>
    </r>
    <r>
      <rPr>
        <sz val="10"/>
        <rFont val="Arial"/>
        <family val="0"/>
        <charset val="1"/>
      </rPr>
      <t xml:space="preserve">) đi </t>
    </r>
    <r>
      <rPr>
        <sz val="10"/>
        <rFont val="Noto Sans CJK SC"/>
        <family val="2"/>
      </rPr>
      <t xml:space="preserve">・ 銀行 </t>
    </r>
    <r>
      <rPr>
        <sz val="10"/>
        <rFont val="Arial"/>
        <family val="0"/>
        <charset val="1"/>
      </rPr>
      <t xml:space="preserve">(</t>
    </r>
    <r>
      <rPr>
        <sz val="10"/>
        <rFont val="Noto Sans CJK SC"/>
        <family val="2"/>
      </rPr>
      <t xml:space="preserve">ぎんこう</t>
    </r>
    <r>
      <rPr>
        <sz val="10"/>
        <rFont val="Arial"/>
        <family val="0"/>
        <charset val="1"/>
      </rPr>
      <t xml:space="preserve">) ngân hàng </t>
    </r>
    <r>
      <rPr>
        <sz val="10"/>
        <rFont val="Noto Sans CJK SC"/>
        <family val="2"/>
      </rPr>
      <t xml:space="preserve">・ 旅行 </t>
    </r>
    <r>
      <rPr>
        <sz val="10"/>
        <rFont val="Arial"/>
        <family val="0"/>
        <charset val="1"/>
      </rPr>
      <t xml:space="preserve">(</t>
    </r>
    <r>
      <rPr>
        <sz val="10"/>
        <rFont val="Noto Sans CJK SC"/>
        <family val="2"/>
      </rPr>
      <t xml:space="preserve">りょこう</t>
    </r>
    <r>
      <rPr>
        <sz val="10"/>
        <rFont val="Arial"/>
        <family val="0"/>
        <charset val="1"/>
      </rPr>
      <t xml:space="preserve">) du lịch</t>
    </r>
  </si>
  <si>
    <t xml:space="preserve">Hình ngã tư đường. Đứng ở ngã tư thì phải chọn hướng ĐI.</t>
  </si>
  <si>
    <t xml:space="preserve">社</t>
  </si>
  <si>
    <t xml:space="preserve">XÃ</t>
  </si>
  <si>
    <t xml:space="preserve">Công ty, đền thờ</t>
  </si>
  <si>
    <t xml:space="preserve">やしろ</t>
  </si>
  <si>
    <t xml:space="preserve">7</t>
  </si>
  <si>
    <r>
      <rPr>
        <sz val="10"/>
        <rFont val="Noto Sans CJK SC"/>
        <family val="2"/>
      </rPr>
      <t xml:space="preserve">会社 </t>
    </r>
    <r>
      <rPr>
        <sz val="10"/>
        <rFont val="Arial"/>
        <family val="0"/>
        <charset val="1"/>
      </rPr>
      <t xml:space="preserve">(</t>
    </r>
    <r>
      <rPr>
        <sz val="10"/>
        <rFont val="Noto Sans CJK SC"/>
        <family val="2"/>
      </rPr>
      <t xml:space="preserve">かいしゃ</t>
    </r>
    <r>
      <rPr>
        <sz val="10"/>
        <rFont val="Arial"/>
        <family val="0"/>
        <charset val="1"/>
      </rPr>
      <t xml:space="preserve">) công ty </t>
    </r>
    <r>
      <rPr>
        <sz val="10"/>
        <rFont val="Noto Sans CJK SC"/>
        <family val="2"/>
      </rPr>
      <t xml:space="preserve">・ 社員 </t>
    </r>
    <r>
      <rPr>
        <sz val="10"/>
        <rFont val="Arial"/>
        <family val="0"/>
        <charset val="1"/>
      </rPr>
      <t xml:space="preserve">(</t>
    </r>
    <r>
      <rPr>
        <sz val="10"/>
        <rFont val="Noto Sans CJK SC"/>
        <family val="2"/>
      </rPr>
      <t xml:space="preserve">しゃいん</t>
    </r>
    <r>
      <rPr>
        <sz val="10"/>
        <rFont val="Arial"/>
        <family val="0"/>
        <charset val="1"/>
      </rPr>
      <t xml:space="preserve">) nhân viên </t>
    </r>
    <r>
      <rPr>
        <sz val="10"/>
        <rFont val="Noto Sans CJK SC"/>
        <family val="2"/>
      </rPr>
      <t xml:space="preserve">・ 神社 </t>
    </r>
    <r>
      <rPr>
        <sz val="10"/>
        <rFont val="Arial"/>
        <family val="0"/>
        <charset val="1"/>
      </rPr>
      <t xml:space="preserve">(</t>
    </r>
    <r>
      <rPr>
        <sz val="10"/>
        <rFont val="Noto Sans CJK SC"/>
        <family val="2"/>
      </rPr>
      <t xml:space="preserve">じんじゃ</t>
    </r>
    <r>
      <rPr>
        <sz val="10"/>
        <rFont val="Arial"/>
        <family val="0"/>
        <charset val="1"/>
      </rPr>
      <t xml:space="preserve">) đền thần</t>
    </r>
  </si>
  <si>
    <r>
      <rPr>
        <sz val="10"/>
        <rFont val="Arial"/>
        <family val="0"/>
        <charset val="1"/>
      </rPr>
      <t xml:space="preserve">Bộ </t>
    </r>
    <r>
      <rPr>
        <sz val="10"/>
        <rFont val="Noto Sans CJK SC"/>
        <family val="2"/>
      </rPr>
      <t xml:space="preserve">礻 </t>
    </r>
    <r>
      <rPr>
        <sz val="10"/>
        <rFont val="Arial"/>
        <family val="0"/>
        <charset val="1"/>
      </rPr>
      <t xml:space="preserve">(thần linh) + </t>
    </r>
    <r>
      <rPr>
        <sz val="10"/>
        <rFont val="Noto Sans CJK SC"/>
        <family val="2"/>
      </rPr>
      <t xml:space="preserve">土 </t>
    </r>
    <r>
      <rPr>
        <sz val="10"/>
        <rFont val="Arial"/>
        <family val="0"/>
        <charset val="1"/>
      </rPr>
      <t xml:space="preserve">(đất). Nơi thờ thần đất = cộng đồng tụ họp → XÃ hội, công ty.</t>
    </r>
  </si>
  <si>
    <t xml:space="preserve">見</t>
  </si>
  <si>
    <t xml:space="preserve">KIẾN</t>
  </si>
  <si>
    <t xml:space="preserve">Nhìn, xem</t>
  </si>
  <si>
    <t xml:space="preserve">ケン</t>
  </si>
  <si>
    <r>
      <rPr>
        <sz val="10"/>
        <rFont val="Noto Sans CJK SC"/>
        <family val="2"/>
      </rPr>
      <t xml:space="preserve">み</t>
    </r>
    <r>
      <rPr>
        <sz val="10"/>
        <rFont val="Arial"/>
        <family val="0"/>
        <charset val="1"/>
      </rPr>
      <t xml:space="preserve">(</t>
    </r>
    <r>
      <rPr>
        <sz val="10"/>
        <rFont val="Noto Sans CJK SC"/>
        <family val="2"/>
      </rPr>
      <t xml:space="preserve">る</t>
    </r>
    <r>
      <rPr>
        <sz val="10"/>
        <rFont val="Arial"/>
        <family val="0"/>
        <charset val="1"/>
      </rPr>
      <t xml:space="preserve">)</t>
    </r>
  </si>
  <si>
    <r>
      <rPr>
        <sz val="10"/>
        <rFont val="Noto Sans CJK SC"/>
        <family val="2"/>
      </rPr>
      <t xml:space="preserve">見ます </t>
    </r>
    <r>
      <rPr>
        <sz val="10"/>
        <rFont val="Arial"/>
        <family val="0"/>
        <charset val="1"/>
      </rPr>
      <t xml:space="preserve">(</t>
    </r>
    <r>
      <rPr>
        <sz val="10"/>
        <rFont val="Noto Sans CJK SC"/>
        <family val="2"/>
      </rPr>
      <t xml:space="preserve">みます</t>
    </r>
    <r>
      <rPr>
        <sz val="10"/>
        <rFont val="Arial"/>
        <family val="0"/>
        <charset val="1"/>
      </rPr>
      <t xml:space="preserve">) xem </t>
    </r>
    <r>
      <rPr>
        <sz val="10"/>
        <rFont val="Noto Sans CJK SC"/>
        <family val="2"/>
      </rPr>
      <t xml:space="preserve">・ 見物 </t>
    </r>
    <r>
      <rPr>
        <sz val="10"/>
        <rFont val="Arial"/>
        <family val="0"/>
        <charset val="1"/>
      </rPr>
      <t xml:space="preserve">(</t>
    </r>
    <r>
      <rPr>
        <sz val="10"/>
        <rFont val="Noto Sans CJK SC"/>
        <family val="2"/>
      </rPr>
      <t xml:space="preserve">けんぶつ</t>
    </r>
    <r>
      <rPr>
        <sz val="10"/>
        <rFont val="Arial"/>
        <family val="0"/>
        <charset val="1"/>
      </rPr>
      <t xml:space="preserve">) tham quan </t>
    </r>
    <r>
      <rPr>
        <sz val="10"/>
        <rFont val="Noto Sans CJK SC"/>
        <family val="2"/>
      </rPr>
      <t xml:space="preserve">・ 意見 </t>
    </r>
    <r>
      <rPr>
        <sz val="10"/>
        <rFont val="Arial"/>
        <family val="0"/>
        <charset val="1"/>
      </rPr>
      <t xml:space="preserve">(</t>
    </r>
    <r>
      <rPr>
        <sz val="10"/>
        <rFont val="Noto Sans CJK SC"/>
        <family val="2"/>
      </rPr>
      <t xml:space="preserve">いけん</t>
    </r>
    <r>
      <rPr>
        <sz val="10"/>
        <rFont val="Arial"/>
        <family val="0"/>
        <charset val="1"/>
      </rPr>
      <t xml:space="preserve">) ý kiến</t>
    </r>
  </si>
  <si>
    <r>
      <rPr>
        <sz val="10"/>
        <rFont val="Noto Sans CJK SC"/>
        <family val="2"/>
      </rPr>
      <t xml:space="preserve">目 </t>
    </r>
    <r>
      <rPr>
        <sz val="10"/>
        <rFont val="Arial"/>
        <family val="0"/>
        <charset val="1"/>
      </rPr>
      <t xml:space="preserve">(con mắt) đặt trên </t>
    </r>
    <r>
      <rPr>
        <sz val="10"/>
        <rFont val="Noto Sans CJK SC"/>
        <family val="2"/>
      </rPr>
      <t xml:space="preserve">儿 </t>
    </r>
    <r>
      <rPr>
        <sz val="10"/>
        <rFont val="Arial"/>
        <family val="0"/>
        <charset val="1"/>
      </rPr>
      <t xml:space="preserve">(đôi chân) = con mắt biết đi khắp nơi để NHÌN.</t>
    </r>
  </si>
  <si>
    <t xml:space="preserve">NGUYỆT</t>
  </si>
  <si>
    <t xml:space="preserve">Tháng, mặt trăng</t>
  </si>
  <si>
    <t xml:space="preserve">ゲツ・ガツ</t>
  </si>
  <si>
    <t xml:space="preserve">つき</t>
  </si>
  <si>
    <r>
      <rPr>
        <sz val="10"/>
        <rFont val="Noto Sans CJK SC"/>
        <family val="2"/>
      </rPr>
      <t xml:space="preserve">月曜日 </t>
    </r>
    <r>
      <rPr>
        <sz val="10"/>
        <rFont val="Arial"/>
        <family val="0"/>
        <charset val="1"/>
      </rPr>
      <t xml:space="preserve">(</t>
    </r>
    <r>
      <rPr>
        <sz val="10"/>
        <rFont val="Noto Sans CJK SC"/>
        <family val="2"/>
      </rPr>
      <t xml:space="preserve">げつようび</t>
    </r>
    <r>
      <rPr>
        <sz val="10"/>
        <rFont val="Arial"/>
        <family val="0"/>
        <charset val="1"/>
      </rPr>
      <t xml:space="preserve">) thứ Hai </t>
    </r>
    <r>
      <rPr>
        <sz val="10"/>
        <rFont val="Noto Sans CJK SC"/>
        <family val="2"/>
      </rPr>
      <t xml:space="preserve">・ 一月 </t>
    </r>
    <r>
      <rPr>
        <sz val="10"/>
        <rFont val="Arial"/>
        <family val="0"/>
        <charset val="1"/>
      </rPr>
      <t xml:space="preserve">(</t>
    </r>
    <r>
      <rPr>
        <sz val="10"/>
        <rFont val="Noto Sans CJK SC"/>
        <family val="2"/>
      </rPr>
      <t xml:space="preserve">いちがつ</t>
    </r>
    <r>
      <rPr>
        <sz val="10"/>
        <rFont val="Arial"/>
        <family val="0"/>
        <charset val="1"/>
      </rPr>
      <t xml:space="preserve">) tháng Một </t>
    </r>
    <r>
      <rPr>
        <sz val="10"/>
        <rFont val="Noto Sans CJK SC"/>
        <family val="2"/>
      </rPr>
      <t xml:space="preserve">・ 今月 </t>
    </r>
    <r>
      <rPr>
        <sz val="10"/>
        <rFont val="Arial"/>
        <family val="0"/>
        <charset val="1"/>
      </rPr>
      <t xml:space="preserve">(</t>
    </r>
    <r>
      <rPr>
        <sz val="10"/>
        <rFont val="Noto Sans CJK SC"/>
        <family val="2"/>
      </rPr>
      <t xml:space="preserve">こんげつ</t>
    </r>
    <r>
      <rPr>
        <sz val="10"/>
        <rFont val="Arial"/>
        <family val="0"/>
        <charset val="1"/>
      </rPr>
      <t xml:space="preserve">) tháng này</t>
    </r>
  </si>
  <si>
    <t xml:space="preserve">Hình mặt TRĂNG khuyết. Trăng tròn một chu kỳ = một THÁNG.</t>
  </si>
  <si>
    <t xml:space="preserve">分</t>
  </si>
  <si>
    <t xml:space="preserve">PHÂN</t>
  </si>
  <si>
    <t xml:space="preserve">Phút, phần, hiểu</t>
  </si>
  <si>
    <t xml:space="preserve">ブン・フン・プン</t>
  </si>
  <si>
    <r>
      <rPr>
        <sz val="10"/>
        <rFont val="Noto Sans CJK SC"/>
        <family val="2"/>
      </rPr>
      <t xml:space="preserve">わ</t>
    </r>
    <r>
      <rPr>
        <sz val="10"/>
        <rFont val="Arial"/>
        <family val="0"/>
        <charset val="1"/>
      </rPr>
      <t xml:space="preserve">(</t>
    </r>
    <r>
      <rPr>
        <sz val="10"/>
        <rFont val="Noto Sans CJK SC"/>
        <family val="2"/>
      </rPr>
      <t xml:space="preserve">かる</t>
    </r>
    <r>
      <rPr>
        <sz val="10"/>
        <rFont val="Arial"/>
        <family val="0"/>
        <charset val="1"/>
      </rPr>
      <t xml:space="preserve">)</t>
    </r>
    <r>
      <rPr>
        <sz val="10"/>
        <rFont val="Noto Sans CJK SC"/>
        <family val="2"/>
      </rPr>
      <t xml:space="preserve">・わ</t>
    </r>
    <r>
      <rPr>
        <sz val="10"/>
        <rFont val="Arial"/>
        <family val="0"/>
        <charset val="1"/>
      </rPr>
      <t xml:space="preserve">(</t>
    </r>
    <r>
      <rPr>
        <sz val="10"/>
        <rFont val="Noto Sans CJK SC"/>
        <family val="2"/>
      </rPr>
      <t xml:space="preserve">ける</t>
    </r>
    <r>
      <rPr>
        <sz val="10"/>
        <rFont val="Arial"/>
        <family val="0"/>
        <charset val="1"/>
      </rPr>
      <t xml:space="preserve">)</t>
    </r>
  </si>
  <si>
    <r>
      <rPr>
        <sz val="10"/>
        <rFont val="Noto Sans CJK SC"/>
        <family val="2"/>
      </rPr>
      <t xml:space="preserve">五分 </t>
    </r>
    <r>
      <rPr>
        <sz val="10"/>
        <rFont val="Arial"/>
        <family val="0"/>
        <charset val="1"/>
      </rPr>
      <t xml:space="preserve">(</t>
    </r>
    <r>
      <rPr>
        <sz val="10"/>
        <rFont val="Noto Sans CJK SC"/>
        <family val="2"/>
      </rPr>
      <t xml:space="preserve">ごふん</t>
    </r>
    <r>
      <rPr>
        <sz val="10"/>
        <rFont val="Arial"/>
        <family val="0"/>
        <charset val="1"/>
      </rPr>
      <t xml:space="preserve">) 5 phút </t>
    </r>
    <r>
      <rPr>
        <sz val="10"/>
        <rFont val="Noto Sans CJK SC"/>
        <family val="2"/>
      </rPr>
      <t xml:space="preserve">・ 分かります </t>
    </r>
    <r>
      <rPr>
        <sz val="10"/>
        <rFont val="Arial"/>
        <family val="0"/>
        <charset val="1"/>
      </rPr>
      <t xml:space="preserve">(</t>
    </r>
    <r>
      <rPr>
        <sz val="10"/>
        <rFont val="Noto Sans CJK SC"/>
        <family val="2"/>
      </rPr>
      <t xml:space="preserve">わかります</t>
    </r>
    <r>
      <rPr>
        <sz val="10"/>
        <rFont val="Arial"/>
        <family val="0"/>
        <charset val="1"/>
      </rPr>
      <t xml:space="preserve">) hiểu </t>
    </r>
    <r>
      <rPr>
        <sz val="10"/>
        <rFont val="Noto Sans CJK SC"/>
        <family val="2"/>
      </rPr>
      <t xml:space="preserve">・ 半分 </t>
    </r>
    <r>
      <rPr>
        <sz val="10"/>
        <rFont val="Arial"/>
        <family val="0"/>
        <charset val="1"/>
      </rPr>
      <t xml:space="preserve">(</t>
    </r>
    <r>
      <rPr>
        <sz val="10"/>
        <rFont val="Noto Sans CJK SC"/>
        <family val="2"/>
      </rPr>
      <t xml:space="preserve">はんぶん</t>
    </r>
    <r>
      <rPr>
        <sz val="10"/>
        <rFont val="Arial"/>
        <family val="0"/>
        <charset val="1"/>
      </rPr>
      <t xml:space="preserve">) một nửa</t>
    </r>
  </si>
  <si>
    <r>
      <rPr>
        <sz val="10"/>
        <rFont val="Noto Sans CJK SC"/>
        <family val="2"/>
      </rPr>
      <t xml:space="preserve">八 </t>
    </r>
    <r>
      <rPr>
        <sz val="10"/>
        <rFont val="Arial"/>
        <family val="0"/>
        <charset val="1"/>
      </rPr>
      <t xml:space="preserve">(chia ra) + </t>
    </r>
    <r>
      <rPr>
        <sz val="10"/>
        <rFont val="Noto Sans CJK SC"/>
        <family val="2"/>
      </rPr>
      <t xml:space="preserve">刀 </t>
    </r>
    <r>
      <rPr>
        <sz val="10"/>
        <rFont val="Arial"/>
        <family val="0"/>
        <charset val="1"/>
      </rPr>
      <t xml:space="preserve">(con dao) = lấy dao CHIA nhỏ. Chia giờ ra → PHÚT; chia vấn đề ra → HIỂU.</t>
    </r>
  </si>
  <si>
    <t xml:space="preserve">後</t>
  </si>
  <si>
    <t xml:space="preserve">HẬU</t>
  </si>
  <si>
    <t xml:space="preserve">Sau, phía sau</t>
  </si>
  <si>
    <t xml:space="preserve">ゴ・コウ</t>
  </si>
  <si>
    <r>
      <rPr>
        <sz val="10"/>
        <rFont val="Noto Sans CJK SC"/>
        <family val="2"/>
      </rPr>
      <t xml:space="preserve">あと・うし</t>
    </r>
    <r>
      <rPr>
        <sz val="10"/>
        <rFont val="Arial"/>
        <family val="0"/>
        <charset val="1"/>
      </rPr>
      <t xml:space="preserve">(</t>
    </r>
    <r>
      <rPr>
        <sz val="10"/>
        <rFont val="Noto Sans CJK SC"/>
        <family val="2"/>
      </rPr>
      <t xml:space="preserve">ろ</t>
    </r>
    <r>
      <rPr>
        <sz val="10"/>
        <rFont val="Arial"/>
        <family val="0"/>
        <charset val="1"/>
      </rPr>
      <t xml:space="preserve">)</t>
    </r>
  </si>
  <si>
    <t xml:space="preserve">9</t>
  </si>
  <si>
    <r>
      <rPr>
        <sz val="10"/>
        <rFont val="Noto Sans CJK SC"/>
        <family val="2"/>
      </rPr>
      <t xml:space="preserve">午後 </t>
    </r>
    <r>
      <rPr>
        <sz val="10"/>
        <rFont val="Arial"/>
        <family val="0"/>
        <charset val="1"/>
      </rPr>
      <t xml:space="preserve">(</t>
    </r>
    <r>
      <rPr>
        <sz val="10"/>
        <rFont val="Noto Sans CJK SC"/>
        <family val="2"/>
      </rPr>
      <t xml:space="preserve">ごご</t>
    </r>
    <r>
      <rPr>
        <sz val="10"/>
        <rFont val="Arial"/>
        <family val="0"/>
        <charset val="1"/>
      </rPr>
      <t xml:space="preserve">) buổi chiều </t>
    </r>
    <r>
      <rPr>
        <sz val="10"/>
        <rFont val="Noto Sans CJK SC"/>
        <family val="2"/>
      </rPr>
      <t xml:space="preserve">・ 後ろ </t>
    </r>
    <r>
      <rPr>
        <sz val="10"/>
        <rFont val="Arial"/>
        <family val="0"/>
        <charset val="1"/>
      </rPr>
      <t xml:space="preserve">(</t>
    </r>
    <r>
      <rPr>
        <sz val="10"/>
        <rFont val="Noto Sans CJK SC"/>
        <family val="2"/>
      </rPr>
      <t xml:space="preserve">うしろ</t>
    </r>
    <r>
      <rPr>
        <sz val="10"/>
        <rFont val="Arial"/>
        <family val="0"/>
        <charset val="1"/>
      </rPr>
      <t xml:space="preserve">) phía sau </t>
    </r>
    <r>
      <rPr>
        <sz val="10"/>
        <rFont val="Noto Sans CJK SC"/>
        <family val="2"/>
      </rPr>
      <t xml:space="preserve">・ 最後 </t>
    </r>
    <r>
      <rPr>
        <sz val="10"/>
        <rFont val="Arial"/>
        <family val="0"/>
        <charset val="1"/>
      </rPr>
      <t xml:space="preserve">(</t>
    </r>
    <r>
      <rPr>
        <sz val="10"/>
        <rFont val="Noto Sans CJK SC"/>
        <family val="2"/>
      </rPr>
      <t xml:space="preserve">さいご</t>
    </r>
    <r>
      <rPr>
        <sz val="10"/>
        <rFont val="Arial"/>
        <family val="0"/>
        <charset val="1"/>
      </rPr>
      <t xml:space="preserve">) cuối cùng</t>
    </r>
  </si>
  <si>
    <r>
      <rPr>
        <sz val="10"/>
        <rFont val="Arial"/>
        <family val="0"/>
        <charset val="1"/>
      </rPr>
      <t xml:space="preserve">Bộ </t>
    </r>
    <r>
      <rPr>
        <sz val="10"/>
        <rFont val="Noto Sans CJK SC"/>
        <family val="2"/>
      </rPr>
      <t xml:space="preserve">彳 </t>
    </r>
    <r>
      <rPr>
        <sz val="10"/>
        <rFont val="Arial"/>
        <family val="0"/>
        <charset val="1"/>
      </rPr>
      <t xml:space="preserve">(bước đi) + phần dưới là sợi dây buộc chân = bước chậm nên bị tụt lại phía SAU.</t>
    </r>
  </si>
  <si>
    <t xml:space="preserve">前</t>
  </si>
  <si>
    <t xml:space="preserve">TIỀN</t>
  </si>
  <si>
    <t xml:space="preserve">Trước, phía trước</t>
  </si>
  <si>
    <t xml:space="preserve">ゼン</t>
  </si>
  <si>
    <t xml:space="preserve">まえ</t>
  </si>
  <si>
    <r>
      <rPr>
        <sz val="10"/>
        <rFont val="Noto Sans CJK SC"/>
        <family val="2"/>
      </rPr>
      <t xml:space="preserve">午前 </t>
    </r>
    <r>
      <rPr>
        <sz val="10"/>
        <rFont val="Arial"/>
        <family val="0"/>
        <charset val="1"/>
      </rPr>
      <t xml:space="preserve">(</t>
    </r>
    <r>
      <rPr>
        <sz val="10"/>
        <rFont val="Noto Sans CJK SC"/>
        <family val="2"/>
      </rPr>
      <t xml:space="preserve">ごぜん</t>
    </r>
    <r>
      <rPr>
        <sz val="10"/>
        <rFont val="Arial"/>
        <family val="0"/>
        <charset val="1"/>
      </rPr>
      <t xml:space="preserve">) buổi sáng </t>
    </r>
    <r>
      <rPr>
        <sz val="10"/>
        <rFont val="Noto Sans CJK SC"/>
        <family val="2"/>
      </rPr>
      <t xml:space="preserve">・ 前 </t>
    </r>
    <r>
      <rPr>
        <sz val="10"/>
        <rFont val="Arial"/>
        <family val="0"/>
        <charset val="1"/>
      </rPr>
      <t xml:space="preserve">(</t>
    </r>
    <r>
      <rPr>
        <sz val="10"/>
        <rFont val="Noto Sans CJK SC"/>
        <family val="2"/>
      </rPr>
      <t xml:space="preserve">まえ</t>
    </r>
    <r>
      <rPr>
        <sz val="10"/>
        <rFont val="Arial"/>
        <family val="0"/>
        <charset val="1"/>
      </rPr>
      <t xml:space="preserve">) phía trước </t>
    </r>
    <r>
      <rPr>
        <sz val="10"/>
        <rFont val="Noto Sans CJK SC"/>
        <family val="2"/>
      </rPr>
      <t xml:space="preserve">・ 名前 </t>
    </r>
    <r>
      <rPr>
        <sz val="10"/>
        <rFont val="Arial"/>
        <family val="0"/>
        <charset val="1"/>
      </rPr>
      <t xml:space="preserve">(</t>
    </r>
    <r>
      <rPr>
        <sz val="10"/>
        <rFont val="Noto Sans CJK SC"/>
        <family val="2"/>
      </rPr>
      <t xml:space="preserve">なまえ</t>
    </r>
    <r>
      <rPr>
        <sz val="10"/>
        <rFont val="Arial"/>
        <family val="0"/>
        <charset val="1"/>
      </rPr>
      <t xml:space="preserve">) tên</t>
    </r>
  </si>
  <si>
    <r>
      <rPr>
        <sz val="10"/>
        <rFont val="Arial"/>
        <family val="0"/>
        <charset val="1"/>
      </rPr>
      <t xml:space="preserve">Có bộ </t>
    </r>
    <r>
      <rPr>
        <sz val="10"/>
        <rFont val="Noto Sans CJK SC"/>
        <family val="2"/>
      </rPr>
      <t xml:space="preserve">月 </t>
    </r>
    <r>
      <rPr>
        <sz val="10"/>
        <rFont val="Arial"/>
        <family val="0"/>
        <charset val="1"/>
      </rPr>
      <t xml:space="preserve">(thân thể) và </t>
    </r>
    <r>
      <rPr>
        <sz val="10"/>
        <rFont val="Noto Sans CJK SC"/>
        <family val="2"/>
      </rPr>
      <t xml:space="preserve">刀 </t>
    </r>
    <r>
      <rPr>
        <sz val="10"/>
        <rFont val="Arial"/>
        <family val="0"/>
        <charset val="1"/>
      </rPr>
      <t xml:space="preserve">(dao) — cắt móng chân cho gọn để bước TỚI TRƯỚC.</t>
    </r>
  </si>
  <si>
    <t xml:space="preserve">SINH</t>
  </si>
  <si>
    <t xml:space="preserve">Sinh, sống, tươi</t>
  </si>
  <si>
    <t xml:space="preserve">セイ・ショウ</t>
  </si>
  <si>
    <r>
      <rPr>
        <sz val="10"/>
        <rFont val="Noto Sans CJK SC"/>
        <family val="2"/>
      </rPr>
      <t xml:space="preserve">い</t>
    </r>
    <r>
      <rPr>
        <sz val="10"/>
        <rFont val="Arial"/>
        <family val="0"/>
        <charset val="1"/>
      </rPr>
      <t xml:space="preserve">(</t>
    </r>
    <r>
      <rPr>
        <sz val="10"/>
        <rFont val="Noto Sans CJK SC"/>
        <family val="2"/>
      </rPr>
      <t xml:space="preserve">きる</t>
    </r>
    <r>
      <rPr>
        <sz val="10"/>
        <rFont val="Arial"/>
        <family val="0"/>
        <charset val="1"/>
      </rPr>
      <t xml:space="preserve">)</t>
    </r>
    <r>
      <rPr>
        <sz val="10"/>
        <rFont val="Noto Sans CJK SC"/>
        <family val="2"/>
      </rPr>
      <t xml:space="preserve">・う</t>
    </r>
    <r>
      <rPr>
        <sz val="10"/>
        <rFont val="Arial"/>
        <family val="0"/>
        <charset val="1"/>
      </rPr>
      <t xml:space="preserve">(</t>
    </r>
    <r>
      <rPr>
        <sz val="10"/>
        <rFont val="Noto Sans CJK SC"/>
        <family val="2"/>
      </rPr>
      <t xml:space="preserve">まれる</t>
    </r>
    <r>
      <rPr>
        <sz val="10"/>
        <rFont val="Arial"/>
        <family val="0"/>
        <charset val="1"/>
      </rPr>
      <t xml:space="preserve">)</t>
    </r>
    <r>
      <rPr>
        <sz val="10"/>
        <rFont val="Noto Sans CJK SC"/>
        <family val="2"/>
      </rPr>
      <t xml:space="preserve">・なま</t>
    </r>
  </si>
  <si>
    <r>
      <rPr>
        <sz val="10"/>
        <rFont val="Noto Sans CJK SC"/>
        <family val="2"/>
      </rPr>
      <t xml:space="preserve">学生 </t>
    </r>
    <r>
      <rPr>
        <sz val="10"/>
        <rFont val="Arial"/>
        <family val="0"/>
        <charset val="1"/>
      </rPr>
      <t xml:space="preserve">(</t>
    </r>
    <r>
      <rPr>
        <sz val="10"/>
        <rFont val="Noto Sans CJK SC"/>
        <family val="2"/>
      </rPr>
      <t xml:space="preserve">がくせい</t>
    </r>
    <r>
      <rPr>
        <sz val="10"/>
        <rFont val="Arial"/>
        <family val="0"/>
        <charset val="1"/>
      </rPr>
      <t xml:space="preserve">) học sinh </t>
    </r>
    <r>
      <rPr>
        <sz val="10"/>
        <rFont val="Noto Sans CJK SC"/>
        <family val="2"/>
      </rPr>
      <t xml:space="preserve">・ 先生 </t>
    </r>
    <r>
      <rPr>
        <sz val="10"/>
        <rFont val="Arial"/>
        <family val="0"/>
        <charset val="1"/>
      </rPr>
      <t xml:space="preserve">(</t>
    </r>
    <r>
      <rPr>
        <sz val="10"/>
        <rFont val="Noto Sans CJK SC"/>
        <family val="2"/>
      </rPr>
      <t xml:space="preserve">せんせい</t>
    </r>
    <r>
      <rPr>
        <sz val="10"/>
        <rFont val="Arial"/>
        <family val="0"/>
        <charset val="1"/>
      </rPr>
      <t xml:space="preserve">) giáo viên </t>
    </r>
    <r>
      <rPr>
        <sz val="10"/>
        <rFont val="Noto Sans CJK SC"/>
        <family val="2"/>
      </rPr>
      <t xml:space="preserve">・ 生ビール </t>
    </r>
    <r>
      <rPr>
        <sz val="10"/>
        <rFont val="Arial"/>
        <family val="0"/>
        <charset val="1"/>
      </rPr>
      <t xml:space="preserve">bia tươi</t>
    </r>
  </si>
  <si>
    <t xml:space="preserve">Mầm cây nhú lên khỏi vạch đất = SỰ SỐNG bắt đầu.</t>
  </si>
  <si>
    <t xml:space="preserve">五</t>
  </si>
  <si>
    <t xml:space="preserve">NGŨ</t>
  </si>
  <si>
    <t xml:space="preserve">Năm (5)</t>
  </si>
  <si>
    <r>
      <rPr>
        <sz val="10"/>
        <rFont val="Noto Sans CJK SC"/>
        <family val="2"/>
      </rPr>
      <t xml:space="preserve">いつ</t>
    </r>
    <r>
      <rPr>
        <sz val="10"/>
        <rFont val="Arial"/>
        <family val="0"/>
        <charset val="1"/>
      </rPr>
      <t xml:space="preserve">(</t>
    </r>
    <r>
      <rPr>
        <sz val="10"/>
        <rFont val="Noto Sans CJK SC"/>
        <family val="2"/>
      </rPr>
      <t xml:space="preserve">つ</t>
    </r>
    <r>
      <rPr>
        <sz val="10"/>
        <rFont val="Arial"/>
        <family val="0"/>
        <charset val="1"/>
      </rPr>
      <t xml:space="preserve">)</t>
    </r>
  </si>
  <si>
    <r>
      <rPr>
        <sz val="10"/>
        <rFont val="Noto Sans CJK SC"/>
        <family val="2"/>
      </rPr>
      <t xml:space="preserve">五つ </t>
    </r>
    <r>
      <rPr>
        <sz val="10"/>
        <rFont val="Arial"/>
        <family val="0"/>
        <charset val="1"/>
      </rPr>
      <t xml:space="preserve">(</t>
    </r>
    <r>
      <rPr>
        <sz val="10"/>
        <rFont val="Noto Sans CJK SC"/>
        <family val="2"/>
      </rPr>
      <t xml:space="preserve">いつつ</t>
    </r>
    <r>
      <rPr>
        <sz val="10"/>
        <rFont val="Arial"/>
        <family val="0"/>
        <charset val="1"/>
      </rPr>
      <t xml:space="preserve">) năm cái </t>
    </r>
    <r>
      <rPr>
        <sz val="10"/>
        <rFont val="Noto Sans CJK SC"/>
        <family val="2"/>
      </rPr>
      <t xml:space="preserve">・ 五月 </t>
    </r>
    <r>
      <rPr>
        <sz val="10"/>
        <rFont val="Arial"/>
        <family val="0"/>
        <charset val="1"/>
      </rPr>
      <t xml:space="preserve">(</t>
    </r>
    <r>
      <rPr>
        <sz val="10"/>
        <rFont val="Noto Sans CJK SC"/>
        <family val="2"/>
      </rPr>
      <t xml:space="preserve">ごがつ</t>
    </r>
    <r>
      <rPr>
        <sz val="10"/>
        <rFont val="Arial"/>
        <family val="0"/>
        <charset val="1"/>
      </rPr>
      <t xml:space="preserve">) tháng Năm </t>
    </r>
    <r>
      <rPr>
        <sz val="10"/>
        <rFont val="Noto Sans CJK SC"/>
        <family val="2"/>
      </rPr>
      <t xml:space="preserve">・ 五時 </t>
    </r>
    <r>
      <rPr>
        <sz val="10"/>
        <rFont val="Arial"/>
        <family val="0"/>
        <charset val="1"/>
      </rPr>
      <t xml:space="preserve">(</t>
    </r>
    <r>
      <rPr>
        <sz val="10"/>
        <rFont val="Noto Sans CJK SC"/>
        <family val="2"/>
      </rPr>
      <t xml:space="preserve">ごじ</t>
    </r>
    <r>
      <rPr>
        <sz val="10"/>
        <rFont val="Arial"/>
        <family val="0"/>
        <charset val="1"/>
      </rPr>
      <t xml:space="preserve">) năm giờ</t>
    </r>
  </si>
  <si>
    <t xml:space="preserve">Hai vạch trời-đất kẹp một hình chữ Z ở giữa. Nhớ: NGŨ có hình như số 5 viết vội.</t>
  </si>
  <si>
    <t xml:space="preserve">間</t>
  </si>
  <si>
    <t xml:space="preserve">GIAN</t>
  </si>
  <si>
    <t xml:space="preserve">Khoảng, giữa</t>
  </si>
  <si>
    <t xml:space="preserve">カン・ケン</t>
  </si>
  <si>
    <t xml:space="preserve">あいだ・ま</t>
  </si>
  <si>
    <t xml:space="preserve">12</t>
  </si>
  <si>
    <r>
      <rPr>
        <sz val="10"/>
        <rFont val="Noto Sans CJK SC"/>
        <family val="2"/>
      </rPr>
      <t xml:space="preserve">時間 </t>
    </r>
    <r>
      <rPr>
        <sz val="10"/>
        <rFont val="Arial"/>
        <family val="0"/>
        <charset val="1"/>
      </rPr>
      <t xml:space="preserve">(</t>
    </r>
    <r>
      <rPr>
        <sz val="10"/>
        <rFont val="Noto Sans CJK SC"/>
        <family val="2"/>
      </rPr>
      <t xml:space="preserve">じかん</t>
    </r>
    <r>
      <rPr>
        <sz val="10"/>
        <rFont val="Arial"/>
        <family val="0"/>
        <charset val="1"/>
      </rPr>
      <t xml:space="preserve">) thời gian </t>
    </r>
    <r>
      <rPr>
        <sz val="10"/>
        <rFont val="Noto Sans CJK SC"/>
        <family val="2"/>
      </rPr>
      <t xml:space="preserve">・ 人間 </t>
    </r>
    <r>
      <rPr>
        <sz val="10"/>
        <rFont val="Arial"/>
        <family val="0"/>
        <charset val="1"/>
      </rPr>
      <t xml:space="preserve">(</t>
    </r>
    <r>
      <rPr>
        <sz val="10"/>
        <rFont val="Noto Sans CJK SC"/>
        <family val="2"/>
      </rPr>
      <t xml:space="preserve">にんげん</t>
    </r>
    <r>
      <rPr>
        <sz val="10"/>
        <rFont val="Arial"/>
        <family val="0"/>
        <charset val="1"/>
      </rPr>
      <t xml:space="preserve">) con người </t>
    </r>
    <r>
      <rPr>
        <sz val="10"/>
        <rFont val="Noto Sans CJK SC"/>
        <family val="2"/>
      </rPr>
      <t xml:space="preserve">・ 間 </t>
    </r>
    <r>
      <rPr>
        <sz val="10"/>
        <rFont val="Arial"/>
        <family val="0"/>
        <charset val="1"/>
      </rPr>
      <t xml:space="preserve">(</t>
    </r>
    <r>
      <rPr>
        <sz val="10"/>
        <rFont val="Noto Sans CJK SC"/>
        <family val="2"/>
      </rPr>
      <t xml:space="preserve">あいだ</t>
    </r>
    <r>
      <rPr>
        <sz val="10"/>
        <rFont val="Arial"/>
        <family val="0"/>
        <charset val="1"/>
      </rPr>
      <t xml:space="preserve">) khoảng giữa</t>
    </r>
  </si>
  <si>
    <r>
      <rPr>
        <sz val="10"/>
        <rFont val="Noto Sans CJK SC"/>
        <family val="2"/>
      </rPr>
      <t xml:space="preserve">門 </t>
    </r>
    <r>
      <rPr>
        <sz val="10"/>
        <rFont val="Arial"/>
        <family val="0"/>
        <charset val="1"/>
      </rPr>
      <t xml:space="preserve">(cánh cửa) có </t>
    </r>
    <r>
      <rPr>
        <sz val="10"/>
        <rFont val="Noto Sans CJK SC"/>
        <family val="2"/>
      </rPr>
      <t xml:space="preserve">日 </t>
    </r>
    <r>
      <rPr>
        <sz val="10"/>
        <rFont val="Arial"/>
        <family val="0"/>
        <charset val="1"/>
      </rPr>
      <t xml:space="preserve">(mặt trời) lọt vào giữa = ánh nắng lách qua KHE HỞ giữa hai cánh cửa.</t>
    </r>
  </si>
  <si>
    <t xml:space="preserve">上</t>
  </si>
  <si>
    <t xml:space="preserve">THƯỢNG</t>
  </si>
  <si>
    <t xml:space="preserve">Trên, lên</t>
  </si>
  <si>
    <t xml:space="preserve">ジョウ</t>
  </si>
  <si>
    <r>
      <rPr>
        <sz val="10"/>
        <rFont val="Noto Sans CJK SC"/>
        <family val="2"/>
      </rPr>
      <t xml:space="preserve">うえ・あ</t>
    </r>
    <r>
      <rPr>
        <sz val="10"/>
        <rFont val="Arial"/>
        <family val="0"/>
        <charset val="1"/>
      </rPr>
      <t xml:space="preserve">(</t>
    </r>
    <r>
      <rPr>
        <sz val="10"/>
        <rFont val="Noto Sans CJK SC"/>
        <family val="2"/>
      </rPr>
      <t xml:space="preserve">がる</t>
    </r>
    <r>
      <rPr>
        <sz val="10"/>
        <rFont val="Arial"/>
        <family val="0"/>
        <charset val="1"/>
      </rPr>
      <t xml:space="preserve">)</t>
    </r>
    <r>
      <rPr>
        <sz val="10"/>
        <rFont val="Noto Sans CJK SC"/>
        <family val="2"/>
      </rPr>
      <t xml:space="preserve">・のぼ</t>
    </r>
    <r>
      <rPr>
        <sz val="10"/>
        <rFont val="Arial"/>
        <family val="0"/>
        <charset val="1"/>
      </rPr>
      <t xml:space="preserve">(</t>
    </r>
    <r>
      <rPr>
        <sz val="10"/>
        <rFont val="Noto Sans CJK SC"/>
        <family val="2"/>
      </rPr>
      <t xml:space="preserve">る</t>
    </r>
    <r>
      <rPr>
        <sz val="10"/>
        <rFont val="Arial"/>
        <family val="0"/>
        <charset val="1"/>
      </rPr>
      <t xml:space="preserve">)</t>
    </r>
  </si>
  <si>
    <r>
      <rPr>
        <sz val="10"/>
        <rFont val="Noto Sans CJK SC"/>
        <family val="2"/>
      </rPr>
      <t xml:space="preserve">上 </t>
    </r>
    <r>
      <rPr>
        <sz val="10"/>
        <rFont val="Arial"/>
        <family val="0"/>
        <charset val="1"/>
      </rPr>
      <t xml:space="preserve">(</t>
    </r>
    <r>
      <rPr>
        <sz val="10"/>
        <rFont val="Noto Sans CJK SC"/>
        <family val="2"/>
      </rPr>
      <t xml:space="preserve">うえ</t>
    </r>
    <r>
      <rPr>
        <sz val="10"/>
        <rFont val="Arial"/>
        <family val="0"/>
        <charset val="1"/>
      </rPr>
      <t xml:space="preserve">) bên trên </t>
    </r>
    <r>
      <rPr>
        <sz val="10"/>
        <rFont val="Noto Sans CJK SC"/>
        <family val="2"/>
      </rPr>
      <t xml:space="preserve">・ 上手 </t>
    </r>
    <r>
      <rPr>
        <sz val="10"/>
        <rFont val="Arial"/>
        <family val="0"/>
        <charset val="1"/>
      </rPr>
      <t xml:space="preserve">(</t>
    </r>
    <r>
      <rPr>
        <sz val="10"/>
        <rFont val="Noto Sans CJK SC"/>
        <family val="2"/>
      </rPr>
      <t xml:space="preserve">じょうず</t>
    </r>
    <r>
      <rPr>
        <sz val="10"/>
        <rFont val="Arial"/>
        <family val="0"/>
        <charset val="1"/>
      </rPr>
      <t xml:space="preserve">) giỏi </t>
    </r>
    <r>
      <rPr>
        <sz val="10"/>
        <rFont val="Noto Sans CJK SC"/>
        <family val="2"/>
      </rPr>
      <t xml:space="preserve">・ 上着 </t>
    </r>
    <r>
      <rPr>
        <sz val="10"/>
        <rFont val="Arial"/>
        <family val="0"/>
        <charset val="1"/>
      </rPr>
      <t xml:space="preserve">(</t>
    </r>
    <r>
      <rPr>
        <sz val="10"/>
        <rFont val="Noto Sans CJK SC"/>
        <family val="2"/>
      </rPr>
      <t xml:space="preserve">うわぎ</t>
    </r>
    <r>
      <rPr>
        <sz val="10"/>
        <rFont val="Arial"/>
        <family val="0"/>
        <charset val="1"/>
      </rPr>
      <t xml:space="preserve">) áo khoác</t>
    </r>
  </si>
  <si>
    <r>
      <rPr>
        <sz val="10"/>
        <rFont val="Arial"/>
        <family val="0"/>
        <charset val="1"/>
      </rPr>
      <t xml:space="preserve">Một vạch mốc, có nét nhô LÊN phía trên. Ngược lại hoàn toàn với </t>
    </r>
    <r>
      <rPr>
        <sz val="10"/>
        <rFont val="Noto Sans CJK SC"/>
        <family val="2"/>
      </rPr>
      <t xml:space="preserve">下</t>
    </r>
    <r>
      <rPr>
        <sz val="10"/>
        <rFont val="Arial"/>
        <family val="0"/>
        <charset val="1"/>
      </rPr>
      <t xml:space="preserve">.</t>
    </r>
  </si>
  <si>
    <t xml:space="preserve">東</t>
  </si>
  <si>
    <t xml:space="preserve">ĐÔNG</t>
  </si>
  <si>
    <t xml:space="preserve">Hướng đông</t>
  </si>
  <si>
    <t xml:space="preserve">トウ</t>
  </si>
  <si>
    <t xml:space="preserve">ひがし</t>
  </si>
  <si>
    <r>
      <rPr>
        <sz val="10"/>
        <rFont val="Noto Sans CJK SC"/>
        <family val="2"/>
      </rPr>
      <t xml:space="preserve">東京 </t>
    </r>
    <r>
      <rPr>
        <sz val="10"/>
        <rFont val="Arial"/>
        <family val="0"/>
        <charset val="1"/>
      </rPr>
      <t xml:space="preserve">(</t>
    </r>
    <r>
      <rPr>
        <sz val="10"/>
        <rFont val="Noto Sans CJK SC"/>
        <family val="2"/>
      </rPr>
      <t xml:space="preserve">とうきょう</t>
    </r>
    <r>
      <rPr>
        <sz val="10"/>
        <rFont val="Arial"/>
        <family val="0"/>
        <charset val="1"/>
      </rPr>
      <t xml:space="preserve">) Tokyo </t>
    </r>
    <r>
      <rPr>
        <sz val="10"/>
        <rFont val="Noto Sans CJK SC"/>
        <family val="2"/>
      </rPr>
      <t xml:space="preserve">・ 東 </t>
    </r>
    <r>
      <rPr>
        <sz val="10"/>
        <rFont val="Arial"/>
        <family val="0"/>
        <charset val="1"/>
      </rPr>
      <t xml:space="preserve">(</t>
    </r>
    <r>
      <rPr>
        <sz val="10"/>
        <rFont val="Noto Sans CJK SC"/>
        <family val="2"/>
      </rPr>
      <t xml:space="preserve">ひがし</t>
    </r>
    <r>
      <rPr>
        <sz val="10"/>
        <rFont val="Arial"/>
        <family val="0"/>
        <charset val="1"/>
      </rPr>
      <t xml:space="preserve">) hướng đông </t>
    </r>
    <r>
      <rPr>
        <sz val="10"/>
        <rFont val="Noto Sans CJK SC"/>
        <family val="2"/>
      </rPr>
      <t xml:space="preserve">・ 東口 </t>
    </r>
    <r>
      <rPr>
        <sz val="10"/>
        <rFont val="Arial"/>
        <family val="0"/>
        <charset val="1"/>
      </rPr>
      <t xml:space="preserve">(</t>
    </r>
    <r>
      <rPr>
        <sz val="10"/>
        <rFont val="Noto Sans CJK SC"/>
        <family val="2"/>
      </rPr>
      <t xml:space="preserve">ひがしぐち</t>
    </r>
    <r>
      <rPr>
        <sz val="10"/>
        <rFont val="Arial"/>
        <family val="0"/>
        <charset val="1"/>
      </rPr>
      <t xml:space="preserve">) cửa đông</t>
    </r>
  </si>
  <si>
    <r>
      <rPr>
        <sz val="10"/>
        <rFont val="Arial"/>
        <family val="0"/>
        <charset val="1"/>
      </rPr>
      <t xml:space="preserve">Chữ </t>
    </r>
    <r>
      <rPr>
        <sz val="10"/>
        <rFont val="Noto Sans CJK SC"/>
        <family val="2"/>
      </rPr>
      <t xml:space="preserve">日 </t>
    </r>
    <r>
      <rPr>
        <sz val="10"/>
        <rFont val="Arial"/>
        <family val="0"/>
        <charset val="1"/>
      </rPr>
      <t xml:space="preserve">(mặt trời) nằm sau chữ </t>
    </r>
    <r>
      <rPr>
        <sz val="10"/>
        <rFont val="Noto Sans CJK SC"/>
        <family val="2"/>
      </rPr>
      <t xml:space="preserve">木 </t>
    </r>
    <r>
      <rPr>
        <sz val="10"/>
        <rFont val="Arial"/>
        <family val="0"/>
        <charset val="1"/>
      </rPr>
      <t xml:space="preserve">(cây) = mặt trời mọc lên phía sau rặng cây → hướng ĐÔNG.</t>
    </r>
  </si>
  <si>
    <t xml:space="preserve">四</t>
  </si>
  <si>
    <t xml:space="preserve">TỨ</t>
  </si>
  <si>
    <t xml:space="preserve">Bốn</t>
  </si>
  <si>
    <r>
      <rPr>
        <sz val="10"/>
        <rFont val="Noto Sans CJK SC"/>
        <family val="2"/>
      </rPr>
      <t xml:space="preserve">よっ</t>
    </r>
    <r>
      <rPr>
        <sz val="10"/>
        <rFont val="Arial"/>
        <family val="0"/>
        <charset val="1"/>
      </rPr>
      <t xml:space="preserve">(</t>
    </r>
    <r>
      <rPr>
        <sz val="10"/>
        <rFont val="Noto Sans CJK SC"/>
        <family val="2"/>
      </rPr>
      <t xml:space="preserve">つ</t>
    </r>
    <r>
      <rPr>
        <sz val="10"/>
        <rFont val="Arial"/>
        <family val="0"/>
        <charset val="1"/>
      </rPr>
      <t xml:space="preserve">)</t>
    </r>
    <r>
      <rPr>
        <sz val="10"/>
        <rFont val="Noto Sans CJK SC"/>
        <family val="2"/>
      </rPr>
      <t xml:space="preserve">・よん</t>
    </r>
  </si>
  <si>
    <r>
      <rPr>
        <sz val="10"/>
        <rFont val="Noto Sans CJK SC"/>
        <family val="2"/>
      </rPr>
      <t xml:space="preserve">四つ </t>
    </r>
    <r>
      <rPr>
        <sz val="10"/>
        <rFont val="Arial"/>
        <family val="0"/>
        <charset val="1"/>
      </rPr>
      <t xml:space="preserve">(</t>
    </r>
    <r>
      <rPr>
        <sz val="10"/>
        <rFont val="Noto Sans CJK SC"/>
        <family val="2"/>
      </rPr>
      <t xml:space="preserve">よっつ</t>
    </r>
    <r>
      <rPr>
        <sz val="10"/>
        <rFont val="Arial"/>
        <family val="0"/>
        <charset val="1"/>
      </rPr>
      <t xml:space="preserve">) bốn cái </t>
    </r>
    <r>
      <rPr>
        <sz val="10"/>
        <rFont val="Noto Sans CJK SC"/>
        <family val="2"/>
      </rPr>
      <t xml:space="preserve">・ 四月 </t>
    </r>
    <r>
      <rPr>
        <sz val="10"/>
        <rFont val="Arial"/>
        <family val="0"/>
        <charset val="1"/>
      </rPr>
      <t xml:space="preserve">(</t>
    </r>
    <r>
      <rPr>
        <sz val="10"/>
        <rFont val="Noto Sans CJK SC"/>
        <family val="2"/>
      </rPr>
      <t xml:space="preserve">しがつ</t>
    </r>
    <r>
      <rPr>
        <sz val="10"/>
        <rFont val="Arial"/>
        <family val="0"/>
        <charset val="1"/>
      </rPr>
      <t xml:space="preserve">) tháng Tư </t>
    </r>
    <r>
      <rPr>
        <sz val="10"/>
        <rFont val="Noto Sans CJK SC"/>
        <family val="2"/>
      </rPr>
      <t xml:space="preserve">・ 四時 </t>
    </r>
    <r>
      <rPr>
        <sz val="10"/>
        <rFont val="Arial"/>
        <family val="0"/>
        <charset val="1"/>
      </rPr>
      <t xml:space="preserve">(</t>
    </r>
    <r>
      <rPr>
        <sz val="10"/>
        <rFont val="Noto Sans CJK SC"/>
        <family val="2"/>
      </rPr>
      <t xml:space="preserve">よじ</t>
    </r>
    <r>
      <rPr>
        <sz val="10"/>
        <rFont val="Arial"/>
        <family val="0"/>
        <charset val="1"/>
      </rPr>
      <t xml:space="preserve">) bốn giờ</t>
    </r>
  </si>
  <si>
    <r>
      <rPr>
        <sz val="10"/>
        <rFont val="Arial"/>
        <family val="0"/>
        <charset val="1"/>
      </rPr>
      <t xml:space="preserve">Ô vuông có hai chân bên trong. Lưu ý </t>
    </r>
    <r>
      <rPr>
        <sz val="10"/>
        <rFont val="Noto Sans CJK SC"/>
        <family val="2"/>
      </rPr>
      <t xml:space="preserve">四時 </t>
    </r>
    <r>
      <rPr>
        <sz val="10"/>
        <rFont val="Arial"/>
        <family val="0"/>
        <charset val="1"/>
      </rPr>
      <t xml:space="preserve">đọc là </t>
    </r>
    <r>
      <rPr>
        <sz val="10"/>
        <rFont val="Noto Sans CJK SC"/>
        <family val="2"/>
      </rPr>
      <t xml:space="preserve">よじ</t>
    </r>
    <r>
      <rPr>
        <sz val="10"/>
        <rFont val="Arial"/>
        <family val="0"/>
        <charset val="1"/>
      </rPr>
      <t xml:space="preserve">, không phải </t>
    </r>
    <r>
      <rPr>
        <sz val="10"/>
        <rFont val="Noto Sans CJK SC"/>
        <family val="2"/>
      </rPr>
      <t xml:space="preserve">しじ</t>
    </r>
    <r>
      <rPr>
        <sz val="10"/>
        <rFont val="Arial"/>
        <family val="0"/>
        <charset val="1"/>
      </rPr>
      <t xml:space="preserve">.</t>
    </r>
  </si>
  <si>
    <t xml:space="preserve">今</t>
  </si>
  <si>
    <t xml:space="preserve">KIM</t>
  </si>
  <si>
    <t xml:space="preserve">Bây giờ</t>
  </si>
  <si>
    <t xml:space="preserve">コン・キン</t>
  </si>
  <si>
    <t xml:space="preserve">いま</t>
  </si>
  <si>
    <r>
      <rPr>
        <sz val="10"/>
        <rFont val="Noto Sans CJK SC"/>
        <family val="2"/>
      </rPr>
      <t xml:space="preserve">今日 </t>
    </r>
    <r>
      <rPr>
        <sz val="10"/>
        <rFont val="Arial"/>
        <family val="0"/>
        <charset val="1"/>
      </rPr>
      <t xml:space="preserve">(</t>
    </r>
    <r>
      <rPr>
        <sz val="10"/>
        <rFont val="Noto Sans CJK SC"/>
        <family val="2"/>
      </rPr>
      <t xml:space="preserve">きょう</t>
    </r>
    <r>
      <rPr>
        <sz val="10"/>
        <rFont val="Arial"/>
        <family val="0"/>
        <charset val="1"/>
      </rPr>
      <t xml:space="preserve">) hôm nay </t>
    </r>
    <r>
      <rPr>
        <sz val="10"/>
        <rFont val="Noto Sans CJK SC"/>
        <family val="2"/>
      </rPr>
      <t xml:space="preserve">・ 今 </t>
    </r>
    <r>
      <rPr>
        <sz val="10"/>
        <rFont val="Arial"/>
        <family val="0"/>
        <charset val="1"/>
      </rPr>
      <t xml:space="preserve">(</t>
    </r>
    <r>
      <rPr>
        <sz val="10"/>
        <rFont val="Noto Sans CJK SC"/>
        <family val="2"/>
      </rPr>
      <t xml:space="preserve">いま</t>
    </r>
    <r>
      <rPr>
        <sz val="10"/>
        <rFont val="Arial"/>
        <family val="0"/>
        <charset val="1"/>
      </rPr>
      <t xml:space="preserve">) bây giờ </t>
    </r>
    <r>
      <rPr>
        <sz val="10"/>
        <rFont val="Noto Sans CJK SC"/>
        <family val="2"/>
      </rPr>
      <t xml:space="preserve">・ 今月 </t>
    </r>
    <r>
      <rPr>
        <sz val="10"/>
        <rFont val="Arial"/>
        <family val="0"/>
        <charset val="1"/>
      </rPr>
      <t xml:space="preserve">(</t>
    </r>
    <r>
      <rPr>
        <sz val="10"/>
        <rFont val="Noto Sans CJK SC"/>
        <family val="2"/>
      </rPr>
      <t xml:space="preserve">こんげつ</t>
    </r>
    <r>
      <rPr>
        <sz val="10"/>
        <rFont val="Arial"/>
        <family val="0"/>
        <charset val="1"/>
      </rPr>
      <t xml:space="preserve">) tháng này</t>
    </r>
  </si>
  <si>
    <r>
      <rPr>
        <sz val="10"/>
        <rFont val="Arial"/>
        <family val="0"/>
        <charset val="1"/>
      </rPr>
      <t xml:space="preserve">Mái che </t>
    </r>
    <r>
      <rPr>
        <sz val="10"/>
        <rFont val="Noto Sans CJK SC"/>
        <family val="2"/>
      </rPr>
      <t xml:space="preserve">亼 </t>
    </r>
    <r>
      <rPr>
        <sz val="10"/>
        <rFont val="Arial"/>
        <family val="0"/>
        <charset val="1"/>
      </rPr>
      <t xml:space="preserve">chụp xuống một điểm = chộp đúng khoảnh khắc HIỆN TẠI.</t>
    </r>
  </si>
  <si>
    <t xml:space="preserve">新</t>
  </si>
  <si>
    <t xml:space="preserve">TÂN</t>
  </si>
  <si>
    <t xml:space="preserve">Mới</t>
  </si>
  <si>
    <t xml:space="preserve">シン</t>
  </si>
  <si>
    <r>
      <rPr>
        <sz val="10"/>
        <rFont val="Noto Sans CJK SC"/>
        <family val="2"/>
      </rPr>
      <t xml:space="preserve">あたら</t>
    </r>
    <r>
      <rPr>
        <sz val="10"/>
        <rFont val="Arial"/>
        <family val="0"/>
        <charset val="1"/>
      </rPr>
      <t xml:space="preserve">(</t>
    </r>
    <r>
      <rPr>
        <sz val="10"/>
        <rFont val="Noto Sans CJK SC"/>
        <family val="2"/>
      </rPr>
      <t xml:space="preserve">しい</t>
    </r>
    <r>
      <rPr>
        <sz val="10"/>
        <rFont val="Arial"/>
        <family val="0"/>
        <charset val="1"/>
      </rPr>
      <t xml:space="preserve">)</t>
    </r>
  </si>
  <si>
    <t xml:space="preserve">13</t>
  </si>
  <si>
    <r>
      <rPr>
        <sz val="10"/>
        <rFont val="Noto Sans CJK SC"/>
        <family val="2"/>
      </rPr>
      <t xml:space="preserve">新しい </t>
    </r>
    <r>
      <rPr>
        <sz val="10"/>
        <rFont val="Arial"/>
        <family val="0"/>
        <charset val="1"/>
      </rPr>
      <t xml:space="preserve">(</t>
    </r>
    <r>
      <rPr>
        <sz val="10"/>
        <rFont val="Noto Sans CJK SC"/>
        <family val="2"/>
      </rPr>
      <t xml:space="preserve">あたらしい</t>
    </r>
    <r>
      <rPr>
        <sz val="10"/>
        <rFont val="Arial"/>
        <family val="0"/>
        <charset val="1"/>
      </rPr>
      <t xml:space="preserve">) mới </t>
    </r>
    <r>
      <rPr>
        <sz val="10"/>
        <rFont val="Noto Sans CJK SC"/>
        <family val="2"/>
      </rPr>
      <t xml:space="preserve">・ 新聞 </t>
    </r>
    <r>
      <rPr>
        <sz val="10"/>
        <rFont val="Arial"/>
        <family val="0"/>
        <charset val="1"/>
      </rPr>
      <t xml:space="preserve">(</t>
    </r>
    <r>
      <rPr>
        <sz val="10"/>
        <rFont val="Noto Sans CJK SC"/>
        <family val="2"/>
      </rPr>
      <t xml:space="preserve">しんぶん</t>
    </r>
    <r>
      <rPr>
        <sz val="10"/>
        <rFont val="Arial"/>
        <family val="0"/>
        <charset val="1"/>
      </rPr>
      <t xml:space="preserve">) báo </t>
    </r>
    <r>
      <rPr>
        <sz val="10"/>
        <rFont val="Noto Sans CJK SC"/>
        <family val="2"/>
      </rPr>
      <t xml:space="preserve">・ 新幹線 </t>
    </r>
    <r>
      <rPr>
        <sz val="10"/>
        <rFont val="Arial"/>
        <family val="0"/>
        <charset val="1"/>
      </rPr>
      <t xml:space="preserve">(</t>
    </r>
    <r>
      <rPr>
        <sz val="10"/>
        <rFont val="Noto Sans CJK SC"/>
        <family val="2"/>
      </rPr>
      <t xml:space="preserve">しんかんせん</t>
    </r>
    <r>
      <rPr>
        <sz val="10"/>
        <rFont val="Arial"/>
        <family val="0"/>
        <charset val="1"/>
      </rPr>
      <t xml:space="preserve">) tàu Shinkansen</t>
    </r>
  </si>
  <si>
    <r>
      <rPr>
        <sz val="10"/>
        <rFont val="Noto Sans CJK SC"/>
        <family val="2"/>
      </rPr>
      <t xml:space="preserve">立 </t>
    </r>
    <r>
      <rPr>
        <sz val="10"/>
        <rFont val="Arial"/>
        <family val="0"/>
        <charset val="1"/>
      </rPr>
      <t xml:space="preserve">+ </t>
    </r>
    <r>
      <rPr>
        <sz val="10"/>
        <rFont val="Noto Sans CJK SC"/>
        <family val="2"/>
      </rPr>
      <t xml:space="preserve">木 </t>
    </r>
    <r>
      <rPr>
        <sz val="10"/>
        <rFont val="Arial"/>
        <family val="0"/>
        <charset val="1"/>
      </rPr>
      <t xml:space="preserve">+ </t>
    </r>
    <r>
      <rPr>
        <sz val="10"/>
        <rFont val="Noto Sans CJK SC"/>
        <family val="2"/>
      </rPr>
      <t xml:space="preserve">斤 </t>
    </r>
    <r>
      <rPr>
        <sz val="10"/>
        <rFont val="Arial"/>
        <family val="0"/>
        <charset val="1"/>
      </rPr>
      <t xml:space="preserve">(cái rìu) = dùng rìu đốn cây vừa đứng thẳng → gỗ MỚI chặt.</t>
    </r>
  </si>
  <si>
    <t xml:space="preserve">Vàng, tiền, kim loại</t>
  </si>
  <si>
    <t xml:space="preserve">キン</t>
  </si>
  <si>
    <t xml:space="preserve">かね</t>
  </si>
  <si>
    <r>
      <rPr>
        <sz val="10"/>
        <rFont val="Noto Sans CJK SC"/>
        <family val="2"/>
      </rPr>
      <t xml:space="preserve">お金 </t>
    </r>
    <r>
      <rPr>
        <sz val="10"/>
        <rFont val="Arial"/>
        <family val="0"/>
        <charset val="1"/>
      </rPr>
      <t xml:space="preserve">(</t>
    </r>
    <r>
      <rPr>
        <sz val="10"/>
        <rFont val="Noto Sans CJK SC"/>
        <family val="2"/>
      </rPr>
      <t xml:space="preserve">おかね</t>
    </r>
    <r>
      <rPr>
        <sz val="10"/>
        <rFont val="Arial"/>
        <family val="0"/>
        <charset val="1"/>
      </rPr>
      <t xml:space="preserve">) tiền </t>
    </r>
    <r>
      <rPr>
        <sz val="10"/>
        <rFont val="Noto Sans CJK SC"/>
        <family val="2"/>
      </rPr>
      <t xml:space="preserve">・ 金曜日 </t>
    </r>
    <r>
      <rPr>
        <sz val="10"/>
        <rFont val="Arial"/>
        <family val="0"/>
        <charset val="1"/>
      </rPr>
      <t xml:space="preserve">(</t>
    </r>
    <r>
      <rPr>
        <sz val="10"/>
        <rFont val="Noto Sans CJK SC"/>
        <family val="2"/>
      </rPr>
      <t xml:space="preserve">きんようび</t>
    </r>
    <r>
      <rPr>
        <sz val="10"/>
        <rFont val="Arial"/>
        <family val="0"/>
        <charset val="1"/>
      </rPr>
      <t xml:space="preserve">) thứ Sáu </t>
    </r>
    <r>
      <rPr>
        <sz val="10"/>
        <rFont val="Noto Sans CJK SC"/>
        <family val="2"/>
      </rPr>
      <t xml:space="preserve">・ 金魚 </t>
    </r>
    <r>
      <rPr>
        <sz val="10"/>
        <rFont val="Arial"/>
        <family val="0"/>
        <charset val="1"/>
      </rPr>
      <t xml:space="preserve">(</t>
    </r>
    <r>
      <rPr>
        <sz val="10"/>
        <rFont val="Noto Sans CJK SC"/>
        <family val="2"/>
      </rPr>
      <t xml:space="preserve">きんぎょ</t>
    </r>
    <r>
      <rPr>
        <sz val="10"/>
        <rFont val="Arial"/>
        <family val="0"/>
        <charset val="1"/>
      </rPr>
      <t xml:space="preserve">) cá vàng</t>
    </r>
  </si>
  <si>
    <t xml:space="preserve">Mái nhà che hai hạt vàng chôn dưới đất = kho báu KIM loại.</t>
  </si>
  <si>
    <t xml:space="preserve">九</t>
  </si>
  <si>
    <t xml:space="preserve">CỬU</t>
  </si>
  <si>
    <t xml:space="preserve">Chín</t>
  </si>
  <si>
    <t xml:space="preserve">キュウ・ク</t>
  </si>
  <si>
    <r>
      <rPr>
        <sz val="10"/>
        <rFont val="Noto Sans CJK SC"/>
        <family val="2"/>
      </rPr>
      <t xml:space="preserve">ここの</t>
    </r>
    <r>
      <rPr>
        <sz val="10"/>
        <rFont val="Arial"/>
        <family val="0"/>
        <charset val="1"/>
      </rPr>
      <t xml:space="preserve">(</t>
    </r>
    <r>
      <rPr>
        <sz val="10"/>
        <rFont val="Noto Sans CJK SC"/>
        <family val="2"/>
      </rPr>
      <t xml:space="preserve">つ</t>
    </r>
    <r>
      <rPr>
        <sz val="10"/>
        <rFont val="Arial"/>
        <family val="0"/>
        <charset val="1"/>
      </rPr>
      <t xml:space="preserve">)</t>
    </r>
  </si>
  <si>
    <r>
      <rPr>
        <sz val="10"/>
        <rFont val="Noto Sans CJK SC"/>
        <family val="2"/>
      </rPr>
      <t xml:space="preserve">九つ </t>
    </r>
    <r>
      <rPr>
        <sz val="10"/>
        <rFont val="Arial"/>
        <family val="0"/>
        <charset val="1"/>
      </rPr>
      <t xml:space="preserve">(</t>
    </r>
    <r>
      <rPr>
        <sz val="10"/>
        <rFont val="Noto Sans CJK SC"/>
        <family val="2"/>
      </rPr>
      <t xml:space="preserve">ここのつ</t>
    </r>
    <r>
      <rPr>
        <sz val="10"/>
        <rFont val="Arial"/>
        <family val="0"/>
        <charset val="1"/>
      </rPr>
      <t xml:space="preserve">) chín cái </t>
    </r>
    <r>
      <rPr>
        <sz val="10"/>
        <rFont val="Noto Sans CJK SC"/>
        <family val="2"/>
      </rPr>
      <t xml:space="preserve">・ 九月 </t>
    </r>
    <r>
      <rPr>
        <sz val="10"/>
        <rFont val="Arial"/>
        <family val="0"/>
        <charset val="1"/>
      </rPr>
      <t xml:space="preserve">(</t>
    </r>
    <r>
      <rPr>
        <sz val="10"/>
        <rFont val="Noto Sans CJK SC"/>
        <family val="2"/>
      </rPr>
      <t xml:space="preserve">くがつ</t>
    </r>
    <r>
      <rPr>
        <sz val="10"/>
        <rFont val="Arial"/>
        <family val="0"/>
        <charset val="1"/>
      </rPr>
      <t xml:space="preserve">) tháng Chín </t>
    </r>
    <r>
      <rPr>
        <sz val="10"/>
        <rFont val="Noto Sans CJK SC"/>
        <family val="2"/>
      </rPr>
      <t xml:space="preserve">・ 九時 </t>
    </r>
    <r>
      <rPr>
        <sz val="10"/>
        <rFont val="Arial"/>
        <family val="0"/>
        <charset val="1"/>
      </rPr>
      <t xml:space="preserve">(</t>
    </r>
    <r>
      <rPr>
        <sz val="10"/>
        <rFont val="Noto Sans CJK SC"/>
        <family val="2"/>
      </rPr>
      <t xml:space="preserve">くじ</t>
    </r>
    <r>
      <rPr>
        <sz val="10"/>
        <rFont val="Arial"/>
        <family val="0"/>
        <charset val="1"/>
      </rPr>
      <t xml:space="preserve">) chín giờ</t>
    </r>
  </si>
  <si>
    <r>
      <rPr>
        <sz val="10"/>
        <rFont val="Arial"/>
        <family val="0"/>
        <charset val="1"/>
      </rPr>
      <t xml:space="preserve">Giống chữ </t>
    </r>
    <r>
      <rPr>
        <sz val="10"/>
        <rFont val="Noto Sans CJK SC"/>
        <family val="2"/>
      </rPr>
      <t xml:space="preserve">力 </t>
    </r>
    <r>
      <rPr>
        <sz val="10"/>
        <rFont val="Arial"/>
        <family val="0"/>
        <charset val="1"/>
      </rPr>
      <t xml:space="preserve">nhưng đuôi cong. Nhớ: số 9 uốn cong cái đuôi.</t>
    </r>
  </si>
  <si>
    <t xml:space="preserve">入</t>
  </si>
  <si>
    <t xml:space="preserve">NHẬP</t>
  </si>
  <si>
    <t xml:space="preserve">Vào</t>
  </si>
  <si>
    <t xml:space="preserve">ニュウ</t>
  </si>
  <si>
    <r>
      <rPr>
        <sz val="10"/>
        <rFont val="Noto Sans CJK SC"/>
        <family val="2"/>
      </rPr>
      <t xml:space="preserve">はい</t>
    </r>
    <r>
      <rPr>
        <sz val="10"/>
        <rFont val="Arial"/>
        <family val="0"/>
        <charset val="1"/>
      </rPr>
      <t xml:space="preserve">(</t>
    </r>
    <r>
      <rPr>
        <sz val="10"/>
        <rFont val="Noto Sans CJK SC"/>
        <family val="2"/>
      </rPr>
      <t xml:space="preserve">る</t>
    </r>
    <r>
      <rPr>
        <sz val="10"/>
        <rFont val="Arial"/>
        <family val="0"/>
        <charset val="1"/>
      </rPr>
      <t xml:space="preserve">)</t>
    </r>
    <r>
      <rPr>
        <sz val="10"/>
        <rFont val="Noto Sans CJK SC"/>
        <family val="2"/>
      </rPr>
      <t xml:space="preserve">・い</t>
    </r>
    <r>
      <rPr>
        <sz val="10"/>
        <rFont val="Arial"/>
        <family val="0"/>
        <charset val="1"/>
      </rPr>
      <t xml:space="preserve">(</t>
    </r>
    <r>
      <rPr>
        <sz val="10"/>
        <rFont val="Noto Sans CJK SC"/>
        <family val="2"/>
      </rPr>
      <t xml:space="preserve">れる</t>
    </r>
    <r>
      <rPr>
        <sz val="10"/>
        <rFont val="Arial"/>
        <family val="0"/>
        <charset val="1"/>
      </rPr>
      <t xml:space="preserve">)</t>
    </r>
  </si>
  <si>
    <r>
      <rPr>
        <sz val="10"/>
        <rFont val="Noto Sans CJK SC"/>
        <family val="2"/>
      </rPr>
      <t xml:space="preserve">入ります </t>
    </r>
    <r>
      <rPr>
        <sz val="10"/>
        <rFont val="Arial"/>
        <family val="0"/>
        <charset val="1"/>
      </rPr>
      <t xml:space="preserve">(</t>
    </r>
    <r>
      <rPr>
        <sz val="10"/>
        <rFont val="Noto Sans CJK SC"/>
        <family val="2"/>
      </rPr>
      <t xml:space="preserve">はいります</t>
    </r>
    <r>
      <rPr>
        <sz val="10"/>
        <rFont val="Arial"/>
        <family val="0"/>
        <charset val="1"/>
      </rPr>
      <t xml:space="preserve">) vào </t>
    </r>
    <r>
      <rPr>
        <sz val="10"/>
        <rFont val="Noto Sans CJK SC"/>
        <family val="2"/>
      </rPr>
      <t xml:space="preserve">・ 入口 </t>
    </r>
    <r>
      <rPr>
        <sz val="10"/>
        <rFont val="Arial"/>
        <family val="0"/>
        <charset val="1"/>
      </rPr>
      <t xml:space="preserve">(</t>
    </r>
    <r>
      <rPr>
        <sz val="10"/>
        <rFont val="Noto Sans CJK SC"/>
        <family val="2"/>
      </rPr>
      <t xml:space="preserve">いりぐち</t>
    </r>
    <r>
      <rPr>
        <sz val="10"/>
        <rFont val="Arial"/>
        <family val="0"/>
        <charset val="1"/>
      </rPr>
      <t xml:space="preserve">) lối vào </t>
    </r>
    <r>
      <rPr>
        <sz val="10"/>
        <rFont val="Noto Sans CJK SC"/>
        <family val="2"/>
      </rPr>
      <t xml:space="preserve">・ 入学 </t>
    </r>
    <r>
      <rPr>
        <sz val="10"/>
        <rFont val="Arial"/>
        <family val="0"/>
        <charset val="1"/>
      </rPr>
      <t xml:space="preserve">(</t>
    </r>
    <r>
      <rPr>
        <sz val="10"/>
        <rFont val="Noto Sans CJK SC"/>
        <family val="2"/>
      </rPr>
      <t xml:space="preserve">にゅうがく</t>
    </r>
    <r>
      <rPr>
        <sz val="10"/>
        <rFont val="Arial"/>
        <family val="0"/>
        <charset val="1"/>
      </rPr>
      <t xml:space="preserve">) nhập học</t>
    </r>
  </si>
  <si>
    <r>
      <rPr>
        <sz val="10"/>
        <rFont val="Arial"/>
        <family val="0"/>
        <charset val="1"/>
      </rPr>
      <t xml:space="preserve">Giống </t>
    </r>
    <r>
      <rPr>
        <sz val="10"/>
        <rFont val="Noto Sans CJK SC"/>
        <family val="2"/>
      </rPr>
      <t xml:space="preserve">人 </t>
    </r>
    <r>
      <rPr>
        <sz val="10"/>
        <rFont val="Arial"/>
        <family val="0"/>
        <charset val="1"/>
      </rPr>
      <t xml:space="preserve">nhưng nét trái đè lên nét phải, như mũi tên chúc xuống chui VÀO. Đối lập với </t>
    </r>
    <r>
      <rPr>
        <sz val="10"/>
        <rFont val="Noto Sans CJK SC"/>
        <family val="2"/>
      </rPr>
      <t xml:space="preserve">出</t>
    </r>
    <r>
      <rPr>
        <sz val="10"/>
        <rFont val="Arial"/>
        <family val="0"/>
        <charset val="1"/>
      </rPr>
      <t xml:space="preserve">.</t>
    </r>
  </si>
  <si>
    <t xml:space="preserve">LẬP</t>
  </si>
  <si>
    <t xml:space="preserve">Đứng</t>
  </si>
  <si>
    <t xml:space="preserve">リツ</t>
  </si>
  <si>
    <r>
      <rPr>
        <sz val="10"/>
        <rFont val="Noto Sans CJK SC"/>
        <family val="2"/>
      </rPr>
      <t xml:space="preserve">た</t>
    </r>
    <r>
      <rPr>
        <sz val="10"/>
        <rFont val="Arial"/>
        <family val="0"/>
        <charset val="1"/>
      </rPr>
      <t xml:space="preserve">(</t>
    </r>
    <r>
      <rPr>
        <sz val="10"/>
        <rFont val="Noto Sans CJK SC"/>
        <family val="2"/>
      </rPr>
      <t xml:space="preserve">つ</t>
    </r>
    <r>
      <rPr>
        <sz val="10"/>
        <rFont val="Arial"/>
        <family val="0"/>
        <charset val="1"/>
      </rPr>
      <t xml:space="preserve">)</t>
    </r>
  </si>
  <si>
    <r>
      <rPr>
        <sz val="10"/>
        <rFont val="Noto Sans CJK SC"/>
        <family val="2"/>
      </rPr>
      <t xml:space="preserve">立ちます </t>
    </r>
    <r>
      <rPr>
        <sz val="10"/>
        <rFont val="Arial"/>
        <family val="0"/>
        <charset val="1"/>
      </rPr>
      <t xml:space="preserve">(</t>
    </r>
    <r>
      <rPr>
        <sz val="10"/>
        <rFont val="Noto Sans CJK SC"/>
        <family val="2"/>
      </rPr>
      <t xml:space="preserve">たちます</t>
    </r>
    <r>
      <rPr>
        <sz val="10"/>
        <rFont val="Arial"/>
        <family val="0"/>
        <charset val="1"/>
      </rPr>
      <t xml:space="preserve">) đứng </t>
    </r>
    <r>
      <rPr>
        <sz val="10"/>
        <rFont val="Noto Sans CJK SC"/>
        <family val="2"/>
      </rPr>
      <t xml:space="preserve">・ 立派 </t>
    </r>
    <r>
      <rPr>
        <sz val="10"/>
        <rFont val="Arial"/>
        <family val="0"/>
        <charset val="1"/>
      </rPr>
      <t xml:space="preserve">(</t>
    </r>
    <r>
      <rPr>
        <sz val="10"/>
        <rFont val="Noto Sans CJK SC"/>
        <family val="2"/>
      </rPr>
      <t xml:space="preserve">りっぱ</t>
    </r>
    <r>
      <rPr>
        <sz val="10"/>
        <rFont val="Arial"/>
        <family val="0"/>
        <charset val="1"/>
      </rPr>
      <t xml:space="preserve">) tuyệt vời </t>
    </r>
    <r>
      <rPr>
        <sz val="10"/>
        <rFont val="Noto Sans CJK SC"/>
        <family val="2"/>
      </rPr>
      <t xml:space="preserve">・ 国立 </t>
    </r>
    <r>
      <rPr>
        <sz val="10"/>
        <rFont val="Arial"/>
        <family val="0"/>
        <charset val="1"/>
      </rPr>
      <t xml:space="preserve">(</t>
    </r>
    <r>
      <rPr>
        <sz val="10"/>
        <rFont val="Noto Sans CJK SC"/>
        <family val="2"/>
      </rPr>
      <t xml:space="preserve">こくりつ</t>
    </r>
    <r>
      <rPr>
        <sz val="10"/>
        <rFont val="Arial"/>
        <family val="0"/>
        <charset val="1"/>
      </rPr>
      <t xml:space="preserve">) quốc lập</t>
    </r>
  </si>
  <si>
    <t xml:space="preserve">Một người dang tay ĐỨNG trên vạch mặt đất.</t>
  </si>
  <si>
    <t xml:space="preserve">手</t>
  </si>
  <si>
    <t xml:space="preserve">THỦ</t>
  </si>
  <si>
    <t xml:space="preserve">Tay</t>
  </si>
  <si>
    <r>
      <rPr>
        <sz val="10"/>
        <rFont val="Noto Sans CJK SC"/>
        <family val="2"/>
      </rPr>
      <t xml:space="preserve">手 </t>
    </r>
    <r>
      <rPr>
        <sz val="10"/>
        <rFont val="Arial"/>
        <family val="0"/>
        <charset val="1"/>
      </rPr>
      <t xml:space="preserve">(</t>
    </r>
    <r>
      <rPr>
        <sz val="10"/>
        <rFont val="Noto Sans CJK SC"/>
        <family val="2"/>
      </rPr>
      <t xml:space="preserve">て</t>
    </r>
    <r>
      <rPr>
        <sz val="10"/>
        <rFont val="Arial"/>
        <family val="0"/>
        <charset val="1"/>
      </rPr>
      <t xml:space="preserve">) tay </t>
    </r>
    <r>
      <rPr>
        <sz val="10"/>
        <rFont val="Noto Sans CJK SC"/>
        <family val="2"/>
      </rPr>
      <t xml:space="preserve">・ 上手 </t>
    </r>
    <r>
      <rPr>
        <sz val="10"/>
        <rFont val="Arial"/>
        <family val="0"/>
        <charset val="1"/>
      </rPr>
      <t xml:space="preserve">(</t>
    </r>
    <r>
      <rPr>
        <sz val="10"/>
        <rFont val="Noto Sans CJK SC"/>
        <family val="2"/>
      </rPr>
      <t xml:space="preserve">じょうず</t>
    </r>
    <r>
      <rPr>
        <sz val="10"/>
        <rFont val="Arial"/>
        <family val="0"/>
        <charset val="1"/>
      </rPr>
      <t xml:space="preserve">) giỏi </t>
    </r>
    <r>
      <rPr>
        <sz val="10"/>
        <rFont val="Noto Sans CJK SC"/>
        <family val="2"/>
      </rPr>
      <t xml:space="preserve">・ 手紙 </t>
    </r>
    <r>
      <rPr>
        <sz val="10"/>
        <rFont val="Arial"/>
        <family val="0"/>
        <charset val="1"/>
      </rPr>
      <t xml:space="preserve">(</t>
    </r>
    <r>
      <rPr>
        <sz val="10"/>
        <rFont val="Noto Sans CJK SC"/>
        <family val="2"/>
      </rPr>
      <t xml:space="preserve">てがみ</t>
    </r>
    <r>
      <rPr>
        <sz val="10"/>
        <rFont val="Arial"/>
        <family val="0"/>
        <charset val="1"/>
      </rPr>
      <t xml:space="preserve">) lá thư</t>
    </r>
  </si>
  <si>
    <r>
      <rPr>
        <sz val="10"/>
        <rFont val="Arial"/>
        <family val="0"/>
        <charset val="1"/>
      </rPr>
      <t xml:space="preserve">Hình bàn tay xòe ra với các ngón. Mẹo vui: </t>
    </r>
    <r>
      <rPr>
        <sz val="10"/>
        <rFont val="Noto Sans CJK SC"/>
        <family val="2"/>
      </rPr>
      <t xml:space="preserve">手紙 </t>
    </r>
    <r>
      <rPr>
        <sz val="10"/>
        <rFont val="Arial"/>
        <family val="0"/>
        <charset val="1"/>
      </rPr>
      <t xml:space="preserve">= 'giấy của tay' = LÁ THƯ.</t>
    </r>
  </si>
  <si>
    <t xml:space="preserve">学</t>
  </si>
  <si>
    <t xml:space="preserve">HỌC</t>
  </si>
  <si>
    <t xml:space="preserve">Học</t>
  </si>
  <si>
    <t xml:space="preserve">ガク</t>
  </si>
  <si>
    <r>
      <rPr>
        <sz val="10"/>
        <rFont val="Noto Sans CJK SC"/>
        <family val="2"/>
      </rPr>
      <t xml:space="preserve">まな</t>
    </r>
    <r>
      <rPr>
        <sz val="10"/>
        <rFont val="Arial"/>
        <family val="0"/>
        <charset val="1"/>
      </rPr>
      <t xml:space="preserve">(</t>
    </r>
    <r>
      <rPr>
        <sz val="10"/>
        <rFont val="Noto Sans CJK SC"/>
        <family val="2"/>
      </rPr>
      <t xml:space="preserve">ぶ</t>
    </r>
    <r>
      <rPr>
        <sz val="10"/>
        <rFont val="Arial"/>
        <family val="0"/>
        <charset val="1"/>
      </rPr>
      <t xml:space="preserve">)</t>
    </r>
  </si>
  <si>
    <r>
      <rPr>
        <sz val="10"/>
        <rFont val="Noto Sans CJK SC"/>
        <family val="2"/>
      </rPr>
      <t xml:space="preserve">学生 </t>
    </r>
    <r>
      <rPr>
        <sz val="10"/>
        <rFont val="Arial"/>
        <family val="0"/>
        <charset val="1"/>
      </rPr>
      <t xml:space="preserve">(</t>
    </r>
    <r>
      <rPr>
        <sz val="10"/>
        <rFont val="Noto Sans CJK SC"/>
        <family val="2"/>
      </rPr>
      <t xml:space="preserve">がくせい</t>
    </r>
    <r>
      <rPr>
        <sz val="10"/>
        <rFont val="Arial"/>
        <family val="0"/>
        <charset val="1"/>
      </rPr>
      <t xml:space="preserve">) học sinh </t>
    </r>
    <r>
      <rPr>
        <sz val="10"/>
        <rFont val="Noto Sans CJK SC"/>
        <family val="2"/>
      </rPr>
      <t xml:space="preserve">・ 大学 </t>
    </r>
    <r>
      <rPr>
        <sz val="10"/>
        <rFont val="Arial"/>
        <family val="0"/>
        <charset val="1"/>
      </rPr>
      <t xml:space="preserve">(</t>
    </r>
    <r>
      <rPr>
        <sz val="10"/>
        <rFont val="Noto Sans CJK SC"/>
        <family val="2"/>
      </rPr>
      <t xml:space="preserve">だいがく</t>
    </r>
    <r>
      <rPr>
        <sz val="10"/>
        <rFont val="Arial"/>
        <family val="0"/>
        <charset val="1"/>
      </rPr>
      <t xml:space="preserve">) đại học </t>
    </r>
    <r>
      <rPr>
        <sz val="10"/>
        <rFont val="Noto Sans CJK SC"/>
        <family val="2"/>
      </rPr>
      <t xml:space="preserve">・ 学校 </t>
    </r>
    <r>
      <rPr>
        <sz val="10"/>
        <rFont val="Arial"/>
        <family val="0"/>
        <charset val="1"/>
      </rPr>
      <t xml:space="preserve">(</t>
    </r>
    <r>
      <rPr>
        <sz val="10"/>
        <rFont val="Noto Sans CJK SC"/>
        <family val="2"/>
      </rPr>
      <t xml:space="preserve">がっこう</t>
    </r>
    <r>
      <rPr>
        <sz val="10"/>
        <rFont val="Arial"/>
        <family val="0"/>
        <charset val="1"/>
      </rPr>
      <t xml:space="preserve">) trường học</t>
    </r>
  </si>
  <si>
    <r>
      <rPr>
        <sz val="10"/>
        <rFont val="Arial"/>
        <family val="0"/>
        <charset val="1"/>
      </rPr>
      <t xml:space="preserve">Phía trên là bàn tay che chắn, phía dưới là </t>
    </r>
    <r>
      <rPr>
        <sz val="10"/>
        <rFont val="Noto Sans CJK SC"/>
        <family val="2"/>
      </rPr>
      <t xml:space="preserve">子 </t>
    </r>
    <r>
      <rPr>
        <sz val="10"/>
        <rFont val="Arial"/>
        <family val="0"/>
        <charset val="1"/>
      </rPr>
      <t xml:space="preserve">(đứa trẻ) = người lớn dìu dắt trẻ HỌC.</t>
    </r>
  </si>
  <si>
    <t xml:space="preserve">高</t>
  </si>
  <si>
    <t xml:space="preserve">CAO</t>
  </si>
  <si>
    <t xml:space="preserve">Cao, đắt</t>
  </si>
  <si>
    <t xml:space="preserve">コウ</t>
  </si>
  <si>
    <r>
      <rPr>
        <sz val="10"/>
        <rFont val="Noto Sans CJK SC"/>
        <family val="2"/>
      </rPr>
      <t xml:space="preserve">たか</t>
    </r>
    <r>
      <rPr>
        <sz val="10"/>
        <rFont val="Arial"/>
        <family val="0"/>
        <charset val="1"/>
      </rPr>
      <t xml:space="preserve">(</t>
    </r>
    <r>
      <rPr>
        <sz val="10"/>
        <rFont val="Noto Sans CJK SC"/>
        <family val="2"/>
      </rPr>
      <t xml:space="preserve">い</t>
    </r>
    <r>
      <rPr>
        <sz val="10"/>
        <rFont val="Arial"/>
        <family val="0"/>
        <charset val="1"/>
      </rPr>
      <t xml:space="preserve">)</t>
    </r>
  </si>
  <si>
    <r>
      <rPr>
        <sz val="10"/>
        <rFont val="Noto Sans CJK SC"/>
        <family val="2"/>
      </rPr>
      <t xml:space="preserve">高い </t>
    </r>
    <r>
      <rPr>
        <sz val="10"/>
        <rFont val="Arial"/>
        <family val="0"/>
        <charset val="1"/>
      </rPr>
      <t xml:space="preserve">(</t>
    </r>
    <r>
      <rPr>
        <sz val="10"/>
        <rFont val="Noto Sans CJK SC"/>
        <family val="2"/>
      </rPr>
      <t xml:space="preserve">たかい</t>
    </r>
    <r>
      <rPr>
        <sz val="10"/>
        <rFont val="Arial"/>
        <family val="0"/>
        <charset val="1"/>
      </rPr>
      <t xml:space="preserve">) cao/đắt </t>
    </r>
    <r>
      <rPr>
        <sz val="10"/>
        <rFont val="Noto Sans CJK SC"/>
        <family val="2"/>
      </rPr>
      <t xml:space="preserve">・ 高校 </t>
    </r>
    <r>
      <rPr>
        <sz val="10"/>
        <rFont val="Arial"/>
        <family val="0"/>
        <charset val="1"/>
      </rPr>
      <t xml:space="preserve">(</t>
    </r>
    <r>
      <rPr>
        <sz val="10"/>
        <rFont val="Noto Sans CJK SC"/>
        <family val="2"/>
      </rPr>
      <t xml:space="preserve">こうこう</t>
    </r>
    <r>
      <rPr>
        <sz val="10"/>
        <rFont val="Arial"/>
        <family val="0"/>
        <charset val="1"/>
      </rPr>
      <t xml:space="preserve">) trường cấp 3 </t>
    </r>
    <r>
      <rPr>
        <sz val="10"/>
        <rFont val="Noto Sans CJK SC"/>
        <family val="2"/>
      </rPr>
      <t xml:space="preserve">・ 高校生 </t>
    </r>
    <r>
      <rPr>
        <sz val="10"/>
        <rFont val="Arial"/>
        <family val="0"/>
        <charset val="1"/>
      </rPr>
      <t xml:space="preserve">(</t>
    </r>
    <r>
      <rPr>
        <sz val="10"/>
        <rFont val="Noto Sans CJK SC"/>
        <family val="2"/>
      </rPr>
      <t xml:space="preserve">こうこうせい</t>
    </r>
    <r>
      <rPr>
        <sz val="10"/>
        <rFont val="Arial"/>
        <family val="0"/>
        <charset val="1"/>
      </rPr>
      <t xml:space="preserve">) học sinh cấp 3</t>
    </r>
  </si>
  <si>
    <t xml:space="preserve">Hình một tòa tháp nhiều tầng chồng lên nhau = CAO. Giá cao → ĐẮT.</t>
  </si>
  <si>
    <t xml:space="preserve">円</t>
  </si>
  <si>
    <t xml:space="preserve">VIÊN</t>
  </si>
  <si>
    <t xml:space="preserve">Đồng yên, tròn</t>
  </si>
  <si>
    <t xml:space="preserve">エン</t>
  </si>
  <si>
    <r>
      <rPr>
        <sz val="10"/>
        <rFont val="Noto Sans CJK SC"/>
        <family val="2"/>
      </rPr>
      <t xml:space="preserve">まる</t>
    </r>
    <r>
      <rPr>
        <sz val="10"/>
        <rFont val="Arial"/>
        <family val="0"/>
        <charset val="1"/>
      </rPr>
      <t xml:space="preserve">(</t>
    </r>
    <r>
      <rPr>
        <sz val="10"/>
        <rFont val="Noto Sans CJK SC"/>
        <family val="2"/>
      </rPr>
      <t xml:space="preserve">い</t>
    </r>
    <r>
      <rPr>
        <sz val="10"/>
        <rFont val="Arial"/>
        <family val="0"/>
        <charset val="1"/>
      </rPr>
      <t xml:space="preserve">)</t>
    </r>
  </si>
  <si>
    <r>
      <rPr>
        <sz val="10"/>
        <rFont val="Noto Sans CJK SC"/>
        <family val="2"/>
      </rPr>
      <t xml:space="preserve">百円 </t>
    </r>
    <r>
      <rPr>
        <sz val="10"/>
        <rFont val="Arial"/>
        <family val="0"/>
        <charset val="1"/>
      </rPr>
      <t xml:space="preserve">(</t>
    </r>
    <r>
      <rPr>
        <sz val="10"/>
        <rFont val="Noto Sans CJK SC"/>
        <family val="2"/>
      </rPr>
      <t xml:space="preserve">ひゃくえん</t>
    </r>
    <r>
      <rPr>
        <sz val="10"/>
        <rFont val="Arial"/>
        <family val="0"/>
        <charset val="1"/>
      </rPr>
      <t xml:space="preserve">) 100 yên </t>
    </r>
    <r>
      <rPr>
        <sz val="10"/>
        <rFont val="Noto Sans CJK SC"/>
        <family val="2"/>
      </rPr>
      <t xml:space="preserve">・ 千円 </t>
    </r>
    <r>
      <rPr>
        <sz val="10"/>
        <rFont val="Arial"/>
        <family val="0"/>
        <charset val="1"/>
      </rPr>
      <t xml:space="preserve">(</t>
    </r>
    <r>
      <rPr>
        <sz val="10"/>
        <rFont val="Noto Sans CJK SC"/>
        <family val="2"/>
      </rPr>
      <t xml:space="preserve">せんえん</t>
    </r>
    <r>
      <rPr>
        <sz val="10"/>
        <rFont val="Arial"/>
        <family val="0"/>
        <charset val="1"/>
      </rPr>
      <t xml:space="preserve">) 1000 yên </t>
    </r>
    <r>
      <rPr>
        <sz val="10"/>
        <rFont val="Noto Sans CJK SC"/>
        <family val="2"/>
      </rPr>
      <t xml:space="preserve">・ 円い </t>
    </r>
    <r>
      <rPr>
        <sz val="10"/>
        <rFont val="Arial"/>
        <family val="0"/>
        <charset val="1"/>
      </rPr>
      <t xml:space="preserve">(</t>
    </r>
    <r>
      <rPr>
        <sz val="10"/>
        <rFont val="Noto Sans CJK SC"/>
        <family val="2"/>
      </rPr>
      <t xml:space="preserve">まるい</t>
    </r>
    <r>
      <rPr>
        <sz val="10"/>
        <rFont val="Arial"/>
        <family val="0"/>
        <charset val="1"/>
      </rPr>
      <t xml:space="preserve">) tròn</t>
    </r>
  </si>
  <si>
    <t xml:space="preserve">Khung vuông có hai vạch = đồng xu TRÒN đặt trong khay. Tiền Nhật = ĐỒNG YÊN.</t>
  </si>
  <si>
    <t xml:space="preserve">TỬ</t>
  </si>
  <si>
    <r>
      <rPr>
        <sz val="10"/>
        <rFont val="Noto Sans CJK SC"/>
        <family val="2"/>
      </rPr>
      <t xml:space="preserve">子ども </t>
    </r>
    <r>
      <rPr>
        <sz val="10"/>
        <rFont val="Arial"/>
        <family val="0"/>
        <charset val="1"/>
      </rPr>
      <t xml:space="preserve">(</t>
    </r>
    <r>
      <rPr>
        <sz val="10"/>
        <rFont val="Noto Sans CJK SC"/>
        <family val="2"/>
      </rPr>
      <t xml:space="preserve">こども</t>
    </r>
    <r>
      <rPr>
        <sz val="10"/>
        <rFont val="Arial"/>
        <family val="0"/>
        <charset val="1"/>
      </rPr>
      <t xml:space="preserve">) trẻ con </t>
    </r>
    <r>
      <rPr>
        <sz val="10"/>
        <rFont val="Noto Sans CJK SC"/>
        <family val="2"/>
      </rPr>
      <t xml:space="preserve">・ 女の子 </t>
    </r>
    <r>
      <rPr>
        <sz val="10"/>
        <rFont val="Arial"/>
        <family val="0"/>
        <charset val="1"/>
      </rPr>
      <t xml:space="preserve">(</t>
    </r>
    <r>
      <rPr>
        <sz val="10"/>
        <rFont val="Noto Sans CJK SC"/>
        <family val="2"/>
      </rPr>
      <t xml:space="preserve">おんなのこ</t>
    </r>
    <r>
      <rPr>
        <sz val="10"/>
        <rFont val="Arial"/>
        <family val="0"/>
        <charset val="1"/>
      </rPr>
      <t xml:space="preserve">) bé gái </t>
    </r>
    <r>
      <rPr>
        <sz val="10"/>
        <rFont val="Noto Sans CJK SC"/>
        <family val="2"/>
      </rPr>
      <t xml:space="preserve">・ 帽子 </t>
    </r>
    <r>
      <rPr>
        <sz val="10"/>
        <rFont val="Arial"/>
        <family val="0"/>
        <charset val="1"/>
      </rPr>
      <t xml:space="preserve">(</t>
    </r>
    <r>
      <rPr>
        <sz val="10"/>
        <rFont val="Noto Sans CJK SC"/>
        <family val="2"/>
      </rPr>
      <t xml:space="preserve">ぼうし</t>
    </r>
    <r>
      <rPr>
        <sz val="10"/>
        <rFont val="Arial"/>
        <family val="0"/>
        <charset val="1"/>
      </rPr>
      <t xml:space="preserve">) cái mũ</t>
    </r>
  </si>
  <si>
    <t xml:space="preserve">Hình em bé quấn tã, chỉ thò hai tay ra ngoài.</t>
  </si>
  <si>
    <t xml:space="preserve">MỤC</t>
  </si>
  <si>
    <t xml:space="preserve">Mắt</t>
  </si>
  <si>
    <t xml:space="preserve">モク</t>
  </si>
  <si>
    <r>
      <rPr>
        <sz val="10"/>
        <rFont val="Noto Sans CJK SC"/>
        <family val="2"/>
      </rPr>
      <t xml:space="preserve">目 </t>
    </r>
    <r>
      <rPr>
        <sz val="10"/>
        <rFont val="Arial"/>
        <family val="0"/>
        <charset val="1"/>
      </rPr>
      <t xml:space="preserve">(</t>
    </r>
    <r>
      <rPr>
        <sz val="10"/>
        <rFont val="Noto Sans CJK SC"/>
        <family val="2"/>
      </rPr>
      <t xml:space="preserve">め</t>
    </r>
    <r>
      <rPr>
        <sz val="10"/>
        <rFont val="Arial"/>
        <family val="0"/>
        <charset val="1"/>
      </rPr>
      <t xml:space="preserve">) mắt </t>
    </r>
    <r>
      <rPr>
        <sz val="10"/>
        <rFont val="Noto Sans CJK SC"/>
        <family val="2"/>
      </rPr>
      <t xml:space="preserve">・ 一目 </t>
    </r>
    <r>
      <rPr>
        <sz val="10"/>
        <rFont val="Arial"/>
        <family val="0"/>
        <charset val="1"/>
      </rPr>
      <t xml:space="preserve">(</t>
    </r>
    <r>
      <rPr>
        <sz val="10"/>
        <rFont val="Noto Sans CJK SC"/>
        <family val="2"/>
      </rPr>
      <t xml:space="preserve">ひとめ</t>
    </r>
    <r>
      <rPr>
        <sz val="10"/>
        <rFont val="Arial"/>
        <family val="0"/>
        <charset val="1"/>
      </rPr>
      <t xml:space="preserve">) một cái nhìn </t>
    </r>
    <r>
      <rPr>
        <sz val="10"/>
        <rFont val="Noto Sans CJK SC"/>
        <family val="2"/>
      </rPr>
      <t xml:space="preserve">・ 目薬 </t>
    </r>
    <r>
      <rPr>
        <sz val="10"/>
        <rFont val="Arial"/>
        <family val="0"/>
        <charset val="1"/>
      </rPr>
      <t xml:space="preserve">(</t>
    </r>
    <r>
      <rPr>
        <sz val="10"/>
        <rFont val="Noto Sans CJK SC"/>
        <family val="2"/>
      </rPr>
      <t xml:space="preserve">めぐすり</t>
    </r>
    <r>
      <rPr>
        <sz val="10"/>
        <rFont val="Arial"/>
        <family val="0"/>
        <charset val="1"/>
      </rPr>
      <t xml:space="preserve">) thuốc nhỏ mắt</t>
    </r>
  </si>
  <si>
    <r>
      <rPr>
        <sz val="10"/>
        <rFont val="Arial"/>
        <family val="0"/>
        <charset val="1"/>
      </rPr>
      <t xml:space="preserve">Chữ </t>
    </r>
    <r>
      <rPr>
        <sz val="10"/>
        <rFont val="Noto Sans CJK SC"/>
        <family val="2"/>
      </rPr>
      <t xml:space="preserve">日 </t>
    </r>
    <r>
      <rPr>
        <sz val="10"/>
        <rFont val="Arial"/>
        <family val="0"/>
        <charset val="1"/>
      </rPr>
      <t xml:space="preserve">kéo dài thêm một vạch = con MẮT dựng đứng lên với hai mí và con ngươi.</t>
    </r>
  </si>
  <si>
    <t xml:space="preserve">外</t>
  </si>
  <si>
    <t xml:space="preserve">NGOẠI</t>
  </si>
  <si>
    <t xml:space="preserve">Bên ngoài</t>
  </si>
  <si>
    <t xml:space="preserve">ガイ</t>
  </si>
  <si>
    <r>
      <rPr>
        <sz val="10"/>
        <rFont val="Noto Sans CJK SC"/>
        <family val="2"/>
      </rPr>
      <t xml:space="preserve">そと・はず</t>
    </r>
    <r>
      <rPr>
        <sz val="10"/>
        <rFont val="Arial"/>
        <family val="0"/>
        <charset val="1"/>
      </rPr>
      <t xml:space="preserve">(</t>
    </r>
    <r>
      <rPr>
        <sz val="10"/>
        <rFont val="Noto Sans CJK SC"/>
        <family val="2"/>
      </rPr>
      <t xml:space="preserve">す</t>
    </r>
    <r>
      <rPr>
        <sz val="10"/>
        <rFont val="Arial"/>
        <family val="0"/>
        <charset val="1"/>
      </rPr>
      <t xml:space="preserve">)</t>
    </r>
  </si>
  <si>
    <r>
      <rPr>
        <sz val="10"/>
        <rFont val="Noto Sans CJK SC"/>
        <family val="2"/>
      </rPr>
      <t xml:space="preserve">外 </t>
    </r>
    <r>
      <rPr>
        <sz val="10"/>
        <rFont val="Arial"/>
        <family val="0"/>
        <charset val="1"/>
      </rPr>
      <t xml:space="preserve">(</t>
    </r>
    <r>
      <rPr>
        <sz val="10"/>
        <rFont val="Noto Sans CJK SC"/>
        <family val="2"/>
      </rPr>
      <t xml:space="preserve">そと</t>
    </r>
    <r>
      <rPr>
        <sz val="10"/>
        <rFont val="Arial"/>
        <family val="0"/>
        <charset val="1"/>
      </rPr>
      <t xml:space="preserve">) bên ngoài </t>
    </r>
    <r>
      <rPr>
        <sz val="10"/>
        <rFont val="Noto Sans CJK SC"/>
        <family val="2"/>
      </rPr>
      <t xml:space="preserve">・ 外国 </t>
    </r>
    <r>
      <rPr>
        <sz val="10"/>
        <rFont val="Arial"/>
        <family val="0"/>
        <charset val="1"/>
      </rPr>
      <t xml:space="preserve">(</t>
    </r>
    <r>
      <rPr>
        <sz val="10"/>
        <rFont val="Noto Sans CJK SC"/>
        <family val="2"/>
      </rPr>
      <t xml:space="preserve">がいこく</t>
    </r>
    <r>
      <rPr>
        <sz val="10"/>
        <rFont val="Arial"/>
        <family val="0"/>
        <charset val="1"/>
      </rPr>
      <t xml:space="preserve">) nước ngoài </t>
    </r>
    <r>
      <rPr>
        <sz val="10"/>
        <rFont val="Noto Sans CJK SC"/>
        <family val="2"/>
      </rPr>
      <t xml:space="preserve">・ 外国人 </t>
    </r>
    <r>
      <rPr>
        <sz val="10"/>
        <rFont val="Arial"/>
        <family val="0"/>
        <charset val="1"/>
      </rPr>
      <t xml:space="preserve">(</t>
    </r>
    <r>
      <rPr>
        <sz val="10"/>
        <rFont val="Noto Sans CJK SC"/>
        <family val="2"/>
      </rPr>
      <t xml:space="preserve">がいこくじん</t>
    </r>
    <r>
      <rPr>
        <sz val="10"/>
        <rFont val="Arial"/>
        <family val="0"/>
        <charset val="1"/>
      </rPr>
      <t xml:space="preserve">) người nước ngoài</t>
    </r>
  </si>
  <si>
    <r>
      <rPr>
        <sz val="10"/>
        <rFont val="Noto Sans CJK SC"/>
        <family val="2"/>
      </rPr>
      <t xml:space="preserve">夕 </t>
    </r>
    <r>
      <rPr>
        <sz val="10"/>
        <rFont val="Arial"/>
        <family val="0"/>
        <charset val="1"/>
      </rPr>
      <t xml:space="preserve">(buổi chiều tối) + </t>
    </r>
    <r>
      <rPr>
        <sz val="10"/>
        <rFont val="Noto Sans CJK SC"/>
        <family val="2"/>
      </rPr>
      <t xml:space="preserve">卜 </t>
    </r>
    <r>
      <rPr>
        <sz val="10"/>
        <rFont val="Arial"/>
        <family val="0"/>
        <charset val="1"/>
      </rPr>
      <t xml:space="preserve">(bói toán) = ngày xưa bói ngoài trời lúc chiều tà → NGOÀI.</t>
    </r>
  </si>
  <si>
    <t xml:space="preserve">言</t>
  </si>
  <si>
    <t xml:space="preserve">NGÔN</t>
  </si>
  <si>
    <t xml:space="preserve">Nói, lời nói</t>
  </si>
  <si>
    <t xml:space="preserve">ゲン・ゴン</t>
  </si>
  <si>
    <r>
      <rPr>
        <sz val="10"/>
        <rFont val="Noto Sans CJK SC"/>
        <family val="2"/>
      </rPr>
      <t xml:space="preserve">い</t>
    </r>
    <r>
      <rPr>
        <sz val="10"/>
        <rFont val="Arial"/>
        <family val="0"/>
        <charset val="1"/>
      </rPr>
      <t xml:space="preserve">(</t>
    </r>
    <r>
      <rPr>
        <sz val="10"/>
        <rFont val="Noto Sans CJK SC"/>
        <family val="2"/>
      </rPr>
      <t xml:space="preserve">う</t>
    </r>
    <r>
      <rPr>
        <sz val="10"/>
        <rFont val="Arial"/>
        <family val="0"/>
        <charset val="1"/>
      </rPr>
      <t xml:space="preserve">)</t>
    </r>
    <r>
      <rPr>
        <sz val="10"/>
        <rFont val="Noto Sans CJK SC"/>
        <family val="2"/>
      </rPr>
      <t xml:space="preserve">・こと</t>
    </r>
  </si>
  <si>
    <r>
      <rPr>
        <sz val="10"/>
        <rFont val="Noto Sans CJK SC"/>
        <family val="2"/>
      </rPr>
      <t xml:space="preserve">言います </t>
    </r>
    <r>
      <rPr>
        <sz val="10"/>
        <rFont val="Arial"/>
        <family val="0"/>
        <charset val="1"/>
      </rPr>
      <t xml:space="preserve">(</t>
    </r>
    <r>
      <rPr>
        <sz val="10"/>
        <rFont val="Noto Sans CJK SC"/>
        <family val="2"/>
      </rPr>
      <t xml:space="preserve">いいます</t>
    </r>
    <r>
      <rPr>
        <sz val="10"/>
        <rFont val="Arial"/>
        <family val="0"/>
        <charset val="1"/>
      </rPr>
      <t xml:space="preserve">) nói </t>
    </r>
    <r>
      <rPr>
        <sz val="10"/>
        <rFont val="Noto Sans CJK SC"/>
        <family val="2"/>
      </rPr>
      <t xml:space="preserve">・ 言葉 </t>
    </r>
    <r>
      <rPr>
        <sz val="10"/>
        <rFont val="Arial"/>
        <family val="0"/>
        <charset val="1"/>
      </rPr>
      <t xml:space="preserve">(</t>
    </r>
    <r>
      <rPr>
        <sz val="10"/>
        <rFont val="Noto Sans CJK SC"/>
        <family val="2"/>
      </rPr>
      <t xml:space="preserve">ことば</t>
    </r>
    <r>
      <rPr>
        <sz val="10"/>
        <rFont val="Arial"/>
        <family val="0"/>
        <charset val="1"/>
      </rPr>
      <t xml:space="preserve">) từ ngữ </t>
    </r>
    <r>
      <rPr>
        <sz val="10"/>
        <rFont val="Noto Sans CJK SC"/>
        <family val="2"/>
      </rPr>
      <t xml:space="preserve">・ 方言 </t>
    </r>
    <r>
      <rPr>
        <sz val="10"/>
        <rFont val="Arial"/>
        <family val="0"/>
        <charset val="1"/>
      </rPr>
      <t xml:space="preserve">(</t>
    </r>
    <r>
      <rPr>
        <sz val="10"/>
        <rFont val="Noto Sans CJK SC"/>
        <family val="2"/>
      </rPr>
      <t xml:space="preserve">ほうげん</t>
    </r>
    <r>
      <rPr>
        <sz val="10"/>
        <rFont val="Arial"/>
        <family val="0"/>
        <charset val="1"/>
      </rPr>
      <t xml:space="preserve">) phương ngữ</t>
    </r>
  </si>
  <si>
    <r>
      <rPr>
        <sz val="10"/>
        <rFont val="Arial"/>
        <family val="0"/>
        <charset val="1"/>
      </rPr>
      <t xml:space="preserve">Cái miệng </t>
    </r>
    <r>
      <rPr>
        <sz val="10"/>
        <rFont val="Noto Sans CJK SC"/>
        <family val="2"/>
      </rPr>
      <t xml:space="preserve">口 </t>
    </r>
    <r>
      <rPr>
        <sz val="10"/>
        <rFont val="Arial"/>
        <family val="0"/>
        <charset val="1"/>
      </rPr>
      <t xml:space="preserve">bên dưới, các vạch bên trên là sóng âm phát ra = LỜI NÓI. Chữ nào có </t>
    </r>
    <r>
      <rPr>
        <sz val="10"/>
        <rFont val="Noto Sans CJK SC"/>
        <family val="2"/>
      </rPr>
      <t xml:space="preserve">言 </t>
    </r>
    <r>
      <rPr>
        <sz val="10"/>
        <rFont val="Arial"/>
        <family val="0"/>
        <charset val="1"/>
      </rPr>
      <t xml:space="preserve">đều liên quan đến nói.</t>
    </r>
  </si>
  <si>
    <t xml:space="preserve">八</t>
  </si>
  <si>
    <t xml:space="preserve">BÁT</t>
  </si>
  <si>
    <t xml:space="preserve">Tám</t>
  </si>
  <si>
    <t xml:space="preserve">ハチ</t>
  </si>
  <si>
    <r>
      <rPr>
        <sz val="10"/>
        <rFont val="Noto Sans CJK SC"/>
        <family val="2"/>
      </rPr>
      <t xml:space="preserve">やっ</t>
    </r>
    <r>
      <rPr>
        <sz val="10"/>
        <rFont val="Arial"/>
        <family val="0"/>
        <charset val="1"/>
      </rPr>
      <t xml:space="preserve">(</t>
    </r>
    <r>
      <rPr>
        <sz val="10"/>
        <rFont val="Noto Sans CJK SC"/>
        <family val="2"/>
      </rPr>
      <t xml:space="preserve">つ</t>
    </r>
    <r>
      <rPr>
        <sz val="10"/>
        <rFont val="Arial"/>
        <family val="0"/>
        <charset val="1"/>
      </rPr>
      <t xml:space="preserve">)</t>
    </r>
  </si>
  <si>
    <r>
      <rPr>
        <sz val="10"/>
        <rFont val="Noto Sans CJK SC"/>
        <family val="2"/>
      </rPr>
      <t xml:space="preserve">八つ </t>
    </r>
    <r>
      <rPr>
        <sz val="10"/>
        <rFont val="Arial"/>
        <family val="0"/>
        <charset val="1"/>
      </rPr>
      <t xml:space="preserve">(</t>
    </r>
    <r>
      <rPr>
        <sz val="10"/>
        <rFont val="Noto Sans CJK SC"/>
        <family val="2"/>
      </rPr>
      <t xml:space="preserve">やっつ</t>
    </r>
    <r>
      <rPr>
        <sz val="10"/>
        <rFont val="Arial"/>
        <family val="0"/>
        <charset val="1"/>
      </rPr>
      <t xml:space="preserve">) tám cái </t>
    </r>
    <r>
      <rPr>
        <sz val="10"/>
        <rFont val="Noto Sans CJK SC"/>
        <family val="2"/>
      </rPr>
      <t xml:space="preserve">・ 八月 </t>
    </r>
    <r>
      <rPr>
        <sz val="10"/>
        <rFont val="Arial"/>
        <family val="0"/>
        <charset val="1"/>
      </rPr>
      <t xml:space="preserve">(</t>
    </r>
    <r>
      <rPr>
        <sz val="10"/>
        <rFont val="Noto Sans CJK SC"/>
        <family val="2"/>
      </rPr>
      <t xml:space="preserve">はちがつ</t>
    </r>
    <r>
      <rPr>
        <sz val="10"/>
        <rFont val="Arial"/>
        <family val="0"/>
        <charset val="1"/>
      </rPr>
      <t xml:space="preserve">) tháng Tám </t>
    </r>
    <r>
      <rPr>
        <sz val="10"/>
        <rFont val="Noto Sans CJK SC"/>
        <family val="2"/>
      </rPr>
      <t xml:space="preserve">・ 八時 </t>
    </r>
    <r>
      <rPr>
        <sz val="10"/>
        <rFont val="Arial"/>
        <family val="0"/>
        <charset val="1"/>
      </rPr>
      <t xml:space="preserve">(</t>
    </r>
    <r>
      <rPr>
        <sz val="10"/>
        <rFont val="Noto Sans CJK SC"/>
        <family val="2"/>
      </rPr>
      <t xml:space="preserve">はちじ</t>
    </r>
    <r>
      <rPr>
        <sz val="10"/>
        <rFont val="Arial"/>
        <family val="0"/>
        <charset val="1"/>
      </rPr>
      <t xml:space="preserve">) tám giờ</t>
    </r>
  </si>
  <si>
    <t xml:space="preserve">Hai nét tách ra hai bên, giống số 8 bị bổ đôi.</t>
  </si>
  <si>
    <t xml:space="preserve">六</t>
  </si>
  <si>
    <t xml:space="preserve">LỤC</t>
  </si>
  <si>
    <t xml:space="preserve">Sáu</t>
  </si>
  <si>
    <t xml:space="preserve">ロク</t>
  </si>
  <si>
    <r>
      <rPr>
        <sz val="10"/>
        <rFont val="Noto Sans CJK SC"/>
        <family val="2"/>
      </rPr>
      <t xml:space="preserve">むっ</t>
    </r>
    <r>
      <rPr>
        <sz val="10"/>
        <rFont val="Arial"/>
        <family val="0"/>
        <charset val="1"/>
      </rPr>
      <t xml:space="preserve">(</t>
    </r>
    <r>
      <rPr>
        <sz val="10"/>
        <rFont val="Noto Sans CJK SC"/>
        <family val="2"/>
      </rPr>
      <t xml:space="preserve">つ</t>
    </r>
    <r>
      <rPr>
        <sz val="10"/>
        <rFont val="Arial"/>
        <family val="0"/>
        <charset val="1"/>
      </rPr>
      <t xml:space="preserve">)</t>
    </r>
  </si>
  <si>
    <r>
      <rPr>
        <sz val="10"/>
        <rFont val="Noto Sans CJK SC"/>
        <family val="2"/>
      </rPr>
      <t xml:space="preserve">六つ </t>
    </r>
    <r>
      <rPr>
        <sz val="10"/>
        <rFont val="Arial"/>
        <family val="0"/>
        <charset val="1"/>
      </rPr>
      <t xml:space="preserve">(</t>
    </r>
    <r>
      <rPr>
        <sz val="10"/>
        <rFont val="Noto Sans CJK SC"/>
        <family val="2"/>
      </rPr>
      <t xml:space="preserve">むっつ</t>
    </r>
    <r>
      <rPr>
        <sz val="10"/>
        <rFont val="Arial"/>
        <family val="0"/>
        <charset val="1"/>
      </rPr>
      <t xml:space="preserve">) sáu cái </t>
    </r>
    <r>
      <rPr>
        <sz val="10"/>
        <rFont val="Noto Sans CJK SC"/>
        <family val="2"/>
      </rPr>
      <t xml:space="preserve">・ 六月 </t>
    </r>
    <r>
      <rPr>
        <sz val="10"/>
        <rFont val="Arial"/>
        <family val="0"/>
        <charset val="1"/>
      </rPr>
      <t xml:space="preserve">(</t>
    </r>
    <r>
      <rPr>
        <sz val="10"/>
        <rFont val="Noto Sans CJK SC"/>
        <family val="2"/>
      </rPr>
      <t xml:space="preserve">ろくがつ</t>
    </r>
    <r>
      <rPr>
        <sz val="10"/>
        <rFont val="Arial"/>
        <family val="0"/>
        <charset val="1"/>
      </rPr>
      <t xml:space="preserve">) tháng Sáu </t>
    </r>
    <r>
      <rPr>
        <sz val="10"/>
        <rFont val="Noto Sans CJK SC"/>
        <family val="2"/>
      </rPr>
      <t xml:space="preserve">・ 六時 </t>
    </r>
    <r>
      <rPr>
        <sz val="10"/>
        <rFont val="Arial"/>
        <family val="0"/>
        <charset val="1"/>
      </rPr>
      <t xml:space="preserve">(</t>
    </r>
    <r>
      <rPr>
        <sz val="10"/>
        <rFont val="Noto Sans CJK SC"/>
        <family val="2"/>
      </rPr>
      <t xml:space="preserve">ろくじ</t>
    </r>
    <r>
      <rPr>
        <sz val="10"/>
        <rFont val="Arial"/>
        <family val="0"/>
        <charset val="1"/>
      </rPr>
      <t xml:space="preserve">) sáu giờ</t>
    </r>
  </si>
  <si>
    <r>
      <rPr>
        <sz val="10"/>
        <rFont val="Arial"/>
        <family val="0"/>
        <charset val="1"/>
      </rPr>
      <t xml:space="preserve">Cái nắp </t>
    </r>
    <r>
      <rPr>
        <sz val="10"/>
        <rFont val="Noto Sans CJK SC"/>
        <family val="2"/>
      </rPr>
      <t xml:space="preserve">亠 </t>
    </r>
    <r>
      <rPr>
        <sz val="10"/>
        <rFont val="Arial"/>
        <family val="0"/>
        <charset val="1"/>
      </rPr>
      <t xml:space="preserve">trên hai chân = con số 6 đội mũ.</t>
    </r>
  </si>
  <si>
    <t xml:space="preserve">下</t>
  </si>
  <si>
    <t xml:space="preserve">HẠ</t>
  </si>
  <si>
    <t xml:space="preserve">Dưới, xuống</t>
  </si>
  <si>
    <t xml:space="preserve">カ・ゲ</t>
  </si>
  <si>
    <r>
      <rPr>
        <sz val="10"/>
        <rFont val="Noto Sans CJK SC"/>
        <family val="2"/>
      </rPr>
      <t xml:space="preserve">した・さ</t>
    </r>
    <r>
      <rPr>
        <sz val="10"/>
        <rFont val="Arial"/>
        <family val="0"/>
        <charset val="1"/>
      </rPr>
      <t xml:space="preserve">(</t>
    </r>
    <r>
      <rPr>
        <sz val="10"/>
        <rFont val="Noto Sans CJK SC"/>
        <family val="2"/>
      </rPr>
      <t xml:space="preserve">がる</t>
    </r>
    <r>
      <rPr>
        <sz val="10"/>
        <rFont val="Arial"/>
        <family val="0"/>
        <charset val="1"/>
      </rPr>
      <t xml:space="preserve">)</t>
    </r>
    <r>
      <rPr>
        <sz val="10"/>
        <rFont val="Noto Sans CJK SC"/>
        <family val="2"/>
      </rPr>
      <t xml:space="preserve">・くだ</t>
    </r>
    <r>
      <rPr>
        <sz val="10"/>
        <rFont val="Arial"/>
        <family val="0"/>
        <charset val="1"/>
      </rPr>
      <t xml:space="preserve">(</t>
    </r>
    <r>
      <rPr>
        <sz val="10"/>
        <rFont val="Noto Sans CJK SC"/>
        <family val="2"/>
      </rPr>
      <t xml:space="preserve">さい</t>
    </r>
    <r>
      <rPr>
        <sz val="10"/>
        <rFont val="Arial"/>
        <family val="0"/>
        <charset val="1"/>
      </rPr>
      <t xml:space="preserve">)</t>
    </r>
  </si>
  <si>
    <r>
      <rPr>
        <sz val="10"/>
        <rFont val="Noto Sans CJK SC"/>
        <family val="2"/>
      </rPr>
      <t xml:space="preserve">下 </t>
    </r>
    <r>
      <rPr>
        <sz val="10"/>
        <rFont val="Arial"/>
        <family val="0"/>
        <charset val="1"/>
      </rPr>
      <t xml:space="preserve">(</t>
    </r>
    <r>
      <rPr>
        <sz val="10"/>
        <rFont val="Noto Sans CJK SC"/>
        <family val="2"/>
      </rPr>
      <t xml:space="preserve">した</t>
    </r>
    <r>
      <rPr>
        <sz val="10"/>
        <rFont val="Arial"/>
        <family val="0"/>
        <charset val="1"/>
      </rPr>
      <t xml:space="preserve">) bên dưới </t>
    </r>
    <r>
      <rPr>
        <sz val="10"/>
        <rFont val="Noto Sans CJK SC"/>
        <family val="2"/>
      </rPr>
      <t xml:space="preserve">・ 地下 </t>
    </r>
    <r>
      <rPr>
        <sz val="10"/>
        <rFont val="Arial"/>
        <family val="0"/>
        <charset val="1"/>
      </rPr>
      <t xml:space="preserve">(</t>
    </r>
    <r>
      <rPr>
        <sz val="10"/>
        <rFont val="Noto Sans CJK SC"/>
        <family val="2"/>
      </rPr>
      <t xml:space="preserve">ちか</t>
    </r>
    <r>
      <rPr>
        <sz val="10"/>
        <rFont val="Arial"/>
        <family val="0"/>
        <charset val="1"/>
      </rPr>
      <t xml:space="preserve">) tầng hầm </t>
    </r>
    <r>
      <rPr>
        <sz val="10"/>
        <rFont val="Noto Sans CJK SC"/>
        <family val="2"/>
      </rPr>
      <t xml:space="preserve">・ 下さい </t>
    </r>
    <r>
      <rPr>
        <sz val="10"/>
        <rFont val="Arial"/>
        <family val="0"/>
        <charset val="1"/>
      </rPr>
      <t xml:space="preserve">(</t>
    </r>
    <r>
      <rPr>
        <sz val="10"/>
        <rFont val="Noto Sans CJK SC"/>
        <family val="2"/>
      </rPr>
      <t xml:space="preserve">ください</t>
    </r>
    <r>
      <rPr>
        <sz val="10"/>
        <rFont val="Arial"/>
        <family val="0"/>
        <charset val="1"/>
      </rPr>
      <t xml:space="preserve">) xin hãy</t>
    </r>
  </si>
  <si>
    <r>
      <rPr>
        <sz val="10"/>
        <rFont val="Arial"/>
        <family val="0"/>
        <charset val="1"/>
      </rPr>
      <t xml:space="preserve">Một vạch mốc, có nét thò XUỐNG phía dưới. Lộn ngược của </t>
    </r>
    <r>
      <rPr>
        <sz val="10"/>
        <rFont val="Noto Sans CJK SC"/>
        <family val="2"/>
      </rPr>
      <t xml:space="preserve">上</t>
    </r>
    <r>
      <rPr>
        <sz val="10"/>
        <rFont val="Arial"/>
        <family val="0"/>
        <charset val="1"/>
      </rPr>
      <t xml:space="preserve">.</t>
    </r>
  </si>
  <si>
    <t xml:space="preserve">来</t>
  </si>
  <si>
    <t xml:space="preserve">LAI</t>
  </si>
  <si>
    <t xml:space="preserve">Đến, tới</t>
  </si>
  <si>
    <t xml:space="preserve">ライ</t>
  </si>
  <si>
    <r>
      <rPr>
        <sz val="10"/>
        <rFont val="Noto Sans CJK SC"/>
        <family val="2"/>
      </rPr>
      <t xml:space="preserve">く</t>
    </r>
    <r>
      <rPr>
        <sz val="10"/>
        <rFont val="Arial"/>
        <family val="0"/>
        <charset val="1"/>
      </rPr>
      <t xml:space="preserve">(</t>
    </r>
    <r>
      <rPr>
        <sz val="10"/>
        <rFont val="Noto Sans CJK SC"/>
        <family val="2"/>
      </rPr>
      <t xml:space="preserve">る</t>
    </r>
    <r>
      <rPr>
        <sz val="10"/>
        <rFont val="Arial"/>
        <family val="0"/>
        <charset val="1"/>
      </rPr>
      <t xml:space="preserve">)</t>
    </r>
  </si>
  <si>
    <r>
      <rPr>
        <sz val="10"/>
        <rFont val="Noto Sans CJK SC"/>
        <family val="2"/>
      </rPr>
      <t xml:space="preserve">来ます </t>
    </r>
    <r>
      <rPr>
        <sz val="10"/>
        <rFont val="Arial"/>
        <family val="0"/>
        <charset val="1"/>
      </rPr>
      <t xml:space="preserve">(</t>
    </r>
    <r>
      <rPr>
        <sz val="10"/>
        <rFont val="Noto Sans CJK SC"/>
        <family val="2"/>
      </rPr>
      <t xml:space="preserve">きます</t>
    </r>
    <r>
      <rPr>
        <sz val="10"/>
        <rFont val="Arial"/>
        <family val="0"/>
        <charset val="1"/>
      </rPr>
      <t xml:space="preserve">) đến </t>
    </r>
    <r>
      <rPr>
        <sz val="10"/>
        <rFont val="Noto Sans CJK SC"/>
        <family val="2"/>
      </rPr>
      <t xml:space="preserve">・ 来年 </t>
    </r>
    <r>
      <rPr>
        <sz val="10"/>
        <rFont val="Arial"/>
        <family val="0"/>
        <charset val="1"/>
      </rPr>
      <t xml:space="preserve">(</t>
    </r>
    <r>
      <rPr>
        <sz val="10"/>
        <rFont val="Noto Sans CJK SC"/>
        <family val="2"/>
      </rPr>
      <t xml:space="preserve">らいねん</t>
    </r>
    <r>
      <rPr>
        <sz val="10"/>
        <rFont val="Arial"/>
        <family val="0"/>
        <charset val="1"/>
      </rPr>
      <t xml:space="preserve">) năm sau </t>
    </r>
    <r>
      <rPr>
        <sz val="10"/>
        <rFont val="Noto Sans CJK SC"/>
        <family val="2"/>
      </rPr>
      <t xml:space="preserve">・ 来週 </t>
    </r>
    <r>
      <rPr>
        <sz val="10"/>
        <rFont val="Arial"/>
        <family val="0"/>
        <charset val="1"/>
      </rPr>
      <t xml:space="preserve">(</t>
    </r>
    <r>
      <rPr>
        <sz val="10"/>
        <rFont val="Noto Sans CJK SC"/>
        <family val="2"/>
      </rPr>
      <t xml:space="preserve">らいしゅう</t>
    </r>
    <r>
      <rPr>
        <sz val="10"/>
        <rFont val="Arial"/>
        <family val="0"/>
        <charset val="1"/>
      </rPr>
      <t xml:space="preserve">) tuần sau</t>
    </r>
  </si>
  <si>
    <r>
      <rPr>
        <sz val="10"/>
        <rFont val="Arial"/>
        <family val="0"/>
        <charset val="1"/>
      </rPr>
      <t xml:space="preserve">Hình cây lúa chín. Mùa gặt ĐẾN. Chú ý chia bất quy tắc: </t>
    </r>
    <r>
      <rPr>
        <sz val="10"/>
        <rFont val="Noto Sans CJK SC"/>
        <family val="2"/>
      </rPr>
      <t xml:space="preserve">来る→来ます </t>
    </r>
    <r>
      <rPr>
        <sz val="10"/>
        <rFont val="Arial"/>
        <family val="0"/>
        <charset val="1"/>
      </rPr>
      <t xml:space="preserve">(</t>
    </r>
    <r>
      <rPr>
        <sz val="10"/>
        <rFont val="Noto Sans CJK SC"/>
        <family val="2"/>
      </rPr>
      <t xml:space="preserve">きます</t>
    </r>
    <r>
      <rPr>
        <sz val="10"/>
        <rFont val="Arial"/>
        <family val="0"/>
        <charset val="1"/>
      </rPr>
      <t xml:space="preserve">)→</t>
    </r>
    <r>
      <rPr>
        <sz val="10"/>
        <rFont val="Noto Sans CJK SC"/>
        <family val="2"/>
      </rPr>
      <t xml:space="preserve">来ない </t>
    </r>
    <r>
      <rPr>
        <sz val="10"/>
        <rFont val="Arial"/>
        <family val="0"/>
        <charset val="1"/>
      </rPr>
      <t xml:space="preserve">(</t>
    </r>
    <r>
      <rPr>
        <sz val="10"/>
        <rFont val="Noto Sans CJK SC"/>
        <family val="2"/>
      </rPr>
      <t xml:space="preserve">こない</t>
    </r>
    <r>
      <rPr>
        <sz val="10"/>
        <rFont val="Arial"/>
        <family val="0"/>
        <charset val="1"/>
      </rPr>
      <t xml:space="preserve">).</t>
    </r>
  </si>
  <si>
    <t xml:space="preserve">気</t>
  </si>
  <si>
    <t xml:space="preserve">KHÍ</t>
  </si>
  <si>
    <t xml:space="preserve">Khí, tinh thần, tâm trạng</t>
  </si>
  <si>
    <t xml:space="preserve">キ・ケ</t>
  </si>
  <si>
    <r>
      <rPr>
        <sz val="10"/>
        <rFont val="Noto Sans CJK SC"/>
        <family val="2"/>
      </rPr>
      <t xml:space="preserve">元気 </t>
    </r>
    <r>
      <rPr>
        <sz val="10"/>
        <rFont val="Arial"/>
        <family val="0"/>
        <charset val="1"/>
      </rPr>
      <t xml:space="preserve">(</t>
    </r>
    <r>
      <rPr>
        <sz val="10"/>
        <rFont val="Noto Sans CJK SC"/>
        <family val="2"/>
      </rPr>
      <t xml:space="preserve">げんき</t>
    </r>
    <r>
      <rPr>
        <sz val="10"/>
        <rFont val="Arial"/>
        <family val="0"/>
        <charset val="1"/>
      </rPr>
      <t xml:space="preserve">) khỏe </t>
    </r>
    <r>
      <rPr>
        <sz val="10"/>
        <rFont val="Noto Sans CJK SC"/>
        <family val="2"/>
      </rPr>
      <t xml:space="preserve">・ 天気 </t>
    </r>
    <r>
      <rPr>
        <sz val="10"/>
        <rFont val="Arial"/>
        <family val="0"/>
        <charset val="1"/>
      </rPr>
      <t xml:space="preserve">(</t>
    </r>
    <r>
      <rPr>
        <sz val="10"/>
        <rFont val="Noto Sans CJK SC"/>
        <family val="2"/>
      </rPr>
      <t xml:space="preserve">てんき</t>
    </r>
    <r>
      <rPr>
        <sz val="10"/>
        <rFont val="Arial"/>
        <family val="0"/>
        <charset val="1"/>
      </rPr>
      <t xml:space="preserve">) thời tiết </t>
    </r>
    <r>
      <rPr>
        <sz val="10"/>
        <rFont val="Noto Sans CJK SC"/>
        <family val="2"/>
      </rPr>
      <t xml:space="preserve">・ 電気 </t>
    </r>
    <r>
      <rPr>
        <sz val="10"/>
        <rFont val="Arial"/>
        <family val="0"/>
        <charset val="1"/>
      </rPr>
      <t xml:space="preserve">(</t>
    </r>
    <r>
      <rPr>
        <sz val="10"/>
        <rFont val="Noto Sans CJK SC"/>
        <family val="2"/>
      </rPr>
      <t xml:space="preserve">でんき</t>
    </r>
    <r>
      <rPr>
        <sz val="10"/>
        <rFont val="Arial"/>
        <family val="0"/>
        <charset val="1"/>
      </rPr>
      <t xml:space="preserve">) điện</t>
    </r>
  </si>
  <si>
    <t xml:space="preserve">Hơi nước bốc lên từ nồi cơm = KHÍ. Khí trong người = tinh thần, khí ngoài trời = thời tiết.</t>
  </si>
  <si>
    <t xml:space="preserve">TIỂU</t>
  </si>
  <si>
    <t xml:space="preserve">Nhỏ</t>
  </si>
  <si>
    <t xml:space="preserve">ショウ</t>
  </si>
  <si>
    <r>
      <rPr>
        <sz val="10"/>
        <rFont val="Noto Sans CJK SC"/>
        <family val="2"/>
      </rPr>
      <t xml:space="preserve">ちい</t>
    </r>
    <r>
      <rPr>
        <sz val="10"/>
        <rFont val="Arial"/>
        <family val="0"/>
        <charset val="1"/>
      </rPr>
      <t xml:space="preserve">(</t>
    </r>
    <r>
      <rPr>
        <sz val="10"/>
        <rFont val="Noto Sans CJK SC"/>
        <family val="2"/>
      </rPr>
      <t xml:space="preserve">さい</t>
    </r>
    <r>
      <rPr>
        <sz val="10"/>
        <rFont val="Arial"/>
        <family val="0"/>
        <charset val="1"/>
      </rPr>
      <t xml:space="preserve">)</t>
    </r>
    <r>
      <rPr>
        <sz val="10"/>
        <rFont val="Noto Sans CJK SC"/>
        <family val="2"/>
      </rPr>
      <t xml:space="preserve">・こ</t>
    </r>
  </si>
  <si>
    <r>
      <rPr>
        <sz val="10"/>
        <rFont val="Noto Sans CJK SC"/>
        <family val="2"/>
      </rPr>
      <t xml:space="preserve">小さい </t>
    </r>
    <r>
      <rPr>
        <sz val="10"/>
        <rFont val="Arial"/>
        <family val="0"/>
        <charset val="1"/>
      </rPr>
      <t xml:space="preserve">(</t>
    </r>
    <r>
      <rPr>
        <sz val="10"/>
        <rFont val="Noto Sans CJK SC"/>
        <family val="2"/>
      </rPr>
      <t xml:space="preserve">ちいさい</t>
    </r>
    <r>
      <rPr>
        <sz val="10"/>
        <rFont val="Arial"/>
        <family val="0"/>
        <charset val="1"/>
      </rPr>
      <t xml:space="preserve">) nhỏ </t>
    </r>
    <r>
      <rPr>
        <sz val="10"/>
        <rFont val="Noto Sans CJK SC"/>
        <family val="2"/>
      </rPr>
      <t xml:space="preserve">・ 小学校 </t>
    </r>
    <r>
      <rPr>
        <sz val="10"/>
        <rFont val="Arial"/>
        <family val="0"/>
        <charset val="1"/>
      </rPr>
      <t xml:space="preserve">(</t>
    </r>
    <r>
      <rPr>
        <sz val="10"/>
        <rFont val="Noto Sans CJK SC"/>
        <family val="2"/>
      </rPr>
      <t xml:space="preserve">しょうがっこう</t>
    </r>
    <r>
      <rPr>
        <sz val="10"/>
        <rFont val="Arial"/>
        <family val="0"/>
        <charset val="1"/>
      </rPr>
      <t xml:space="preserve">) trường tiểu học </t>
    </r>
    <r>
      <rPr>
        <sz val="10"/>
        <rFont val="Noto Sans CJK SC"/>
        <family val="2"/>
      </rPr>
      <t xml:space="preserve">・ 小説 </t>
    </r>
    <r>
      <rPr>
        <sz val="10"/>
        <rFont val="Arial"/>
        <family val="0"/>
        <charset val="1"/>
      </rPr>
      <t xml:space="preserve">(</t>
    </r>
    <r>
      <rPr>
        <sz val="10"/>
        <rFont val="Noto Sans CJK SC"/>
        <family val="2"/>
      </rPr>
      <t xml:space="preserve">しょうせつ</t>
    </r>
    <r>
      <rPr>
        <sz val="10"/>
        <rFont val="Arial"/>
        <family val="0"/>
        <charset val="1"/>
      </rPr>
      <t xml:space="preserve">) tiểu thuyết</t>
    </r>
  </si>
  <si>
    <r>
      <rPr>
        <sz val="10"/>
        <rFont val="Arial"/>
        <family val="0"/>
        <charset val="1"/>
      </rPr>
      <t xml:space="preserve">Ba chấm bé xíu chụm lại. Ngược với </t>
    </r>
    <r>
      <rPr>
        <sz val="10"/>
        <rFont val="Noto Sans CJK SC"/>
        <family val="2"/>
      </rPr>
      <t xml:space="preserve">大</t>
    </r>
    <r>
      <rPr>
        <sz val="10"/>
        <rFont val="Arial"/>
        <family val="0"/>
        <charset val="1"/>
      </rPr>
      <t xml:space="preserve">.</t>
    </r>
  </si>
  <si>
    <t xml:space="preserve">七</t>
  </si>
  <si>
    <t xml:space="preserve">THẤT</t>
  </si>
  <si>
    <t xml:space="preserve">Bảy</t>
  </si>
  <si>
    <t xml:space="preserve">シチ</t>
  </si>
  <si>
    <r>
      <rPr>
        <sz val="10"/>
        <rFont val="Noto Sans CJK SC"/>
        <family val="2"/>
      </rPr>
      <t xml:space="preserve">なな</t>
    </r>
    <r>
      <rPr>
        <sz val="10"/>
        <rFont val="Arial"/>
        <family val="0"/>
        <charset val="1"/>
      </rPr>
      <t xml:space="preserve">(</t>
    </r>
    <r>
      <rPr>
        <sz val="10"/>
        <rFont val="Noto Sans CJK SC"/>
        <family val="2"/>
      </rPr>
      <t xml:space="preserve">つ</t>
    </r>
    <r>
      <rPr>
        <sz val="10"/>
        <rFont val="Arial"/>
        <family val="0"/>
        <charset val="1"/>
      </rPr>
      <t xml:space="preserve">)</t>
    </r>
  </si>
  <si>
    <r>
      <rPr>
        <sz val="10"/>
        <rFont val="Noto Sans CJK SC"/>
        <family val="2"/>
      </rPr>
      <t xml:space="preserve">七つ </t>
    </r>
    <r>
      <rPr>
        <sz val="10"/>
        <rFont val="Arial"/>
        <family val="0"/>
        <charset val="1"/>
      </rPr>
      <t xml:space="preserve">(</t>
    </r>
    <r>
      <rPr>
        <sz val="10"/>
        <rFont val="Noto Sans CJK SC"/>
        <family val="2"/>
      </rPr>
      <t xml:space="preserve">ななつ</t>
    </r>
    <r>
      <rPr>
        <sz val="10"/>
        <rFont val="Arial"/>
        <family val="0"/>
        <charset val="1"/>
      </rPr>
      <t xml:space="preserve">) bảy cái </t>
    </r>
    <r>
      <rPr>
        <sz val="10"/>
        <rFont val="Noto Sans CJK SC"/>
        <family val="2"/>
      </rPr>
      <t xml:space="preserve">・ 七月 </t>
    </r>
    <r>
      <rPr>
        <sz val="10"/>
        <rFont val="Arial"/>
        <family val="0"/>
        <charset val="1"/>
      </rPr>
      <t xml:space="preserve">(</t>
    </r>
    <r>
      <rPr>
        <sz val="10"/>
        <rFont val="Noto Sans CJK SC"/>
        <family val="2"/>
      </rPr>
      <t xml:space="preserve">しちがつ</t>
    </r>
    <r>
      <rPr>
        <sz val="10"/>
        <rFont val="Arial"/>
        <family val="0"/>
        <charset val="1"/>
      </rPr>
      <t xml:space="preserve">) tháng Bảy </t>
    </r>
    <r>
      <rPr>
        <sz val="10"/>
        <rFont val="Noto Sans CJK SC"/>
        <family val="2"/>
      </rPr>
      <t xml:space="preserve">・ 七時 </t>
    </r>
    <r>
      <rPr>
        <sz val="10"/>
        <rFont val="Arial"/>
        <family val="0"/>
        <charset val="1"/>
      </rPr>
      <t xml:space="preserve">(</t>
    </r>
    <r>
      <rPr>
        <sz val="10"/>
        <rFont val="Noto Sans CJK SC"/>
        <family val="2"/>
      </rPr>
      <t xml:space="preserve">しちじ</t>
    </r>
    <r>
      <rPr>
        <sz val="10"/>
        <rFont val="Arial"/>
        <family val="0"/>
        <charset val="1"/>
      </rPr>
      <t xml:space="preserve">) bảy giờ</t>
    </r>
  </si>
  <si>
    <r>
      <rPr>
        <sz val="10"/>
        <rFont val="Arial"/>
        <family val="0"/>
        <charset val="1"/>
      </rPr>
      <t xml:space="preserve">Giống số 7 viết ngược. Đọc là </t>
    </r>
    <r>
      <rPr>
        <sz val="10"/>
        <rFont val="Noto Sans CJK SC"/>
        <family val="2"/>
      </rPr>
      <t xml:space="preserve">なな </t>
    </r>
    <r>
      <rPr>
        <sz val="10"/>
        <rFont val="Arial"/>
        <family val="0"/>
        <charset val="1"/>
      </rPr>
      <t xml:space="preserve">hoặc </t>
    </r>
    <r>
      <rPr>
        <sz val="10"/>
        <rFont val="Noto Sans CJK SC"/>
        <family val="2"/>
      </rPr>
      <t xml:space="preserve">しち — </t>
    </r>
    <r>
      <rPr>
        <sz val="10"/>
        <rFont val="Arial"/>
        <family val="0"/>
        <charset val="1"/>
      </rPr>
      <t xml:space="preserve">trong đề thi hay hỏi </t>
    </r>
    <r>
      <rPr>
        <sz val="10"/>
        <rFont val="Noto Sans CJK SC"/>
        <family val="2"/>
      </rPr>
      <t xml:space="preserve">七時 </t>
    </r>
    <r>
      <rPr>
        <sz val="10"/>
        <rFont val="Arial"/>
        <family val="0"/>
        <charset val="1"/>
      </rPr>
      <t xml:space="preserve">(</t>
    </r>
    <r>
      <rPr>
        <sz val="10"/>
        <rFont val="Noto Sans CJK SC"/>
        <family val="2"/>
      </rPr>
      <t xml:space="preserve">しちじ</t>
    </r>
    <r>
      <rPr>
        <sz val="10"/>
        <rFont val="Arial"/>
        <family val="0"/>
        <charset val="1"/>
      </rPr>
      <t xml:space="preserve">).</t>
    </r>
  </si>
  <si>
    <t xml:space="preserve">SƠN</t>
  </si>
  <si>
    <t xml:space="preserve">やま</t>
  </si>
  <si>
    <r>
      <rPr>
        <sz val="10"/>
        <rFont val="Noto Sans CJK SC"/>
        <family val="2"/>
      </rPr>
      <t xml:space="preserve">山 </t>
    </r>
    <r>
      <rPr>
        <sz val="10"/>
        <rFont val="Arial"/>
        <family val="0"/>
        <charset val="1"/>
      </rPr>
      <t xml:space="preserve">(</t>
    </r>
    <r>
      <rPr>
        <sz val="10"/>
        <rFont val="Noto Sans CJK SC"/>
        <family val="2"/>
      </rPr>
      <t xml:space="preserve">やま</t>
    </r>
    <r>
      <rPr>
        <sz val="10"/>
        <rFont val="Arial"/>
        <family val="0"/>
        <charset val="1"/>
      </rPr>
      <t xml:space="preserve">) núi </t>
    </r>
    <r>
      <rPr>
        <sz val="10"/>
        <rFont val="Noto Sans CJK SC"/>
        <family val="2"/>
      </rPr>
      <t xml:space="preserve">・ 富士山 </t>
    </r>
    <r>
      <rPr>
        <sz val="10"/>
        <rFont val="Arial"/>
        <family val="0"/>
        <charset val="1"/>
      </rPr>
      <t xml:space="preserve">(</t>
    </r>
    <r>
      <rPr>
        <sz val="10"/>
        <rFont val="Noto Sans CJK SC"/>
        <family val="2"/>
      </rPr>
      <t xml:space="preserve">ふじさん</t>
    </r>
    <r>
      <rPr>
        <sz val="10"/>
        <rFont val="Arial"/>
        <family val="0"/>
        <charset val="1"/>
      </rPr>
      <t xml:space="preserve">) núi Phú Sĩ </t>
    </r>
    <r>
      <rPr>
        <sz val="10"/>
        <rFont val="Noto Sans CJK SC"/>
        <family val="2"/>
      </rPr>
      <t xml:space="preserve">・ 火山 </t>
    </r>
    <r>
      <rPr>
        <sz val="10"/>
        <rFont val="Arial"/>
        <family val="0"/>
        <charset val="1"/>
      </rPr>
      <t xml:space="preserve">(</t>
    </r>
    <r>
      <rPr>
        <sz val="10"/>
        <rFont val="Noto Sans CJK SC"/>
        <family val="2"/>
      </rPr>
      <t xml:space="preserve">かざん</t>
    </r>
    <r>
      <rPr>
        <sz val="10"/>
        <rFont val="Arial"/>
        <family val="0"/>
        <charset val="1"/>
      </rPr>
      <t xml:space="preserve">) núi lửa</t>
    </r>
  </si>
  <si>
    <t xml:space="preserve">Ba đỉnh NÚI nhô lên khỏi mặt đất, đỉnh giữa cao nhất.</t>
  </si>
  <si>
    <t xml:space="preserve">話</t>
  </si>
  <si>
    <t xml:space="preserve">THOẠI</t>
  </si>
  <si>
    <t xml:space="preserve">Nói chuyện, câu chuyện</t>
  </si>
  <si>
    <r>
      <rPr>
        <sz val="10"/>
        <rFont val="Noto Sans CJK SC"/>
        <family val="2"/>
      </rPr>
      <t xml:space="preserve">はな</t>
    </r>
    <r>
      <rPr>
        <sz val="10"/>
        <rFont val="Arial"/>
        <family val="0"/>
        <charset val="1"/>
      </rPr>
      <t xml:space="preserve">(</t>
    </r>
    <r>
      <rPr>
        <sz val="10"/>
        <rFont val="Noto Sans CJK SC"/>
        <family val="2"/>
      </rPr>
      <t xml:space="preserve">す</t>
    </r>
    <r>
      <rPr>
        <sz val="10"/>
        <rFont val="Arial"/>
        <family val="0"/>
        <charset val="1"/>
      </rPr>
      <t xml:space="preserve">)</t>
    </r>
    <r>
      <rPr>
        <sz val="10"/>
        <rFont val="Noto Sans CJK SC"/>
        <family val="2"/>
      </rPr>
      <t xml:space="preserve">・はなし</t>
    </r>
  </si>
  <si>
    <r>
      <rPr>
        <sz val="10"/>
        <rFont val="Noto Sans CJK SC"/>
        <family val="2"/>
      </rPr>
      <t xml:space="preserve">話します </t>
    </r>
    <r>
      <rPr>
        <sz val="10"/>
        <rFont val="Arial"/>
        <family val="0"/>
        <charset val="1"/>
      </rPr>
      <t xml:space="preserve">(</t>
    </r>
    <r>
      <rPr>
        <sz val="10"/>
        <rFont val="Noto Sans CJK SC"/>
        <family val="2"/>
      </rPr>
      <t xml:space="preserve">はなします</t>
    </r>
    <r>
      <rPr>
        <sz val="10"/>
        <rFont val="Arial"/>
        <family val="0"/>
        <charset val="1"/>
      </rPr>
      <t xml:space="preserve">) nói </t>
    </r>
    <r>
      <rPr>
        <sz val="10"/>
        <rFont val="Noto Sans CJK SC"/>
        <family val="2"/>
      </rPr>
      <t xml:space="preserve">・ 電話 </t>
    </r>
    <r>
      <rPr>
        <sz val="10"/>
        <rFont val="Arial"/>
        <family val="0"/>
        <charset val="1"/>
      </rPr>
      <t xml:space="preserve">(</t>
    </r>
    <r>
      <rPr>
        <sz val="10"/>
        <rFont val="Noto Sans CJK SC"/>
        <family val="2"/>
      </rPr>
      <t xml:space="preserve">でんわ</t>
    </r>
    <r>
      <rPr>
        <sz val="10"/>
        <rFont val="Arial"/>
        <family val="0"/>
        <charset val="1"/>
      </rPr>
      <t xml:space="preserve">) điện thoại </t>
    </r>
    <r>
      <rPr>
        <sz val="10"/>
        <rFont val="Noto Sans CJK SC"/>
        <family val="2"/>
      </rPr>
      <t xml:space="preserve">・ 会話 </t>
    </r>
    <r>
      <rPr>
        <sz val="10"/>
        <rFont val="Arial"/>
        <family val="0"/>
        <charset val="1"/>
      </rPr>
      <t xml:space="preserve">(</t>
    </r>
    <r>
      <rPr>
        <sz val="10"/>
        <rFont val="Noto Sans CJK SC"/>
        <family val="2"/>
      </rPr>
      <t xml:space="preserve">かいわ</t>
    </r>
    <r>
      <rPr>
        <sz val="10"/>
        <rFont val="Arial"/>
        <family val="0"/>
        <charset val="1"/>
      </rPr>
      <t xml:space="preserve">) hội thoại</t>
    </r>
  </si>
  <si>
    <r>
      <rPr>
        <sz val="10"/>
        <rFont val="Noto Sans CJK SC"/>
        <family val="2"/>
      </rPr>
      <t xml:space="preserve">言 </t>
    </r>
    <r>
      <rPr>
        <sz val="10"/>
        <rFont val="Arial"/>
        <family val="0"/>
        <charset val="1"/>
      </rPr>
      <t xml:space="preserve">(lời nói) + </t>
    </r>
    <r>
      <rPr>
        <sz val="10"/>
        <rFont val="Noto Sans CJK SC"/>
        <family val="2"/>
      </rPr>
      <t xml:space="preserve">舌 </t>
    </r>
    <r>
      <rPr>
        <sz val="10"/>
        <rFont val="Arial"/>
        <family val="0"/>
        <charset val="1"/>
      </rPr>
      <t xml:space="preserve">(cái lưỡi) = dùng lưỡi để phát ra lời → NÓI CHUYỆN.</t>
    </r>
  </si>
  <si>
    <t xml:space="preserve">多</t>
  </si>
  <si>
    <t xml:space="preserve">ĐA</t>
  </si>
  <si>
    <t xml:space="preserve">Nhiều</t>
  </si>
  <si>
    <r>
      <rPr>
        <sz val="10"/>
        <rFont val="Noto Sans CJK SC"/>
        <family val="2"/>
      </rPr>
      <t xml:space="preserve">おお</t>
    </r>
    <r>
      <rPr>
        <sz val="10"/>
        <rFont val="Arial"/>
        <family val="0"/>
        <charset val="1"/>
      </rPr>
      <t xml:space="preserve">(</t>
    </r>
    <r>
      <rPr>
        <sz val="10"/>
        <rFont val="Noto Sans CJK SC"/>
        <family val="2"/>
      </rPr>
      <t xml:space="preserve">い</t>
    </r>
    <r>
      <rPr>
        <sz val="10"/>
        <rFont val="Arial"/>
        <family val="0"/>
        <charset val="1"/>
      </rPr>
      <t xml:space="preserve">)</t>
    </r>
  </si>
  <si>
    <r>
      <rPr>
        <sz val="10"/>
        <rFont val="Noto Sans CJK SC"/>
        <family val="2"/>
      </rPr>
      <t xml:space="preserve">多い </t>
    </r>
    <r>
      <rPr>
        <sz val="10"/>
        <rFont val="Arial"/>
        <family val="0"/>
        <charset val="1"/>
      </rPr>
      <t xml:space="preserve">(</t>
    </r>
    <r>
      <rPr>
        <sz val="10"/>
        <rFont val="Noto Sans CJK SC"/>
        <family val="2"/>
      </rPr>
      <t xml:space="preserve">おおい</t>
    </r>
    <r>
      <rPr>
        <sz val="10"/>
        <rFont val="Arial"/>
        <family val="0"/>
        <charset val="1"/>
      </rPr>
      <t xml:space="preserve">) nhiều </t>
    </r>
    <r>
      <rPr>
        <sz val="10"/>
        <rFont val="Noto Sans CJK SC"/>
        <family val="2"/>
      </rPr>
      <t xml:space="preserve">・ 多分 </t>
    </r>
    <r>
      <rPr>
        <sz val="10"/>
        <rFont val="Arial"/>
        <family val="0"/>
        <charset val="1"/>
      </rPr>
      <t xml:space="preserve">(</t>
    </r>
    <r>
      <rPr>
        <sz val="10"/>
        <rFont val="Noto Sans CJK SC"/>
        <family val="2"/>
      </rPr>
      <t xml:space="preserve">たぶん</t>
    </r>
    <r>
      <rPr>
        <sz val="10"/>
        <rFont val="Arial"/>
        <family val="0"/>
        <charset val="1"/>
      </rPr>
      <t xml:space="preserve">) có lẽ </t>
    </r>
    <r>
      <rPr>
        <sz val="10"/>
        <rFont val="Noto Sans CJK SC"/>
        <family val="2"/>
      </rPr>
      <t xml:space="preserve">・ 多数 </t>
    </r>
    <r>
      <rPr>
        <sz val="10"/>
        <rFont val="Arial"/>
        <family val="0"/>
        <charset val="1"/>
      </rPr>
      <t xml:space="preserve">(</t>
    </r>
    <r>
      <rPr>
        <sz val="10"/>
        <rFont val="Noto Sans CJK SC"/>
        <family val="2"/>
      </rPr>
      <t xml:space="preserve">たすう</t>
    </r>
    <r>
      <rPr>
        <sz val="10"/>
        <rFont val="Arial"/>
        <family val="0"/>
        <charset val="1"/>
      </rPr>
      <t xml:space="preserve">) đa số</t>
    </r>
  </si>
  <si>
    <r>
      <rPr>
        <sz val="10"/>
        <rFont val="Arial"/>
        <family val="0"/>
        <charset val="1"/>
      </rPr>
      <t xml:space="preserve">Hai chữ </t>
    </r>
    <r>
      <rPr>
        <sz val="10"/>
        <rFont val="Noto Sans CJK SC"/>
        <family val="2"/>
      </rPr>
      <t xml:space="preserve">夕 </t>
    </r>
    <r>
      <rPr>
        <sz val="10"/>
        <rFont val="Arial"/>
        <family val="0"/>
        <charset val="1"/>
      </rPr>
      <t xml:space="preserve">(buổi tối) chồng lên nhau = hết tối này đến tối khác, NHIỀU lắm.</t>
    </r>
  </si>
  <si>
    <t xml:space="preserve">安</t>
  </si>
  <si>
    <t xml:space="preserve">AN</t>
  </si>
  <si>
    <t xml:space="preserve">Rẻ, yên tâm</t>
  </si>
  <si>
    <t xml:space="preserve">アン</t>
  </si>
  <si>
    <r>
      <rPr>
        <sz val="10"/>
        <rFont val="Noto Sans CJK SC"/>
        <family val="2"/>
      </rPr>
      <t xml:space="preserve">やす</t>
    </r>
    <r>
      <rPr>
        <sz val="10"/>
        <rFont val="Arial"/>
        <family val="0"/>
        <charset val="1"/>
      </rPr>
      <t xml:space="preserve">(</t>
    </r>
    <r>
      <rPr>
        <sz val="10"/>
        <rFont val="Noto Sans CJK SC"/>
        <family val="2"/>
      </rPr>
      <t xml:space="preserve">い</t>
    </r>
    <r>
      <rPr>
        <sz val="10"/>
        <rFont val="Arial"/>
        <family val="0"/>
        <charset val="1"/>
      </rPr>
      <t xml:space="preserve">)</t>
    </r>
  </si>
  <si>
    <r>
      <rPr>
        <sz val="10"/>
        <rFont val="Noto Sans CJK SC"/>
        <family val="2"/>
      </rPr>
      <t xml:space="preserve">安い </t>
    </r>
    <r>
      <rPr>
        <sz val="10"/>
        <rFont val="Arial"/>
        <family val="0"/>
        <charset val="1"/>
      </rPr>
      <t xml:space="preserve">(</t>
    </r>
    <r>
      <rPr>
        <sz val="10"/>
        <rFont val="Noto Sans CJK SC"/>
        <family val="2"/>
      </rPr>
      <t xml:space="preserve">やすい</t>
    </r>
    <r>
      <rPr>
        <sz val="10"/>
        <rFont val="Arial"/>
        <family val="0"/>
        <charset val="1"/>
      </rPr>
      <t xml:space="preserve">) rẻ </t>
    </r>
    <r>
      <rPr>
        <sz val="10"/>
        <rFont val="Noto Sans CJK SC"/>
        <family val="2"/>
      </rPr>
      <t xml:space="preserve">・ 安心 </t>
    </r>
    <r>
      <rPr>
        <sz val="10"/>
        <rFont val="Arial"/>
        <family val="0"/>
        <charset val="1"/>
      </rPr>
      <t xml:space="preserve">(</t>
    </r>
    <r>
      <rPr>
        <sz val="10"/>
        <rFont val="Noto Sans CJK SC"/>
        <family val="2"/>
      </rPr>
      <t xml:space="preserve">あんしん</t>
    </r>
    <r>
      <rPr>
        <sz val="10"/>
        <rFont val="Arial"/>
        <family val="0"/>
        <charset val="1"/>
      </rPr>
      <t xml:space="preserve">) yên tâm </t>
    </r>
    <r>
      <rPr>
        <sz val="10"/>
        <rFont val="Noto Sans CJK SC"/>
        <family val="2"/>
      </rPr>
      <t xml:space="preserve">・ 安全 </t>
    </r>
    <r>
      <rPr>
        <sz val="10"/>
        <rFont val="Arial"/>
        <family val="0"/>
        <charset val="1"/>
      </rPr>
      <t xml:space="preserve">(</t>
    </r>
    <r>
      <rPr>
        <sz val="10"/>
        <rFont val="Noto Sans CJK SC"/>
        <family val="2"/>
      </rPr>
      <t xml:space="preserve">あんぜん</t>
    </r>
    <r>
      <rPr>
        <sz val="10"/>
        <rFont val="Arial"/>
        <family val="0"/>
        <charset val="1"/>
      </rPr>
      <t xml:space="preserve">) an toàn</t>
    </r>
  </si>
  <si>
    <r>
      <rPr>
        <sz val="10"/>
        <rFont val="Arial"/>
        <family val="0"/>
        <charset val="1"/>
      </rPr>
      <t xml:space="preserve">Bộ </t>
    </r>
    <r>
      <rPr>
        <sz val="10"/>
        <rFont val="Noto Sans CJK SC"/>
        <family val="2"/>
      </rPr>
      <t xml:space="preserve">宀 </t>
    </r>
    <r>
      <rPr>
        <sz val="10"/>
        <rFont val="Arial"/>
        <family val="0"/>
        <charset val="1"/>
      </rPr>
      <t xml:space="preserve">(mái nhà) che chở </t>
    </r>
    <r>
      <rPr>
        <sz val="10"/>
        <rFont val="Noto Sans CJK SC"/>
        <family val="2"/>
      </rPr>
      <t xml:space="preserve">女 </t>
    </r>
    <r>
      <rPr>
        <sz val="10"/>
        <rFont val="Arial"/>
        <family val="0"/>
        <charset val="1"/>
      </rPr>
      <t xml:space="preserve">(người phụ nữ) = ở trong nhà thì AN toàn, yên tâm. Yên tâm mua → giá RẺ.</t>
    </r>
  </si>
  <si>
    <t xml:space="preserve">NỮ</t>
  </si>
  <si>
    <t xml:space="preserve">Nữ, phụ nữ</t>
  </si>
  <si>
    <t xml:space="preserve">おんな</t>
  </si>
  <si>
    <r>
      <rPr>
        <sz val="10"/>
        <rFont val="Noto Sans CJK SC"/>
        <family val="2"/>
      </rPr>
      <t xml:space="preserve">女の人 </t>
    </r>
    <r>
      <rPr>
        <sz val="10"/>
        <rFont val="Arial"/>
        <family val="0"/>
        <charset val="1"/>
      </rPr>
      <t xml:space="preserve">(</t>
    </r>
    <r>
      <rPr>
        <sz val="10"/>
        <rFont val="Noto Sans CJK SC"/>
        <family val="2"/>
      </rPr>
      <t xml:space="preserve">おんなのひと</t>
    </r>
    <r>
      <rPr>
        <sz val="10"/>
        <rFont val="Arial"/>
        <family val="0"/>
        <charset val="1"/>
      </rPr>
      <t xml:space="preserve">) phụ nữ </t>
    </r>
    <r>
      <rPr>
        <sz val="10"/>
        <rFont val="Noto Sans CJK SC"/>
        <family val="2"/>
      </rPr>
      <t xml:space="preserve">・ 女子 </t>
    </r>
    <r>
      <rPr>
        <sz val="10"/>
        <rFont val="Arial"/>
        <family val="0"/>
        <charset val="1"/>
      </rPr>
      <t xml:space="preserve">(</t>
    </r>
    <r>
      <rPr>
        <sz val="10"/>
        <rFont val="Noto Sans CJK SC"/>
        <family val="2"/>
      </rPr>
      <t xml:space="preserve">じょし</t>
    </r>
    <r>
      <rPr>
        <sz val="10"/>
        <rFont val="Arial"/>
        <family val="0"/>
        <charset val="1"/>
      </rPr>
      <t xml:space="preserve">) nữ giới </t>
    </r>
    <r>
      <rPr>
        <sz val="10"/>
        <rFont val="Noto Sans CJK SC"/>
        <family val="2"/>
      </rPr>
      <t xml:space="preserve">・ 彼女 </t>
    </r>
    <r>
      <rPr>
        <sz val="10"/>
        <rFont val="Arial"/>
        <family val="0"/>
        <charset val="1"/>
      </rPr>
      <t xml:space="preserve">(</t>
    </r>
    <r>
      <rPr>
        <sz val="10"/>
        <rFont val="Noto Sans CJK SC"/>
        <family val="2"/>
      </rPr>
      <t xml:space="preserve">かのじょ</t>
    </r>
    <r>
      <rPr>
        <sz val="10"/>
        <rFont val="Arial"/>
        <family val="0"/>
        <charset val="1"/>
      </rPr>
      <t xml:space="preserve">) cô ấy</t>
    </r>
  </si>
  <si>
    <t xml:space="preserve">Dáng người phụ nữ đang quỳ, hai tay đặt trước gối.</t>
  </si>
  <si>
    <t xml:space="preserve">北</t>
  </si>
  <si>
    <t xml:space="preserve">BẮC</t>
  </si>
  <si>
    <t xml:space="preserve">Hướng bắc</t>
  </si>
  <si>
    <t xml:space="preserve">ホク</t>
  </si>
  <si>
    <t xml:space="preserve">きた</t>
  </si>
  <si>
    <r>
      <rPr>
        <sz val="10"/>
        <rFont val="Noto Sans CJK SC"/>
        <family val="2"/>
      </rPr>
      <t xml:space="preserve">北 </t>
    </r>
    <r>
      <rPr>
        <sz val="10"/>
        <rFont val="Arial"/>
        <family val="0"/>
        <charset val="1"/>
      </rPr>
      <t xml:space="preserve">(</t>
    </r>
    <r>
      <rPr>
        <sz val="10"/>
        <rFont val="Noto Sans CJK SC"/>
        <family val="2"/>
      </rPr>
      <t xml:space="preserve">きた</t>
    </r>
    <r>
      <rPr>
        <sz val="10"/>
        <rFont val="Arial"/>
        <family val="0"/>
        <charset val="1"/>
      </rPr>
      <t xml:space="preserve">) hướng bắc </t>
    </r>
    <r>
      <rPr>
        <sz val="10"/>
        <rFont val="Noto Sans CJK SC"/>
        <family val="2"/>
      </rPr>
      <t xml:space="preserve">・ 北海道 </t>
    </r>
    <r>
      <rPr>
        <sz val="10"/>
        <rFont val="Arial"/>
        <family val="0"/>
        <charset val="1"/>
      </rPr>
      <t xml:space="preserve">(</t>
    </r>
    <r>
      <rPr>
        <sz val="10"/>
        <rFont val="Noto Sans CJK SC"/>
        <family val="2"/>
      </rPr>
      <t xml:space="preserve">ほっかいどう</t>
    </r>
    <r>
      <rPr>
        <sz val="10"/>
        <rFont val="Arial"/>
        <family val="0"/>
        <charset val="1"/>
      </rPr>
      <t xml:space="preserve">) Hokkaido </t>
    </r>
    <r>
      <rPr>
        <sz val="10"/>
        <rFont val="Noto Sans CJK SC"/>
        <family val="2"/>
      </rPr>
      <t xml:space="preserve">・ 東北 </t>
    </r>
    <r>
      <rPr>
        <sz val="10"/>
        <rFont val="Arial"/>
        <family val="0"/>
        <charset val="1"/>
      </rPr>
      <t xml:space="preserve">(</t>
    </r>
    <r>
      <rPr>
        <sz val="10"/>
        <rFont val="Noto Sans CJK SC"/>
        <family val="2"/>
      </rPr>
      <t xml:space="preserve">とうほく</t>
    </r>
    <r>
      <rPr>
        <sz val="10"/>
        <rFont val="Arial"/>
        <family val="0"/>
        <charset val="1"/>
      </rPr>
      <t xml:space="preserve">) vùng Tohoku</t>
    </r>
  </si>
  <si>
    <t xml:space="preserve">Hai người quay lưng vào nhau vì trời BẮC quá lạnh, phải dựa lưng sưởi ấm.</t>
  </si>
  <si>
    <t xml:space="preserve">午</t>
  </si>
  <si>
    <t xml:space="preserve">NGỌ</t>
  </si>
  <si>
    <t xml:space="preserve">Giữa trưa</t>
  </si>
  <si>
    <r>
      <rPr>
        <sz val="10"/>
        <rFont val="Noto Sans CJK SC"/>
        <family val="2"/>
      </rPr>
      <t xml:space="preserve">午前 </t>
    </r>
    <r>
      <rPr>
        <sz val="10"/>
        <rFont val="Arial"/>
        <family val="0"/>
        <charset val="1"/>
      </rPr>
      <t xml:space="preserve">(</t>
    </r>
    <r>
      <rPr>
        <sz val="10"/>
        <rFont val="Noto Sans CJK SC"/>
        <family val="2"/>
      </rPr>
      <t xml:space="preserve">ごぜん</t>
    </r>
    <r>
      <rPr>
        <sz val="10"/>
        <rFont val="Arial"/>
        <family val="0"/>
        <charset val="1"/>
      </rPr>
      <t xml:space="preserve">) buổi sáng </t>
    </r>
    <r>
      <rPr>
        <sz val="10"/>
        <rFont val="Noto Sans CJK SC"/>
        <family val="2"/>
      </rPr>
      <t xml:space="preserve">・ 午後 </t>
    </r>
    <r>
      <rPr>
        <sz val="10"/>
        <rFont val="Arial"/>
        <family val="0"/>
        <charset val="1"/>
      </rPr>
      <t xml:space="preserve">(</t>
    </r>
    <r>
      <rPr>
        <sz val="10"/>
        <rFont val="Noto Sans CJK SC"/>
        <family val="2"/>
      </rPr>
      <t xml:space="preserve">ごご</t>
    </r>
    <r>
      <rPr>
        <sz val="10"/>
        <rFont val="Arial"/>
        <family val="0"/>
        <charset val="1"/>
      </rPr>
      <t xml:space="preserve">) buổi chiều </t>
    </r>
    <r>
      <rPr>
        <sz val="10"/>
        <rFont val="Noto Sans CJK SC"/>
        <family val="2"/>
      </rPr>
      <t xml:space="preserve">・ 正午 </t>
    </r>
    <r>
      <rPr>
        <sz val="10"/>
        <rFont val="Arial"/>
        <family val="0"/>
        <charset val="1"/>
      </rPr>
      <t xml:space="preserve">(</t>
    </r>
    <r>
      <rPr>
        <sz val="10"/>
        <rFont val="Noto Sans CJK SC"/>
        <family val="2"/>
      </rPr>
      <t xml:space="preserve">しょうご</t>
    </r>
    <r>
      <rPr>
        <sz val="10"/>
        <rFont val="Arial"/>
        <family val="0"/>
        <charset val="1"/>
      </rPr>
      <t xml:space="preserve">) chính ngọ</t>
    </r>
  </si>
  <si>
    <r>
      <rPr>
        <sz val="10"/>
        <rFont val="Arial"/>
        <family val="0"/>
        <charset val="1"/>
      </rPr>
      <t xml:space="preserve">Giống chữ </t>
    </r>
    <r>
      <rPr>
        <sz val="10"/>
        <rFont val="Noto Sans CJK SC"/>
        <family val="2"/>
      </rPr>
      <t xml:space="preserve">牛 </t>
    </r>
    <r>
      <rPr>
        <sz val="10"/>
        <rFont val="Arial"/>
        <family val="0"/>
        <charset val="1"/>
      </rPr>
      <t xml:space="preserve">(con bò) nhưng thiếu một nét. Giờ NGỌ trong 12 con giáp = 11–13h.</t>
    </r>
  </si>
  <si>
    <t xml:space="preserve">百</t>
  </si>
  <si>
    <t xml:space="preserve">BÁCH</t>
  </si>
  <si>
    <t xml:space="preserve">Trăm</t>
  </si>
  <si>
    <t xml:space="preserve">ヒャク</t>
  </si>
  <si>
    <r>
      <rPr>
        <sz val="10"/>
        <rFont val="Noto Sans CJK SC"/>
        <family val="2"/>
      </rPr>
      <t xml:space="preserve">百 </t>
    </r>
    <r>
      <rPr>
        <sz val="10"/>
        <rFont val="Arial"/>
        <family val="0"/>
        <charset val="1"/>
      </rPr>
      <t xml:space="preserve">(</t>
    </r>
    <r>
      <rPr>
        <sz val="10"/>
        <rFont val="Noto Sans CJK SC"/>
        <family val="2"/>
      </rPr>
      <t xml:space="preserve">ひゃく</t>
    </r>
    <r>
      <rPr>
        <sz val="10"/>
        <rFont val="Arial"/>
        <family val="0"/>
        <charset val="1"/>
      </rPr>
      <t xml:space="preserve">) một trăm </t>
    </r>
    <r>
      <rPr>
        <sz val="10"/>
        <rFont val="Noto Sans CJK SC"/>
        <family val="2"/>
      </rPr>
      <t xml:space="preserve">・ 三百 </t>
    </r>
    <r>
      <rPr>
        <sz val="10"/>
        <rFont val="Arial"/>
        <family val="0"/>
        <charset val="1"/>
      </rPr>
      <t xml:space="preserve">(</t>
    </r>
    <r>
      <rPr>
        <sz val="10"/>
        <rFont val="Noto Sans CJK SC"/>
        <family val="2"/>
      </rPr>
      <t xml:space="preserve">さんびゃく</t>
    </r>
    <r>
      <rPr>
        <sz val="10"/>
        <rFont val="Arial"/>
        <family val="0"/>
        <charset val="1"/>
      </rPr>
      <t xml:space="preserve">) ba trăm </t>
    </r>
    <r>
      <rPr>
        <sz val="10"/>
        <rFont val="Noto Sans CJK SC"/>
        <family val="2"/>
      </rPr>
      <t xml:space="preserve">・ 八百屋 </t>
    </r>
    <r>
      <rPr>
        <sz val="10"/>
        <rFont val="Arial"/>
        <family val="0"/>
        <charset val="1"/>
      </rPr>
      <t xml:space="preserve">(</t>
    </r>
    <r>
      <rPr>
        <sz val="10"/>
        <rFont val="Noto Sans CJK SC"/>
        <family val="2"/>
      </rPr>
      <t xml:space="preserve">やおや</t>
    </r>
    <r>
      <rPr>
        <sz val="10"/>
        <rFont val="Arial"/>
        <family val="0"/>
        <charset val="1"/>
      </rPr>
      <t xml:space="preserve">) hàng rau</t>
    </r>
  </si>
  <si>
    <r>
      <rPr>
        <sz val="10"/>
        <rFont val="Arial"/>
        <family val="0"/>
        <charset val="1"/>
      </rPr>
      <t xml:space="preserve">Số </t>
    </r>
    <r>
      <rPr>
        <sz val="10"/>
        <rFont val="Noto Sans CJK SC"/>
        <family val="2"/>
      </rPr>
      <t xml:space="preserve">一 </t>
    </r>
    <r>
      <rPr>
        <sz val="10"/>
        <rFont val="Arial"/>
        <family val="0"/>
        <charset val="1"/>
      </rPr>
      <t xml:space="preserve">(một) đặt trên </t>
    </r>
    <r>
      <rPr>
        <sz val="10"/>
        <rFont val="Noto Sans CJK SC"/>
        <family val="2"/>
      </rPr>
      <t xml:space="preserve">白 </t>
    </r>
    <r>
      <rPr>
        <sz val="10"/>
        <rFont val="Arial"/>
        <family val="0"/>
        <charset val="1"/>
      </rPr>
      <t xml:space="preserve">(trắng) = một trang giấy trắng ghi đủ 100 gạch.</t>
    </r>
  </si>
  <si>
    <t xml:space="preserve">書</t>
  </si>
  <si>
    <t xml:space="preserve">THƯ</t>
  </si>
  <si>
    <t xml:space="preserve">Viết</t>
  </si>
  <si>
    <r>
      <rPr>
        <sz val="10"/>
        <rFont val="Noto Sans CJK SC"/>
        <family val="2"/>
      </rPr>
      <t xml:space="preserve">か</t>
    </r>
    <r>
      <rPr>
        <sz val="10"/>
        <rFont val="Arial"/>
        <family val="0"/>
        <charset val="1"/>
      </rPr>
      <t xml:space="preserve">(</t>
    </r>
    <r>
      <rPr>
        <sz val="10"/>
        <rFont val="Noto Sans CJK SC"/>
        <family val="2"/>
      </rPr>
      <t xml:space="preserve">く</t>
    </r>
    <r>
      <rPr>
        <sz val="10"/>
        <rFont val="Arial"/>
        <family val="0"/>
        <charset val="1"/>
      </rPr>
      <t xml:space="preserve">)</t>
    </r>
  </si>
  <si>
    <r>
      <rPr>
        <sz val="10"/>
        <rFont val="Noto Sans CJK SC"/>
        <family val="2"/>
      </rPr>
      <t xml:space="preserve">書きます </t>
    </r>
    <r>
      <rPr>
        <sz val="10"/>
        <rFont val="Arial"/>
        <family val="0"/>
        <charset val="1"/>
      </rPr>
      <t xml:space="preserve">(</t>
    </r>
    <r>
      <rPr>
        <sz val="10"/>
        <rFont val="Noto Sans CJK SC"/>
        <family val="2"/>
      </rPr>
      <t xml:space="preserve">かきます</t>
    </r>
    <r>
      <rPr>
        <sz val="10"/>
        <rFont val="Arial"/>
        <family val="0"/>
        <charset val="1"/>
      </rPr>
      <t xml:space="preserve">) viết </t>
    </r>
    <r>
      <rPr>
        <sz val="10"/>
        <rFont val="Noto Sans CJK SC"/>
        <family val="2"/>
      </rPr>
      <t xml:space="preserve">・ 辞書 </t>
    </r>
    <r>
      <rPr>
        <sz val="10"/>
        <rFont val="Arial"/>
        <family val="0"/>
        <charset val="1"/>
      </rPr>
      <t xml:space="preserve">(</t>
    </r>
    <r>
      <rPr>
        <sz val="10"/>
        <rFont val="Noto Sans CJK SC"/>
        <family val="2"/>
      </rPr>
      <t xml:space="preserve">じしょ</t>
    </r>
    <r>
      <rPr>
        <sz val="10"/>
        <rFont val="Arial"/>
        <family val="0"/>
        <charset val="1"/>
      </rPr>
      <t xml:space="preserve">) từ điển </t>
    </r>
    <r>
      <rPr>
        <sz val="10"/>
        <rFont val="Noto Sans CJK SC"/>
        <family val="2"/>
      </rPr>
      <t xml:space="preserve">・ 図書館 </t>
    </r>
    <r>
      <rPr>
        <sz val="10"/>
        <rFont val="Arial"/>
        <family val="0"/>
        <charset val="1"/>
      </rPr>
      <t xml:space="preserve">(</t>
    </r>
    <r>
      <rPr>
        <sz val="10"/>
        <rFont val="Noto Sans CJK SC"/>
        <family val="2"/>
      </rPr>
      <t xml:space="preserve">としょかん</t>
    </r>
    <r>
      <rPr>
        <sz val="10"/>
        <rFont val="Arial"/>
        <family val="0"/>
        <charset val="1"/>
      </rPr>
      <t xml:space="preserve">) thư viện</t>
    </r>
  </si>
  <si>
    <r>
      <rPr>
        <sz val="10"/>
        <rFont val="Arial"/>
        <family val="0"/>
        <charset val="1"/>
      </rPr>
      <t xml:space="preserve">Phần trên là bàn tay cầm bút, phần dưới là </t>
    </r>
    <r>
      <rPr>
        <sz val="10"/>
        <rFont val="Noto Sans CJK SC"/>
        <family val="2"/>
      </rPr>
      <t xml:space="preserve">日 </t>
    </r>
    <r>
      <rPr>
        <sz val="10"/>
        <rFont val="Arial"/>
        <family val="0"/>
        <charset val="1"/>
      </rPr>
      <t xml:space="preserve">(tờ giấy) = tay cầm bút VIẾT lên giấy.</t>
    </r>
  </si>
  <si>
    <t xml:space="preserve">先</t>
  </si>
  <si>
    <t xml:space="preserve">TIÊN</t>
  </si>
  <si>
    <t xml:space="preserve">Trước, đi đầu</t>
  </si>
  <si>
    <t xml:space="preserve">セン</t>
  </si>
  <si>
    <t xml:space="preserve">さき</t>
  </si>
  <si>
    <r>
      <rPr>
        <sz val="10"/>
        <rFont val="Noto Sans CJK SC"/>
        <family val="2"/>
      </rPr>
      <t xml:space="preserve">先生 </t>
    </r>
    <r>
      <rPr>
        <sz val="10"/>
        <rFont val="Arial"/>
        <family val="0"/>
        <charset val="1"/>
      </rPr>
      <t xml:space="preserve">(</t>
    </r>
    <r>
      <rPr>
        <sz val="10"/>
        <rFont val="Noto Sans CJK SC"/>
        <family val="2"/>
      </rPr>
      <t xml:space="preserve">せんせい</t>
    </r>
    <r>
      <rPr>
        <sz val="10"/>
        <rFont val="Arial"/>
        <family val="0"/>
        <charset val="1"/>
      </rPr>
      <t xml:space="preserve">) giáo viên </t>
    </r>
    <r>
      <rPr>
        <sz val="10"/>
        <rFont val="Noto Sans CJK SC"/>
        <family val="2"/>
      </rPr>
      <t xml:space="preserve">・ 先月 </t>
    </r>
    <r>
      <rPr>
        <sz val="10"/>
        <rFont val="Arial"/>
        <family val="0"/>
        <charset val="1"/>
      </rPr>
      <t xml:space="preserve">(</t>
    </r>
    <r>
      <rPr>
        <sz val="10"/>
        <rFont val="Noto Sans CJK SC"/>
        <family val="2"/>
      </rPr>
      <t xml:space="preserve">せんげつ</t>
    </r>
    <r>
      <rPr>
        <sz val="10"/>
        <rFont val="Arial"/>
        <family val="0"/>
        <charset val="1"/>
      </rPr>
      <t xml:space="preserve">) tháng trước </t>
    </r>
    <r>
      <rPr>
        <sz val="10"/>
        <rFont val="Noto Sans CJK SC"/>
        <family val="2"/>
      </rPr>
      <t xml:space="preserve">・ 先 </t>
    </r>
    <r>
      <rPr>
        <sz val="10"/>
        <rFont val="Arial"/>
        <family val="0"/>
        <charset val="1"/>
      </rPr>
      <t xml:space="preserve">(</t>
    </r>
    <r>
      <rPr>
        <sz val="10"/>
        <rFont val="Noto Sans CJK SC"/>
        <family val="2"/>
      </rPr>
      <t xml:space="preserve">さき</t>
    </r>
    <r>
      <rPr>
        <sz val="10"/>
        <rFont val="Arial"/>
        <family val="0"/>
        <charset val="1"/>
      </rPr>
      <t xml:space="preserve">) phía trước</t>
    </r>
  </si>
  <si>
    <r>
      <rPr>
        <sz val="10"/>
        <rFont val="Noto Sans CJK SC"/>
        <family val="2"/>
      </rPr>
      <t xml:space="preserve">先生 </t>
    </r>
    <r>
      <rPr>
        <sz val="10"/>
        <rFont val="Arial"/>
        <family val="0"/>
        <charset val="1"/>
      </rPr>
      <t xml:space="preserve">= TIÊN SINH = người SINH RA TRƯỚC, đi trước ta → thầy cô. Nhớ theo âm Hán Việt là chắc nhất.</t>
    </r>
  </si>
  <si>
    <t xml:space="preserve">名</t>
  </si>
  <si>
    <t xml:space="preserve">DANH</t>
  </si>
  <si>
    <t xml:space="preserve">Tên, nổi tiếng</t>
  </si>
  <si>
    <t xml:space="preserve">メイ</t>
  </si>
  <si>
    <r>
      <rPr>
        <sz val="10"/>
        <rFont val="Noto Sans CJK SC"/>
        <family val="2"/>
      </rPr>
      <t xml:space="preserve">名前 </t>
    </r>
    <r>
      <rPr>
        <sz val="10"/>
        <rFont val="Arial"/>
        <family val="0"/>
        <charset val="1"/>
      </rPr>
      <t xml:space="preserve">(</t>
    </r>
    <r>
      <rPr>
        <sz val="10"/>
        <rFont val="Noto Sans CJK SC"/>
        <family val="2"/>
      </rPr>
      <t xml:space="preserve">なまえ</t>
    </r>
    <r>
      <rPr>
        <sz val="10"/>
        <rFont val="Arial"/>
        <family val="0"/>
        <charset val="1"/>
      </rPr>
      <t xml:space="preserve">) tên </t>
    </r>
    <r>
      <rPr>
        <sz val="10"/>
        <rFont val="Noto Sans CJK SC"/>
        <family val="2"/>
      </rPr>
      <t xml:space="preserve">・ 有名 </t>
    </r>
    <r>
      <rPr>
        <sz val="10"/>
        <rFont val="Arial"/>
        <family val="0"/>
        <charset val="1"/>
      </rPr>
      <t xml:space="preserve">(</t>
    </r>
    <r>
      <rPr>
        <sz val="10"/>
        <rFont val="Noto Sans CJK SC"/>
        <family val="2"/>
      </rPr>
      <t xml:space="preserve">ゆうめい</t>
    </r>
    <r>
      <rPr>
        <sz val="10"/>
        <rFont val="Arial"/>
        <family val="0"/>
        <charset val="1"/>
      </rPr>
      <t xml:space="preserve">) nổi tiếng </t>
    </r>
    <r>
      <rPr>
        <sz val="10"/>
        <rFont val="Noto Sans CJK SC"/>
        <family val="2"/>
      </rPr>
      <t xml:space="preserve">・ 名刺 </t>
    </r>
    <r>
      <rPr>
        <sz val="10"/>
        <rFont val="Arial"/>
        <family val="0"/>
        <charset val="1"/>
      </rPr>
      <t xml:space="preserve">(</t>
    </r>
    <r>
      <rPr>
        <sz val="10"/>
        <rFont val="Noto Sans CJK SC"/>
        <family val="2"/>
      </rPr>
      <t xml:space="preserve">めいし</t>
    </r>
    <r>
      <rPr>
        <sz val="10"/>
        <rFont val="Arial"/>
        <family val="0"/>
        <charset val="1"/>
      </rPr>
      <t xml:space="preserve">) danh thiếp</t>
    </r>
  </si>
  <si>
    <r>
      <rPr>
        <sz val="10"/>
        <rFont val="Noto Sans CJK SC"/>
        <family val="2"/>
      </rPr>
      <t xml:space="preserve">夕 </t>
    </r>
    <r>
      <rPr>
        <sz val="10"/>
        <rFont val="Arial"/>
        <family val="0"/>
        <charset val="1"/>
      </rPr>
      <t xml:space="preserve">(chiều tối) + </t>
    </r>
    <r>
      <rPr>
        <sz val="10"/>
        <rFont val="Noto Sans CJK SC"/>
        <family val="2"/>
      </rPr>
      <t xml:space="preserve">口 </t>
    </r>
    <r>
      <rPr>
        <sz val="10"/>
        <rFont val="Arial"/>
        <family val="0"/>
        <charset val="1"/>
      </rPr>
      <t xml:space="preserve">(miệng) = trời tối không nhìn rõ mặt, phải xưng TÊN bằng miệng.</t>
    </r>
  </si>
  <si>
    <t xml:space="preserve">川</t>
  </si>
  <si>
    <t xml:space="preserve">XUYÊN</t>
  </si>
  <si>
    <t xml:space="preserve">Sông</t>
  </si>
  <si>
    <r>
      <rPr>
        <sz val="10"/>
        <rFont val="Noto Sans CJK SC"/>
        <family val="2"/>
      </rPr>
      <t xml:space="preserve">川 </t>
    </r>
    <r>
      <rPr>
        <sz val="10"/>
        <rFont val="Arial"/>
        <family val="0"/>
        <charset val="1"/>
      </rPr>
      <t xml:space="preserve">(</t>
    </r>
    <r>
      <rPr>
        <sz val="10"/>
        <rFont val="Noto Sans CJK SC"/>
        <family val="2"/>
      </rPr>
      <t xml:space="preserve">かわ</t>
    </r>
    <r>
      <rPr>
        <sz val="10"/>
        <rFont val="Arial"/>
        <family val="0"/>
        <charset val="1"/>
      </rPr>
      <t xml:space="preserve">) sông </t>
    </r>
    <r>
      <rPr>
        <sz val="10"/>
        <rFont val="Noto Sans CJK SC"/>
        <family val="2"/>
      </rPr>
      <t xml:space="preserve">・ 川口 </t>
    </r>
    <r>
      <rPr>
        <sz val="10"/>
        <rFont val="Arial"/>
        <family val="0"/>
        <charset val="1"/>
      </rPr>
      <t xml:space="preserve">(</t>
    </r>
    <r>
      <rPr>
        <sz val="10"/>
        <rFont val="Noto Sans CJK SC"/>
        <family val="2"/>
      </rPr>
      <t xml:space="preserve">かわぐち</t>
    </r>
    <r>
      <rPr>
        <sz val="10"/>
        <rFont val="Arial"/>
        <family val="0"/>
        <charset val="1"/>
      </rPr>
      <t xml:space="preserve">) cửa sông </t>
    </r>
    <r>
      <rPr>
        <sz val="10"/>
        <rFont val="Noto Sans CJK SC"/>
        <family val="2"/>
      </rPr>
      <t xml:space="preserve">・ 小川 </t>
    </r>
    <r>
      <rPr>
        <sz val="10"/>
        <rFont val="Arial"/>
        <family val="0"/>
        <charset val="1"/>
      </rPr>
      <t xml:space="preserve">(</t>
    </r>
    <r>
      <rPr>
        <sz val="10"/>
        <rFont val="Noto Sans CJK SC"/>
        <family val="2"/>
      </rPr>
      <t xml:space="preserve">おがわ</t>
    </r>
    <r>
      <rPr>
        <sz val="10"/>
        <rFont val="Arial"/>
        <family val="0"/>
        <charset val="1"/>
      </rPr>
      <t xml:space="preserve">) suối nhỏ</t>
    </r>
  </si>
  <si>
    <t xml:space="preserve">Ba đường nước chảy song song = dòng SÔNG nhìn từ trên cao.</t>
  </si>
  <si>
    <t xml:space="preserve">千</t>
  </si>
  <si>
    <t xml:space="preserve">THIÊN</t>
  </si>
  <si>
    <t xml:space="preserve">Nghìn</t>
  </si>
  <si>
    <r>
      <rPr>
        <sz val="10"/>
        <rFont val="Noto Sans CJK SC"/>
        <family val="2"/>
      </rPr>
      <t xml:space="preserve">千 </t>
    </r>
    <r>
      <rPr>
        <sz val="10"/>
        <rFont val="Arial"/>
        <family val="0"/>
        <charset val="1"/>
      </rPr>
      <t xml:space="preserve">(</t>
    </r>
    <r>
      <rPr>
        <sz val="10"/>
        <rFont val="Noto Sans CJK SC"/>
        <family val="2"/>
      </rPr>
      <t xml:space="preserve">せん</t>
    </r>
    <r>
      <rPr>
        <sz val="10"/>
        <rFont val="Arial"/>
        <family val="0"/>
        <charset val="1"/>
      </rPr>
      <t xml:space="preserve">) một nghìn </t>
    </r>
    <r>
      <rPr>
        <sz val="10"/>
        <rFont val="Noto Sans CJK SC"/>
        <family val="2"/>
      </rPr>
      <t xml:space="preserve">・ 千円 </t>
    </r>
    <r>
      <rPr>
        <sz val="10"/>
        <rFont val="Arial"/>
        <family val="0"/>
        <charset val="1"/>
      </rPr>
      <t xml:space="preserve">(</t>
    </r>
    <r>
      <rPr>
        <sz val="10"/>
        <rFont val="Noto Sans CJK SC"/>
        <family val="2"/>
      </rPr>
      <t xml:space="preserve">せんえん</t>
    </r>
    <r>
      <rPr>
        <sz val="10"/>
        <rFont val="Arial"/>
        <family val="0"/>
        <charset val="1"/>
      </rPr>
      <t xml:space="preserve">) 1000 yên </t>
    </r>
    <r>
      <rPr>
        <sz val="10"/>
        <rFont val="Noto Sans CJK SC"/>
        <family val="2"/>
      </rPr>
      <t xml:space="preserve">・ 三千 </t>
    </r>
    <r>
      <rPr>
        <sz val="10"/>
        <rFont val="Arial"/>
        <family val="0"/>
        <charset val="1"/>
      </rPr>
      <t xml:space="preserve">(</t>
    </r>
    <r>
      <rPr>
        <sz val="10"/>
        <rFont val="Noto Sans CJK SC"/>
        <family val="2"/>
      </rPr>
      <t xml:space="preserve">さんぜん</t>
    </r>
    <r>
      <rPr>
        <sz val="10"/>
        <rFont val="Arial"/>
        <family val="0"/>
        <charset val="1"/>
      </rPr>
      <t xml:space="preserve">) ba nghìn</t>
    </r>
  </si>
  <si>
    <r>
      <rPr>
        <sz val="10"/>
        <rFont val="Arial"/>
        <family val="0"/>
        <charset val="1"/>
      </rPr>
      <t xml:space="preserve">Chữ </t>
    </r>
    <r>
      <rPr>
        <sz val="10"/>
        <rFont val="Noto Sans CJK SC"/>
        <family val="2"/>
      </rPr>
      <t xml:space="preserve">十 </t>
    </r>
    <r>
      <rPr>
        <sz val="10"/>
        <rFont val="Arial"/>
        <family val="0"/>
        <charset val="1"/>
      </rPr>
      <t xml:space="preserve">(mười) có thêm một nét phẩy trên đầu = mười nhân lên nhiều lần → NGHÌN.</t>
    </r>
  </si>
  <si>
    <t xml:space="preserve">道</t>
  </si>
  <si>
    <t xml:space="preserve">ĐẠO</t>
  </si>
  <si>
    <t xml:space="preserve">Đường, con đường</t>
  </si>
  <si>
    <t xml:space="preserve">ドウ</t>
  </si>
  <si>
    <t xml:space="preserve">みち</t>
  </si>
  <si>
    <r>
      <rPr>
        <sz val="10"/>
        <rFont val="Noto Sans CJK SC"/>
        <family val="2"/>
      </rPr>
      <t xml:space="preserve">道 </t>
    </r>
    <r>
      <rPr>
        <sz val="10"/>
        <rFont val="Arial"/>
        <family val="0"/>
        <charset val="1"/>
      </rPr>
      <t xml:space="preserve">(</t>
    </r>
    <r>
      <rPr>
        <sz val="10"/>
        <rFont val="Noto Sans CJK SC"/>
        <family val="2"/>
      </rPr>
      <t xml:space="preserve">みち</t>
    </r>
    <r>
      <rPr>
        <sz val="10"/>
        <rFont val="Arial"/>
        <family val="0"/>
        <charset val="1"/>
      </rPr>
      <t xml:space="preserve">) con đường </t>
    </r>
    <r>
      <rPr>
        <sz val="10"/>
        <rFont val="Noto Sans CJK SC"/>
        <family val="2"/>
      </rPr>
      <t xml:space="preserve">・ 北海道 </t>
    </r>
    <r>
      <rPr>
        <sz val="10"/>
        <rFont val="Arial"/>
        <family val="0"/>
        <charset val="1"/>
      </rPr>
      <t xml:space="preserve">(</t>
    </r>
    <r>
      <rPr>
        <sz val="10"/>
        <rFont val="Noto Sans CJK SC"/>
        <family val="2"/>
      </rPr>
      <t xml:space="preserve">ほっかいどう</t>
    </r>
    <r>
      <rPr>
        <sz val="10"/>
        <rFont val="Arial"/>
        <family val="0"/>
        <charset val="1"/>
      </rPr>
      <t xml:space="preserve">) Hokkaido </t>
    </r>
    <r>
      <rPr>
        <sz val="10"/>
        <rFont val="Noto Sans CJK SC"/>
        <family val="2"/>
      </rPr>
      <t xml:space="preserve">・ 柔道 </t>
    </r>
    <r>
      <rPr>
        <sz val="10"/>
        <rFont val="Arial"/>
        <family val="0"/>
        <charset val="1"/>
      </rPr>
      <t xml:space="preserve">(</t>
    </r>
    <r>
      <rPr>
        <sz val="10"/>
        <rFont val="Noto Sans CJK SC"/>
        <family val="2"/>
      </rPr>
      <t xml:space="preserve">じゅうどう</t>
    </r>
    <r>
      <rPr>
        <sz val="10"/>
        <rFont val="Arial"/>
        <family val="0"/>
        <charset val="1"/>
      </rPr>
      <t xml:space="preserve">) judo</t>
    </r>
  </si>
  <si>
    <r>
      <rPr>
        <sz val="10"/>
        <rFont val="Arial"/>
        <family val="0"/>
        <charset val="1"/>
      </rPr>
      <t xml:space="preserve">Bộ </t>
    </r>
    <r>
      <rPr>
        <sz val="10"/>
        <rFont val="Noto Sans CJK SC"/>
        <family val="2"/>
      </rPr>
      <t xml:space="preserve">辶 </t>
    </r>
    <r>
      <rPr>
        <sz val="10"/>
        <rFont val="Arial"/>
        <family val="0"/>
        <charset val="1"/>
      </rPr>
      <t xml:space="preserve">(di chuyển) + </t>
    </r>
    <r>
      <rPr>
        <sz val="10"/>
        <rFont val="Noto Sans CJK SC"/>
        <family val="2"/>
      </rPr>
      <t xml:space="preserve">首 </t>
    </r>
    <r>
      <rPr>
        <sz val="10"/>
        <rFont val="Arial"/>
        <family val="0"/>
        <charset val="1"/>
      </rPr>
      <t xml:space="preserve">(cái đầu) = ngẩng đầu bước đi trên con ĐƯỜNG.</t>
    </r>
  </si>
  <si>
    <t xml:space="preserve">水</t>
  </si>
  <si>
    <t xml:space="preserve">THỦY</t>
  </si>
  <si>
    <t xml:space="preserve">Nước</t>
  </si>
  <si>
    <t xml:space="preserve">スイ</t>
  </si>
  <si>
    <t xml:space="preserve">みず</t>
  </si>
  <si>
    <r>
      <rPr>
        <sz val="10"/>
        <rFont val="Noto Sans CJK SC"/>
        <family val="2"/>
      </rPr>
      <t xml:space="preserve">水 </t>
    </r>
    <r>
      <rPr>
        <sz val="10"/>
        <rFont val="Arial"/>
        <family val="0"/>
        <charset val="1"/>
      </rPr>
      <t xml:space="preserve">(</t>
    </r>
    <r>
      <rPr>
        <sz val="10"/>
        <rFont val="Noto Sans CJK SC"/>
        <family val="2"/>
      </rPr>
      <t xml:space="preserve">みず</t>
    </r>
    <r>
      <rPr>
        <sz val="10"/>
        <rFont val="Arial"/>
        <family val="0"/>
        <charset val="1"/>
      </rPr>
      <t xml:space="preserve">) nước </t>
    </r>
    <r>
      <rPr>
        <sz val="10"/>
        <rFont val="Noto Sans CJK SC"/>
        <family val="2"/>
      </rPr>
      <t xml:space="preserve">・ 水曜日 </t>
    </r>
    <r>
      <rPr>
        <sz val="10"/>
        <rFont val="Arial"/>
        <family val="0"/>
        <charset val="1"/>
      </rPr>
      <t xml:space="preserve">(</t>
    </r>
    <r>
      <rPr>
        <sz val="10"/>
        <rFont val="Noto Sans CJK SC"/>
        <family val="2"/>
      </rPr>
      <t xml:space="preserve">すいようび</t>
    </r>
    <r>
      <rPr>
        <sz val="10"/>
        <rFont val="Arial"/>
        <family val="0"/>
        <charset val="1"/>
      </rPr>
      <t xml:space="preserve">) thứ Tư </t>
    </r>
    <r>
      <rPr>
        <sz val="10"/>
        <rFont val="Noto Sans CJK SC"/>
        <family val="2"/>
      </rPr>
      <t xml:space="preserve">・ 水道 </t>
    </r>
    <r>
      <rPr>
        <sz val="10"/>
        <rFont val="Arial"/>
        <family val="0"/>
        <charset val="1"/>
      </rPr>
      <t xml:space="preserve">(</t>
    </r>
    <r>
      <rPr>
        <sz val="10"/>
        <rFont val="Noto Sans CJK SC"/>
        <family val="2"/>
      </rPr>
      <t xml:space="preserve">すいどう</t>
    </r>
    <r>
      <rPr>
        <sz val="10"/>
        <rFont val="Arial"/>
        <family val="0"/>
        <charset val="1"/>
      </rPr>
      <t xml:space="preserve">) đường ống nước</t>
    </r>
  </si>
  <si>
    <t xml:space="preserve">Dòng nước chảy với các tia bắn ra hai bên.</t>
  </si>
  <si>
    <t xml:space="preserve">半</t>
  </si>
  <si>
    <t xml:space="preserve">BÁN</t>
  </si>
  <si>
    <t xml:space="preserve">Một nửa, rưỡi</t>
  </si>
  <si>
    <t xml:space="preserve">ハン</t>
  </si>
  <si>
    <r>
      <rPr>
        <sz val="10"/>
        <rFont val="Noto Sans CJK SC"/>
        <family val="2"/>
      </rPr>
      <t xml:space="preserve">なか</t>
    </r>
    <r>
      <rPr>
        <sz val="10"/>
        <rFont val="Arial"/>
        <family val="0"/>
        <charset val="1"/>
      </rPr>
      <t xml:space="preserve">(</t>
    </r>
    <r>
      <rPr>
        <sz val="10"/>
        <rFont val="Noto Sans CJK SC"/>
        <family val="2"/>
      </rPr>
      <t xml:space="preserve">ば</t>
    </r>
    <r>
      <rPr>
        <sz val="10"/>
        <rFont val="Arial"/>
        <family val="0"/>
        <charset val="1"/>
      </rPr>
      <t xml:space="preserve">)</t>
    </r>
  </si>
  <si>
    <r>
      <rPr>
        <sz val="10"/>
        <rFont val="Noto Sans CJK SC"/>
        <family val="2"/>
      </rPr>
      <t xml:space="preserve">半分 </t>
    </r>
    <r>
      <rPr>
        <sz val="10"/>
        <rFont val="Arial"/>
        <family val="0"/>
        <charset val="1"/>
      </rPr>
      <t xml:space="preserve">(</t>
    </r>
    <r>
      <rPr>
        <sz val="10"/>
        <rFont val="Noto Sans CJK SC"/>
        <family val="2"/>
      </rPr>
      <t xml:space="preserve">はんぶん</t>
    </r>
    <r>
      <rPr>
        <sz val="10"/>
        <rFont val="Arial"/>
        <family val="0"/>
        <charset val="1"/>
      </rPr>
      <t xml:space="preserve">) một nửa </t>
    </r>
    <r>
      <rPr>
        <sz val="10"/>
        <rFont val="Noto Sans CJK SC"/>
        <family val="2"/>
      </rPr>
      <t xml:space="preserve">・ 三時半 </t>
    </r>
    <r>
      <rPr>
        <sz val="10"/>
        <rFont val="Arial"/>
        <family val="0"/>
        <charset val="1"/>
      </rPr>
      <t xml:space="preserve">(</t>
    </r>
    <r>
      <rPr>
        <sz val="10"/>
        <rFont val="Noto Sans CJK SC"/>
        <family val="2"/>
      </rPr>
      <t xml:space="preserve">さんじはん</t>
    </r>
    <r>
      <rPr>
        <sz val="10"/>
        <rFont val="Arial"/>
        <family val="0"/>
        <charset val="1"/>
      </rPr>
      <t xml:space="preserve">) 3 giờ rưỡi </t>
    </r>
    <r>
      <rPr>
        <sz val="10"/>
        <rFont val="Noto Sans CJK SC"/>
        <family val="2"/>
      </rPr>
      <t xml:space="preserve">・ 半年 </t>
    </r>
    <r>
      <rPr>
        <sz val="10"/>
        <rFont val="Arial"/>
        <family val="0"/>
        <charset val="1"/>
      </rPr>
      <t xml:space="preserve">(</t>
    </r>
    <r>
      <rPr>
        <sz val="10"/>
        <rFont val="Noto Sans CJK SC"/>
        <family val="2"/>
      </rPr>
      <t xml:space="preserve">はんとし</t>
    </r>
    <r>
      <rPr>
        <sz val="10"/>
        <rFont val="Arial"/>
        <family val="0"/>
        <charset val="1"/>
      </rPr>
      <t xml:space="preserve">) nửa năm</t>
    </r>
  </si>
  <si>
    <r>
      <rPr>
        <sz val="10"/>
        <rFont val="Arial"/>
        <family val="0"/>
        <charset val="1"/>
      </rPr>
      <t xml:space="preserve">Chữ </t>
    </r>
    <r>
      <rPr>
        <sz val="10"/>
        <rFont val="Noto Sans CJK SC"/>
        <family val="2"/>
      </rPr>
      <t xml:space="preserve">八 </t>
    </r>
    <r>
      <rPr>
        <sz val="10"/>
        <rFont val="Arial"/>
        <family val="0"/>
        <charset val="1"/>
      </rPr>
      <t xml:space="preserve">(chia đôi) đè lên đầu = cắt vật ra làm hai → MỘT NỬA.</t>
    </r>
  </si>
  <si>
    <t xml:space="preserve">男</t>
  </si>
  <si>
    <t xml:space="preserve">NAM</t>
  </si>
  <si>
    <t xml:space="preserve">Nam giới</t>
  </si>
  <si>
    <t xml:space="preserve">ダン・ナン</t>
  </si>
  <si>
    <t xml:space="preserve">おとこ</t>
  </si>
  <si>
    <r>
      <rPr>
        <sz val="10"/>
        <rFont val="Noto Sans CJK SC"/>
        <family val="2"/>
      </rPr>
      <t xml:space="preserve">男の人 </t>
    </r>
    <r>
      <rPr>
        <sz val="10"/>
        <rFont val="Arial"/>
        <family val="0"/>
        <charset val="1"/>
      </rPr>
      <t xml:space="preserve">(</t>
    </r>
    <r>
      <rPr>
        <sz val="10"/>
        <rFont val="Noto Sans CJK SC"/>
        <family val="2"/>
      </rPr>
      <t xml:space="preserve">おとこのひと</t>
    </r>
    <r>
      <rPr>
        <sz val="10"/>
        <rFont val="Arial"/>
        <family val="0"/>
        <charset val="1"/>
      </rPr>
      <t xml:space="preserve">) đàn ông </t>
    </r>
    <r>
      <rPr>
        <sz val="10"/>
        <rFont val="Noto Sans CJK SC"/>
        <family val="2"/>
      </rPr>
      <t xml:space="preserve">・ 男子 </t>
    </r>
    <r>
      <rPr>
        <sz val="10"/>
        <rFont val="Arial"/>
        <family val="0"/>
        <charset val="1"/>
      </rPr>
      <t xml:space="preserve">(</t>
    </r>
    <r>
      <rPr>
        <sz val="10"/>
        <rFont val="Noto Sans CJK SC"/>
        <family val="2"/>
      </rPr>
      <t xml:space="preserve">だんし</t>
    </r>
    <r>
      <rPr>
        <sz val="10"/>
        <rFont val="Arial"/>
        <family val="0"/>
        <charset val="1"/>
      </rPr>
      <t xml:space="preserve">) nam giới </t>
    </r>
    <r>
      <rPr>
        <sz val="10"/>
        <rFont val="Noto Sans CJK SC"/>
        <family val="2"/>
      </rPr>
      <t xml:space="preserve">・ 長男 </t>
    </r>
    <r>
      <rPr>
        <sz val="10"/>
        <rFont val="Arial"/>
        <family val="0"/>
        <charset val="1"/>
      </rPr>
      <t xml:space="preserve">(</t>
    </r>
    <r>
      <rPr>
        <sz val="10"/>
        <rFont val="Noto Sans CJK SC"/>
        <family val="2"/>
      </rPr>
      <t xml:space="preserve">ちょうなん</t>
    </r>
    <r>
      <rPr>
        <sz val="10"/>
        <rFont val="Arial"/>
        <family val="0"/>
        <charset val="1"/>
      </rPr>
      <t xml:space="preserve">) con trai trưởng</t>
    </r>
  </si>
  <si>
    <r>
      <rPr>
        <sz val="10"/>
        <rFont val="Noto Sans CJK SC"/>
        <family val="2"/>
      </rPr>
      <t xml:space="preserve">田 </t>
    </r>
    <r>
      <rPr>
        <sz val="10"/>
        <rFont val="Arial"/>
        <family val="0"/>
        <charset val="1"/>
      </rPr>
      <t xml:space="preserve">(ruộng) + </t>
    </r>
    <r>
      <rPr>
        <sz val="10"/>
        <rFont val="Noto Sans CJK SC"/>
        <family val="2"/>
      </rPr>
      <t xml:space="preserve">力 </t>
    </r>
    <r>
      <rPr>
        <sz val="10"/>
        <rFont val="Arial"/>
        <family val="0"/>
        <charset val="1"/>
      </rPr>
      <t xml:space="preserve">(sức mạnh) = người dùng sức cày ruộng → ĐÀN ÔNG.</t>
    </r>
  </si>
  <si>
    <t xml:space="preserve">西</t>
  </si>
  <si>
    <t xml:space="preserve">TÂY</t>
  </si>
  <si>
    <t xml:space="preserve">Hướng tây</t>
  </si>
  <si>
    <t xml:space="preserve">セイ・サイ</t>
  </si>
  <si>
    <t xml:space="preserve">にし</t>
  </si>
  <si>
    <r>
      <rPr>
        <sz val="10"/>
        <rFont val="Noto Sans CJK SC"/>
        <family val="2"/>
      </rPr>
      <t xml:space="preserve">西 </t>
    </r>
    <r>
      <rPr>
        <sz val="10"/>
        <rFont val="Arial"/>
        <family val="0"/>
        <charset val="1"/>
      </rPr>
      <t xml:space="preserve">(</t>
    </r>
    <r>
      <rPr>
        <sz val="10"/>
        <rFont val="Noto Sans CJK SC"/>
        <family val="2"/>
      </rPr>
      <t xml:space="preserve">にし</t>
    </r>
    <r>
      <rPr>
        <sz val="10"/>
        <rFont val="Arial"/>
        <family val="0"/>
        <charset val="1"/>
      </rPr>
      <t xml:space="preserve">) hướng tây </t>
    </r>
    <r>
      <rPr>
        <sz val="10"/>
        <rFont val="Noto Sans CJK SC"/>
        <family val="2"/>
      </rPr>
      <t xml:space="preserve">・ 西口 </t>
    </r>
    <r>
      <rPr>
        <sz val="10"/>
        <rFont val="Arial"/>
        <family val="0"/>
        <charset val="1"/>
      </rPr>
      <t xml:space="preserve">(</t>
    </r>
    <r>
      <rPr>
        <sz val="10"/>
        <rFont val="Noto Sans CJK SC"/>
        <family val="2"/>
      </rPr>
      <t xml:space="preserve">にしぐち</t>
    </r>
    <r>
      <rPr>
        <sz val="10"/>
        <rFont val="Arial"/>
        <family val="0"/>
        <charset val="1"/>
      </rPr>
      <t xml:space="preserve">) cửa tây </t>
    </r>
    <r>
      <rPr>
        <sz val="10"/>
        <rFont val="Noto Sans CJK SC"/>
        <family val="2"/>
      </rPr>
      <t xml:space="preserve">・ 関西 </t>
    </r>
    <r>
      <rPr>
        <sz val="10"/>
        <rFont val="Arial"/>
        <family val="0"/>
        <charset val="1"/>
      </rPr>
      <t xml:space="preserve">(</t>
    </r>
    <r>
      <rPr>
        <sz val="10"/>
        <rFont val="Noto Sans CJK SC"/>
        <family val="2"/>
      </rPr>
      <t xml:space="preserve">かんさい</t>
    </r>
    <r>
      <rPr>
        <sz val="10"/>
        <rFont val="Arial"/>
        <family val="0"/>
        <charset val="1"/>
      </rPr>
      <t xml:space="preserve">) vùng Kansai</t>
    </r>
  </si>
  <si>
    <t xml:space="preserve">Hình con chim đậu vào tổ khi mặt trời lặn phía TÂY.</t>
  </si>
  <si>
    <t xml:space="preserve">電</t>
  </si>
  <si>
    <t xml:space="preserve">ĐIỆN</t>
  </si>
  <si>
    <t xml:space="preserve">Điện</t>
  </si>
  <si>
    <t xml:space="preserve">デン</t>
  </si>
  <si>
    <r>
      <rPr>
        <sz val="10"/>
        <rFont val="Noto Sans CJK SC"/>
        <family val="2"/>
      </rPr>
      <t xml:space="preserve">電車 </t>
    </r>
    <r>
      <rPr>
        <sz val="10"/>
        <rFont val="Arial"/>
        <family val="0"/>
        <charset val="1"/>
      </rPr>
      <t xml:space="preserve">(</t>
    </r>
    <r>
      <rPr>
        <sz val="10"/>
        <rFont val="Noto Sans CJK SC"/>
        <family val="2"/>
      </rPr>
      <t xml:space="preserve">でんしゃ</t>
    </r>
    <r>
      <rPr>
        <sz val="10"/>
        <rFont val="Arial"/>
        <family val="0"/>
        <charset val="1"/>
      </rPr>
      <t xml:space="preserve">) tàu điện </t>
    </r>
    <r>
      <rPr>
        <sz val="10"/>
        <rFont val="Noto Sans CJK SC"/>
        <family val="2"/>
      </rPr>
      <t xml:space="preserve">・ 電話 </t>
    </r>
    <r>
      <rPr>
        <sz val="10"/>
        <rFont val="Arial"/>
        <family val="0"/>
        <charset val="1"/>
      </rPr>
      <t xml:space="preserve">(</t>
    </r>
    <r>
      <rPr>
        <sz val="10"/>
        <rFont val="Noto Sans CJK SC"/>
        <family val="2"/>
      </rPr>
      <t xml:space="preserve">でんわ</t>
    </r>
    <r>
      <rPr>
        <sz val="10"/>
        <rFont val="Arial"/>
        <family val="0"/>
        <charset val="1"/>
      </rPr>
      <t xml:space="preserve">) điện thoại </t>
    </r>
    <r>
      <rPr>
        <sz val="10"/>
        <rFont val="Noto Sans CJK SC"/>
        <family val="2"/>
      </rPr>
      <t xml:space="preserve">・ 電気 </t>
    </r>
    <r>
      <rPr>
        <sz val="10"/>
        <rFont val="Arial"/>
        <family val="0"/>
        <charset val="1"/>
      </rPr>
      <t xml:space="preserve">(</t>
    </r>
    <r>
      <rPr>
        <sz val="10"/>
        <rFont val="Noto Sans CJK SC"/>
        <family val="2"/>
      </rPr>
      <t xml:space="preserve">でんき</t>
    </r>
    <r>
      <rPr>
        <sz val="10"/>
        <rFont val="Arial"/>
        <family val="0"/>
        <charset val="1"/>
      </rPr>
      <t xml:space="preserve">) đèn/điện</t>
    </r>
  </si>
  <si>
    <r>
      <rPr>
        <sz val="10"/>
        <rFont val="Arial"/>
        <family val="0"/>
        <charset val="1"/>
      </rPr>
      <t xml:space="preserve">Bộ </t>
    </r>
    <r>
      <rPr>
        <sz val="10"/>
        <rFont val="Noto Sans CJK SC"/>
        <family val="2"/>
      </rPr>
      <t xml:space="preserve">雨 </t>
    </r>
    <r>
      <rPr>
        <sz val="10"/>
        <rFont val="Arial"/>
        <family val="0"/>
        <charset val="1"/>
      </rPr>
      <t xml:space="preserve">(mưa) + </t>
    </r>
    <r>
      <rPr>
        <sz val="10"/>
        <rFont val="Noto Sans CJK SC"/>
        <family val="2"/>
      </rPr>
      <t xml:space="preserve">田 </t>
    </r>
    <r>
      <rPr>
        <sz val="10"/>
        <rFont val="Arial"/>
        <family val="0"/>
        <charset val="1"/>
      </rPr>
      <t xml:space="preserve">+ nét móc = tia sét ngoằn ngoèo trong cơn mưa → ĐIỆN.</t>
    </r>
  </si>
  <si>
    <t xml:space="preserve">KHẨU</t>
  </si>
  <si>
    <t xml:space="preserve">Miệng, cửa</t>
  </si>
  <si>
    <r>
      <rPr>
        <sz val="10"/>
        <rFont val="Noto Sans CJK SC"/>
        <family val="2"/>
      </rPr>
      <t xml:space="preserve">口 </t>
    </r>
    <r>
      <rPr>
        <sz val="10"/>
        <rFont val="Arial"/>
        <family val="0"/>
        <charset val="1"/>
      </rPr>
      <t xml:space="preserve">(</t>
    </r>
    <r>
      <rPr>
        <sz val="10"/>
        <rFont val="Noto Sans CJK SC"/>
        <family val="2"/>
      </rPr>
      <t xml:space="preserve">くち</t>
    </r>
    <r>
      <rPr>
        <sz val="10"/>
        <rFont val="Arial"/>
        <family val="0"/>
        <charset val="1"/>
      </rPr>
      <t xml:space="preserve">) miệng </t>
    </r>
    <r>
      <rPr>
        <sz val="10"/>
        <rFont val="Noto Sans CJK SC"/>
        <family val="2"/>
      </rPr>
      <t xml:space="preserve">・ 入口 </t>
    </r>
    <r>
      <rPr>
        <sz val="10"/>
        <rFont val="Arial"/>
        <family val="0"/>
        <charset val="1"/>
      </rPr>
      <t xml:space="preserve">(</t>
    </r>
    <r>
      <rPr>
        <sz val="10"/>
        <rFont val="Noto Sans CJK SC"/>
        <family val="2"/>
      </rPr>
      <t xml:space="preserve">いりぐち</t>
    </r>
    <r>
      <rPr>
        <sz val="10"/>
        <rFont val="Arial"/>
        <family val="0"/>
        <charset val="1"/>
      </rPr>
      <t xml:space="preserve">) lối vào </t>
    </r>
    <r>
      <rPr>
        <sz val="10"/>
        <rFont val="Noto Sans CJK SC"/>
        <family val="2"/>
      </rPr>
      <t xml:space="preserve">・ 人口 </t>
    </r>
    <r>
      <rPr>
        <sz val="10"/>
        <rFont val="Arial"/>
        <family val="0"/>
        <charset val="1"/>
      </rPr>
      <t xml:space="preserve">(</t>
    </r>
    <r>
      <rPr>
        <sz val="10"/>
        <rFont val="Noto Sans CJK SC"/>
        <family val="2"/>
      </rPr>
      <t xml:space="preserve">じんこう</t>
    </r>
    <r>
      <rPr>
        <sz val="10"/>
        <rFont val="Arial"/>
        <family val="0"/>
        <charset val="1"/>
      </rPr>
      <t xml:space="preserve">) dân số</t>
    </r>
  </si>
  <si>
    <t xml:space="preserve">Ô vuông = cái MIỆNG đang há. Từ nghĩa miệng → cái cửa (nơi ra vào).</t>
  </si>
  <si>
    <t xml:space="preserve">少</t>
  </si>
  <si>
    <t xml:space="preserve">THIỂU</t>
  </si>
  <si>
    <t xml:space="preserve">Ít</t>
  </si>
  <si>
    <r>
      <rPr>
        <sz val="10"/>
        <rFont val="Noto Sans CJK SC"/>
        <family val="2"/>
      </rPr>
      <t xml:space="preserve">すく</t>
    </r>
    <r>
      <rPr>
        <sz val="10"/>
        <rFont val="Arial"/>
        <family val="0"/>
        <charset val="1"/>
      </rPr>
      <t xml:space="preserve">(</t>
    </r>
    <r>
      <rPr>
        <sz val="10"/>
        <rFont val="Noto Sans CJK SC"/>
        <family val="2"/>
      </rPr>
      <t xml:space="preserve">ない</t>
    </r>
    <r>
      <rPr>
        <sz val="10"/>
        <rFont val="Arial"/>
        <family val="0"/>
        <charset val="1"/>
      </rPr>
      <t xml:space="preserve">)</t>
    </r>
    <r>
      <rPr>
        <sz val="10"/>
        <rFont val="Noto Sans CJK SC"/>
        <family val="2"/>
      </rPr>
      <t xml:space="preserve">・すこ</t>
    </r>
    <r>
      <rPr>
        <sz val="10"/>
        <rFont val="Arial"/>
        <family val="0"/>
        <charset val="1"/>
      </rPr>
      <t xml:space="preserve">(</t>
    </r>
    <r>
      <rPr>
        <sz val="10"/>
        <rFont val="Noto Sans CJK SC"/>
        <family val="2"/>
      </rPr>
      <t xml:space="preserve">し</t>
    </r>
    <r>
      <rPr>
        <sz val="10"/>
        <rFont val="Arial"/>
        <family val="0"/>
        <charset val="1"/>
      </rPr>
      <t xml:space="preserve">)</t>
    </r>
  </si>
  <si>
    <r>
      <rPr>
        <sz val="10"/>
        <rFont val="Noto Sans CJK SC"/>
        <family val="2"/>
      </rPr>
      <t xml:space="preserve">少ない </t>
    </r>
    <r>
      <rPr>
        <sz val="10"/>
        <rFont val="Arial"/>
        <family val="0"/>
        <charset val="1"/>
      </rPr>
      <t xml:space="preserve">(</t>
    </r>
    <r>
      <rPr>
        <sz val="10"/>
        <rFont val="Noto Sans CJK SC"/>
        <family val="2"/>
      </rPr>
      <t xml:space="preserve">すくない</t>
    </r>
    <r>
      <rPr>
        <sz val="10"/>
        <rFont val="Arial"/>
        <family val="0"/>
        <charset val="1"/>
      </rPr>
      <t xml:space="preserve">) ít </t>
    </r>
    <r>
      <rPr>
        <sz val="10"/>
        <rFont val="Noto Sans CJK SC"/>
        <family val="2"/>
      </rPr>
      <t xml:space="preserve">・ 少し </t>
    </r>
    <r>
      <rPr>
        <sz val="10"/>
        <rFont val="Arial"/>
        <family val="0"/>
        <charset val="1"/>
      </rPr>
      <t xml:space="preserve">(</t>
    </r>
    <r>
      <rPr>
        <sz val="10"/>
        <rFont val="Noto Sans CJK SC"/>
        <family val="2"/>
      </rPr>
      <t xml:space="preserve">すこし</t>
    </r>
    <r>
      <rPr>
        <sz val="10"/>
        <rFont val="Arial"/>
        <family val="0"/>
        <charset val="1"/>
      </rPr>
      <t xml:space="preserve">) một chút </t>
    </r>
    <r>
      <rPr>
        <sz val="10"/>
        <rFont val="Noto Sans CJK SC"/>
        <family val="2"/>
      </rPr>
      <t xml:space="preserve">・ 少々 </t>
    </r>
    <r>
      <rPr>
        <sz val="10"/>
        <rFont val="Arial"/>
        <family val="0"/>
        <charset val="1"/>
      </rPr>
      <t xml:space="preserve">(</t>
    </r>
    <r>
      <rPr>
        <sz val="10"/>
        <rFont val="Noto Sans CJK SC"/>
        <family val="2"/>
      </rPr>
      <t xml:space="preserve">しょうしょう</t>
    </r>
    <r>
      <rPr>
        <sz val="10"/>
        <rFont val="Arial"/>
        <family val="0"/>
        <charset val="1"/>
      </rPr>
      <t xml:space="preserve">) một lát</t>
    </r>
  </si>
  <si>
    <r>
      <rPr>
        <sz val="10"/>
        <rFont val="Arial"/>
        <family val="0"/>
        <charset val="1"/>
      </rPr>
      <t xml:space="preserve">Chữ </t>
    </r>
    <r>
      <rPr>
        <sz val="10"/>
        <rFont val="Noto Sans CJK SC"/>
        <family val="2"/>
      </rPr>
      <t xml:space="preserve">小 </t>
    </r>
    <r>
      <rPr>
        <sz val="10"/>
        <rFont val="Arial"/>
        <family val="0"/>
        <charset val="1"/>
      </rPr>
      <t xml:space="preserve">(nhỏ) bị gạch mất một nét = nhỏ hơn cả nhỏ → ÍT.</t>
    </r>
  </si>
  <si>
    <t xml:space="preserve">校</t>
  </si>
  <si>
    <t xml:space="preserve">HIỆU</t>
  </si>
  <si>
    <t xml:space="preserve">Trường học</t>
  </si>
  <si>
    <r>
      <rPr>
        <sz val="10"/>
        <rFont val="Noto Sans CJK SC"/>
        <family val="2"/>
      </rPr>
      <t xml:space="preserve">学校 </t>
    </r>
    <r>
      <rPr>
        <sz val="10"/>
        <rFont val="Arial"/>
        <family val="0"/>
        <charset val="1"/>
      </rPr>
      <t xml:space="preserve">(</t>
    </r>
    <r>
      <rPr>
        <sz val="10"/>
        <rFont val="Noto Sans CJK SC"/>
        <family val="2"/>
      </rPr>
      <t xml:space="preserve">がっこう</t>
    </r>
    <r>
      <rPr>
        <sz val="10"/>
        <rFont val="Arial"/>
        <family val="0"/>
        <charset val="1"/>
      </rPr>
      <t xml:space="preserve">) trường học </t>
    </r>
    <r>
      <rPr>
        <sz val="10"/>
        <rFont val="Noto Sans CJK SC"/>
        <family val="2"/>
      </rPr>
      <t xml:space="preserve">・ 高校 </t>
    </r>
    <r>
      <rPr>
        <sz val="10"/>
        <rFont val="Arial"/>
        <family val="0"/>
        <charset val="1"/>
      </rPr>
      <t xml:space="preserve">(</t>
    </r>
    <r>
      <rPr>
        <sz val="10"/>
        <rFont val="Noto Sans CJK SC"/>
        <family val="2"/>
      </rPr>
      <t xml:space="preserve">こうこう</t>
    </r>
    <r>
      <rPr>
        <sz val="10"/>
        <rFont val="Arial"/>
        <family val="0"/>
        <charset val="1"/>
      </rPr>
      <t xml:space="preserve">) cấp 3 </t>
    </r>
    <r>
      <rPr>
        <sz val="10"/>
        <rFont val="Noto Sans CJK SC"/>
        <family val="2"/>
      </rPr>
      <t xml:space="preserve">・ 校長 </t>
    </r>
    <r>
      <rPr>
        <sz val="10"/>
        <rFont val="Arial"/>
        <family val="0"/>
        <charset val="1"/>
      </rPr>
      <t xml:space="preserve">(</t>
    </r>
    <r>
      <rPr>
        <sz val="10"/>
        <rFont val="Noto Sans CJK SC"/>
        <family val="2"/>
      </rPr>
      <t xml:space="preserve">こうちょう</t>
    </r>
    <r>
      <rPr>
        <sz val="10"/>
        <rFont val="Arial"/>
        <family val="0"/>
        <charset val="1"/>
      </rPr>
      <t xml:space="preserve">) hiệu trưởng</t>
    </r>
  </si>
  <si>
    <r>
      <rPr>
        <sz val="10"/>
        <rFont val="Noto Sans CJK SC"/>
        <family val="2"/>
      </rPr>
      <t xml:space="preserve">木 </t>
    </r>
    <r>
      <rPr>
        <sz val="10"/>
        <rFont val="Arial"/>
        <family val="0"/>
        <charset val="1"/>
      </rPr>
      <t xml:space="preserve">(gỗ) + </t>
    </r>
    <r>
      <rPr>
        <sz val="10"/>
        <rFont val="Noto Sans CJK SC"/>
        <family val="2"/>
      </rPr>
      <t xml:space="preserve">交 </t>
    </r>
    <r>
      <rPr>
        <sz val="10"/>
        <rFont val="Arial"/>
        <family val="0"/>
        <charset val="1"/>
      </rPr>
      <t xml:space="preserve">(giao nhau) = ngôi nhà gỗ nơi mọi người GIAO LƯU học tập → TRƯỜNG.</t>
    </r>
  </si>
  <si>
    <t xml:space="preserve">語</t>
  </si>
  <si>
    <t xml:space="preserve">NGỮ</t>
  </si>
  <si>
    <t xml:space="preserve">Ngôn ngữ, từ</t>
  </si>
  <si>
    <r>
      <rPr>
        <sz val="10"/>
        <rFont val="Noto Sans CJK SC"/>
        <family val="2"/>
      </rPr>
      <t xml:space="preserve">かた</t>
    </r>
    <r>
      <rPr>
        <sz val="10"/>
        <rFont val="Arial"/>
        <family val="0"/>
        <charset val="1"/>
      </rPr>
      <t xml:space="preserve">(</t>
    </r>
    <r>
      <rPr>
        <sz val="10"/>
        <rFont val="Noto Sans CJK SC"/>
        <family val="2"/>
      </rPr>
      <t xml:space="preserve">る</t>
    </r>
    <r>
      <rPr>
        <sz val="10"/>
        <rFont val="Arial"/>
        <family val="0"/>
        <charset val="1"/>
      </rPr>
      <t xml:space="preserve">)</t>
    </r>
  </si>
  <si>
    <t xml:space="preserve">14</t>
  </si>
  <si>
    <r>
      <rPr>
        <sz val="10"/>
        <rFont val="Noto Sans CJK SC"/>
        <family val="2"/>
      </rPr>
      <t xml:space="preserve">日本語 </t>
    </r>
    <r>
      <rPr>
        <sz val="10"/>
        <rFont val="Arial"/>
        <family val="0"/>
        <charset val="1"/>
      </rPr>
      <t xml:space="preserve">(</t>
    </r>
    <r>
      <rPr>
        <sz val="10"/>
        <rFont val="Noto Sans CJK SC"/>
        <family val="2"/>
      </rPr>
      <t xml:space="preserve">にほんご</t>
    </r>
    <r>
      <rPr>
        <sz val="10"/>
        <rFont val="Arial"/>
        <family val="0"/>
        <charset val="1"/>
      </rPr>
      <t xml:space="preserve">) tiếng Nhật </t>
    </r>
    <r>
      <rPr>
        <sz val="10"/>
        <rFont val="Noto Sans CJK SC"/>
        <family val="2"/>
      </rPr>
      <t xml:space="preserve">・ 英語 </t>
    </r>
    <r>
      <rPr>
        <sz val="10"/>
        <rFont val="Arial"/>
        <family val="0"/>
        <charset val="1"/>
      </rPr>
      <t xml:space="preserve">(</t>
    </r>
    <r>
      <rPr>
        <sz val="10"/>
        <rFont val="Noto Sans CJK SC"/>
        <family val="2"/>
      </rPr>
      <t xml:space="preserve">えいご</t>
    </r>
    <r>
      <rPr>
        <sz val="10"/>
        <rFont val="Arial"/>
        <family val="0"/>
        <charset val="1"/>
      </rPr>
      <t xml:space="preserve">) tiếng Anh </t>
    </r>
    <r>
      <rPr>
        <sz val="10"/>
        <rFont val="Noto Sans CJK SC"/>
        <family val="2"/>
      </rPr>
      <t xml:space="preserve">・ 単語 </t>
    </r>
    <r>
      <rPr>
        <sz val="10"/>
        <rFont val="Arial"/>
        <family val="0"/>
        <charset val="1"/>
      </rPr>
      <t xml:space="preserve">(</t>
    </r>
    <r>
      <rPr>
        <sz val="10"/>
        <rFont val="Noto Sans CJK SC"/>
        <family val="2"/>
      </rPr>
      <t xml:space="preserve">たんご</t>
    </r>
    <r>
      <rPr>
        <sz val="10"/>
        <rFont val="Arial"/>
        <family val="0"/>
        <charset val="1"/>
      </rPr>
      <t xml:space="preserve">) từ vựng</t>
    </r>
  </si>
  <si>
    <r>
      <rPr>
        <sz val="10"/>
        <rFont val="Noto Sans CJK SC"/>
        <family val="2"/>
      </rPr>
      <t xml:space="preserve">言 </t>
    </r>
    <r>
      <rPr>
        <sz val="10"/>
        <rFont val="Arial"/>
        <family val="0"/>
        <charset val="1"/>
      </rPr>
      <t xml:space="preserve">(nói) + </t>
    </r>
    <r>
      <rPr>
        <sz val="10"/>
        <rFont val="Noto Sans CJK SC"/>
        <family val="2"/>
      </rPr>
      <t xml:space="preserve">五 </t>
    </r>
    <r>
      <rPr>
        <sz val="10"/>
        <rFont val="Arial"/>
        <family val="0"/>
        <charset val="1"/>
      </rPr>
      <t xml:space="preserve">(năm) + </t>
    </r>
    <r>
      <rPr>
        <sz val="10"/>
        <rFont val="Noto Sans CJK SC"/>
        <family val="2"/>
      </rPr>
      <t xml:space="preserve">口 </t>
    </r>
    <r>
      <rPr>
        <sz val="10"/>
        <rFont val="Arial"/>
        <family val="0"/>
        <charset val="1"/>
      </rPr>
      <t xml:space="preserve">(miệng) = năm cái miệng cùng nói → NGÔN NGỮ.</t>
    </r>
  </si>
  <si>
    <t xml:space="preserve">空</t>
  </si>
  <si>
    <t xml:space="preserve">KHÔNG</t>
  </si>
  <si>
    <t xml:space="preserve">Bầu trời, trống</t>
  </si>
  <si>
    <t xml:space="preserve">クウ</t>
  </si>
  <si>
    <r>
      <rPr>
        <sz val="10"/>
        <rFont val="Noto Sans CJK SC"/>
        <family val="2"/>
      </rPr>
      <t xml:space="preserve">そら・あ</t>
    </r>
    <r>
      <rPr>
        <sz val="10"/>
        <rFont val="Arial"/>
        <family val="0"/>
        <charset val="1"/>
      </rPr>
      <t xml:space="preserve">(</t>
    </r>
    <r>
      <rPr>
        <sz val="10"/>
        <rFont val="Noto Sans CJK SC"/>
        <family val="2"/>
      </rPr>
      <t xml:space="preserve">く</t>
    </r>
    <r>
      <rPr>
        <sz val="10"/>
        <rFont val="Arial"/>
        <family val="0"/>
        <charset val="1"/>
      </rPr>
      <t xml:space="preserve">)</t>
    </r>
  </si>
  <si>
    <r>
      <rPr>
        <sz val="10"/>
        <rFont val="Noto Sans CJK SC"/>
        <family val="2"/>
      </rPr>
      <t xml:space="preserve">空 </t>
    </r>
    <r>
      <rPr>
        <sz val="10"/>
        <rFont val="Arial"/>
        <family val="0"/>
        <charset val="1"/>
      </rPr>
      <t xml:space="preserve">(</t>
    </r>
    <r>
      <rPr>
        <sz val="10"/>
        <rFont val="Noto Sans CJK SC"/>
        <family val="2"/>
      </rPr>
      <t xml:space="preserve">そら</t>
    </r>
    <r>
      <rPr>
        <sz val="10"/>
        <rFont val="Arial"/>
        <family val="0"/>
        <charset val="1"/>
      </rPr>
      <t xml:space="preserve">) bầu trời </t>
    </r>
    <r>
      <rPr>
        <sz val="10"/>
        <rFont val="Noto Sans CJK SC"/>
        <family val="2"/>
      </rPr>
      <t xml:space="preserve">・ 空港 </t>
    </r>
    <r>
      <rPr>
        <sz val="10"/>
        <rFont val="Arial"/>
        <family val="0"/>
        <charset val="1"/>
      </rPr>
      <t xml:space="preserve">(</t>
    </r>
    <r>
      <rPr>
        <sz val="10"/>
        <rFont val="Noto Sans CJK SC"/>
        <family val="2"/>
      </rPr>
      <t xml:space="preserve">くうこう</t>
    </r>
    <r>
      <rPr>
        <sz val="10"/>
        <rFont val="Arial"/>
        <family val="0"/>
        <charset val="1"/>
      </rPr>
      <t xml:space="preserve">) sân bay </t>
    </r>
    <r>
      <rPr>
        <sz val="10"/>
        <rFont val="Noto Sans CJK SC"/>
        <family val="2"/>
      </rPr>
      <t xml:space="preserve">・ 空気 </t>
    </r>
    <r>
      <rPr>
        <sz val="10"/>
        <rFont val="Arial"/>
        <family val="0"/>
        <charset val="1"/>
      </rPr>
      <t xml:space="preserve">(</t>
    </r>
    <r>
      <rPr>
        <sz val="10"/>
        <rFont val="Noto Sans CJK SC"/>
        <family val="2"/>
      </rPr>
      <t xml:space="preserve">くうき</t>
    </r>
    <r>
      <rPr>
        <sz val="10"/>
        <rFont val="Arial"/>
        <family val="0"/>
        <charset val="1"/>
      </rPr>
      <t xml:space="preserve">) không khí</t>
    </r>
  </si>
  <si>
    <r>
      <rPr>
        <sz val="10"/>
        <rFont val="Arial"/>
        <family val="0"/>
        <charset val="1"/>
      </rPr>
      <t xml:space="preserve">Bộ </t>
    </r>
    <r>
      <rPr>
        <sz val="10"/>
        <rFont val="Noto Sans CJK SC"/>
        <family val="2"/>
      </rPr>
      <t xml:space="preserve">穴 </t>
    </r>
    <r>
      <rPr>
        <sz val="10"/>
        <rFont val="Arial"/>
        <family val="0"/>
        <charset val="1"/>
      </rPr>
      <t xml:space="preserve">(cái hang) + </t>
    </r>
    <r>
      <rPr>
        <sz val="10"/>
        <rFont val="Noto Sans CJK SC"/>
        <family val="2"/>
      </rPr>
      <t xml:space="preserve">工 </t>
    </r>
    <r>
      <rPr>
        <sz val="10"/>
        <rFont val="Arial"/>
        <family val="0"/>
        <charset val="1"/>
      </rPr>
      <t xml:space="preserve">= khoảng RỖNG bên trên. Rỗng → bầu trời.</t>
    </r>
  </si>
  <si>
    <t xml:space="preserve">THỔ</t>
  </si>
  <si>
    <t xml:space="preserve">Đất</t>
  </si>
  <si>
    <t xml:space="preserve">つち</t>
  </si>
  <si>
    <r>
      <rPr>
        <sz val="10"/>
        <rFont val="Noto Sans CJK SC"/>
        <family val="2"/>
      </rPr>
      <t xml:space="preserve">土曜日 </t>
    </r>
    <r>
      <rPr>
        <sz val="10"/>
        <rFont val="Arial"/>
        <family val="0"/>
        <charset val="1"/>
      </rPr>
      <t xml:space="preserve">(</t>
    </r>
    <r>
      <rPr>
        <sz val="10"/>
        <rFont val="Noto Sans CJK SC"/>
        <family val="2"/>
      </rPr>
      <t xml:space="preserve">どようび</t>
    </r>
    <r>
      <rPr>
        <sz val="10"/>
        <rFont val="Arial"/>
        <family val="0"/>
        <charset val="1"/>
      </rPr>
      <t xml:space="preserve">) thứ Bảy </t>
    </r>
    <r>
      <rPr>
        <sz val="10"/>
        <rFont val="Noto Sans CJK SC"/>
        <family val="2"/>
      </rPr>
      <t xml:space="preserve">・ 土 </t>
    </r>
    <r>
      <rPr>
        <sz val="10"/>
        <rFont val="Arial"/>
        <family val="0"/>
        <charset val="1"/>
      </rPr>
      <t xml:space="preserve">(</t>
    </r>
    <r>
      <rPr>
        <sz val="10"/>
        <rFont val="Noto Sans CJK SC"/>
        <family val="2"/>
      </rPr>
      <t xml:space="preserve">つち</t>
    </r>
    <r>
      <rPr>
        <sz val="10"/>
        <rFont val="Arial"/>
        <family val="0"/>
        <charset val="1"/>
      </rPr>
      <t xml:space="preserve">) đất </t>
    </r>
    <r>
      <rPr>
        <sz val="10"/>
        <rFont val="Noto Sans CJK SC"/>
        <family val="2"/>
      </rPr>
      <t xml:space="preserve">・ 土地 </t>
    </r>
    <r>
      <rPr>
        <sz val="10"/>
        <rFont val="Arial"/>
        <family val="0"/>
        <charset val="1"/>
      </rPr>
      <t xml:space="preserve">(</t>
    </r>
    <r>
      <rPr>
        <sz val="10"/>
        <rFont val="Noto Sans CJK SC"/>
        <family val="2"/>
      </rPr>
      <t xml:space="preserve">とち</t>
    </r>
    <r>
      <rPr>
        <sz val="10"/>
        <rFont val="Arial"/>
        <family val="0"/>
        <charset val="1"/>
      </rPr>
      <t xml:space="preserve">) đất đai</t>
    </r>
  </si>
  <si>
    <r>
      <rPr>
        <sz val="10"/>
        <rFont val="Arial"/>
        <family val="0"/>
        <charset val="1"/>
      </rPr>
      <t xml:space="preserve">Cây mầm cắm xuống mặt ĐẤT. Giống </t>
    </r>
    <r>
      <rPr>
        <sz val="10"/>
        <rFont val="Noto Sans CJK SC"/>
        <family val="2"/>
      </rPr>
      <t xml:space="preserve">士 </t>
    </r>
    <r>
      <rPr>
        <sz val="10"/>
        <rFont val="Arial"/>
        <family val="0"/>
        <charset val="1"/>
      </rPr>
      <t xml:space="preserve">nhưng vạch dưới dài hơn vạch trên.</t>
    </r>
  </si>
  <si>
    <t xml:space="preserve">MỘC</t>
  </si>
  <si>
    <t xml:space="preserve">モク・ボク</t>
  </si>
  <si>
    <r>
      <rPr>
        <sz val="10"/>
        <rFont val="Noto Sans CJK SC"/>
        <family val="2"/>
      </rPr>
      <t xml:space="preserve">木 </t>
    </r>
    <r>
      <rPr>
        <sz val="10"/>
        <rFont val="Arial"/>
        <family val="0"/>
        <charset val="1"/>
      </rPr>
      <t xml:space="preserve">(</t>
    </r>
    <r>
      <rPr>
        <sz val="10"/>
        <rFont val="Noto Sans CJK SC"/>
        <family val="2"/>
      </rPr>
      <t xml:space="preserve">き</t>
    </r>
    <r>
      <rPr>
        <sz val="10"/>
        <rFont val="Arial"/>
        <family val="0"/>
        <charset val="1"/>
      </rPr>
      <t xml:space="preserve">) cây </t>
    </r>
    <r>
      <rPr>
        <sz val="10"/>
        <rFont val="Noto Sans CJK SC"/>
        <family val="2"/>
      </rPr>
      <t xml:space="preserve">・ 木曜日 </t>
    </r>
    <r>
      <rPr>
        <sz val="10"/>
        <rFont val="Arial"/>
        <family val="0"/>
        <charset val="1"/>
      </rPr>
      <t xml:space="preserve">(</t>
    </r>
    <r>
      <rPr>
        <sz val="10"/>
        <rFont val="Noto Sans CJK SC"/>
        <family val="2"/>
      </rPr>
      <t xml:space="preserve">もくようび</t>
    </r>
    <r>
      <rPr>
        <sz val="10"/>
        <rFont val="Arial"/>
        <family val="0"/>
        <charset val="1"/>
      </rPr>
      <t xml:space="preserve">) thứ Năm </t>
    </r>
    <r>
      <rPr>
        <sz val="10"/>
        <rFont val="Noto Sans CJK SC"/>
        <family val="2"/>
      </rPr>
      <t xml:space="preserve">・ 木村 </t>
    </r>
    <r>
      <rPr>
        <sz val="10"/>
        <rFont val="Arial"/>
        <family val="0"/>
        <charset val="1"/>
      </rPr>
      <t xml:space="preserve">(</t>
    </r>
    <r>
      <rPr>
        <sz val="10"/>
        <rFont val="Noto Sans CJK SC"/>
        <family val="2"/>
      </rPr>
      <t xml:space="preserve">きむら</t>
    </r>
    <r>
      <rPr>
        <sz val="10"/>
        <rFont val="Arial"/>
        <family val="0"/>
        <charset val="1"/>
      </rPr>
      <t xml:space="preserve">) Kimura</t>
    </r>
  </si>
  <si>
    <t xml:space="preserve">Thân cây thẳng, có cành vươn ngang và rễ tỏa xuống.</t>
  </si>
  <si>
    <t xml:space="preserve">聞</t>
  </si>
  <si>
    <t xml:space="preserve">VĂN</t>
  </si>
  <si>
    <t xml:space="preserve">Nghe, hỏi</t>
  </si>
  <si>
    <t xml:space="preserve">ブン</t>
  </si>
  <si>
    <r>
      <rPr>
        <sz val="10"/>
        <rFont val="Noto Sans CJK SC"/>
        <family val="2"/>
      </rPr>
      <t xml:space="preserve">き</t>
    </r>
    <r>
      <rPr>
        <sz val="10"/>
        <rFont val="Arial"/>
        <family val="0"/>
        <charset val="1"/>
      </rPr>
      <t xml:space="preserve">(</t>
    </r>
    <r>
      <rPr>
        <sz val="10"/>
        <rFont val="Noto Sans CJK SC"/>
        <family val="2"/>
      </rPr>
      <t xml:space="preserve">く</t>
    </r>
    <r>
      <rPr>
        <sz val="10"/>
        <rFont val="Arial"/>
        <family val="0"/>
        <charset val="1"/>
      </rPr>
      <t xml:space="preserve">)</t>
    </r>
  </si>
  <si>
    <r>
      <rPr>
        <sz val="10"/>
        <rFont val="Noto Sans CJK SC"/>
        <family val="2"/>
      </rPr>
      <t xml:space="preserve">聞きます </t>
    </r>
    <r>
      <rPr>
        <sz val="10"/>
        <rFont val="Arial"/>
        <family val="0"/>
        <charset val="1"/>
      </rPr>
      <t xml:space="preserve">(</t>
    </r>
    <r>
      <rPr>
        <sz val="10"/>
        <rFont val="Noto Sans CJK SC"/>
        <family val="2"/>
      </rPr>
      <t xml:space="preserve">ききます</t>
    </r>
    <r>
      <rPr>
        <sz val="10"/>
        <rFont val="Arial"/>
        <family val="0"/>
        <charset val="1"/>
      </rPr>
      <t xml:space="preserve">) nghe </t>
    </r>
    <r>
      <rPr>
        <sz val="10"/>
        <rFont val="Noto Sans CJK SC"/>
        <family val="2"/>
      </rPr>
      <t xml:space="preserve">・ 新聞 </t>
    </r>
    <r>
      <rPr>
        <sz val="10"/>
        <rFont val="Arial"/>
        <family val="0"/>
        <charset val="1"/>
      </rPr>
      <t xml:space="preserve">(</t>
    </r>
    <r>
      <rPr>
        <sz val="10"/>
        <rFont val="Noto Sans CJK SC"/>
        <family val="2"/>
      </rPr>
      <t xml:space="preserve">しんぶん</t>
    </r>
    <r>
      <rPr>
        <sz val="10"/>
        <rFont val="Arial"/>
        <family val="0"/>
        <charset val="1"/>
      </rPr>
      <t xml:space="preserve">) báo </t>
    </r>
    <r>
      <rPr>
        <sz val="10"/>
        <rFont val="Noto Sans CJK SC"/>
        <family val="2"/>
      </rPr>
      <t xml:space="preserve">・ 聞こえます </t>
    </r>
    <r>
      <rPr>
        <sz val="10"/>
        <rFont val="Arial"/>
        <family val="0"/>
        <charset val="1"/>
      </rPr>
      <t xml:space="preserve">nghe thấy</t>
    </r>
  </si>
  <si>
    <r>
      <rPr>
        <sz val="10"/>
        <rFont val="Noto Sans CJK SC"/>
        <family val="2"/>
      </rPr>
      <t xml:space="preserve">門 </t>
    </r>
    <r>
      <rPr>
        <sz val="10"/>
        <rFont val="Arial"/>
        <family val="0"/>
        <charset val="1"/>
      </rPr>
      <t xml:space="preserve">(cánh cửa) có </t>
    </r>
    <r>
      <rPr>
        <sz val="10"/>
        <rFont val="Noto Sans CJK SC"/>
        <family val="2"/>
      </rPr>
      <t xml:space="preserve">耳 </t>
    </r>
    <r>
      <rPr>
        <sz val="10"/>
        <rFont val="Arial"/>
        <family val="0"/>
        <charset val="1"/>
      </rPr>
      <t xml:space="preserve">(cái tai) áp vào giữa = áp tai vào cửa để NGHE trộm.</t>
    </r>
  </si>
  <si>
    <t xml:space="preserve">食</t>
  </si>
  <si>
    <t xml:space="preserve">THỰC</t>
  </si>
  <si>
    <t xml:space="preserve">Ăn</t>
  </si>
  <si>
    <t xml:space="preserve">ショク</t>
  </si>
  <si>
    <r>
      <rPr>
        <sz val="10"/>
        <rFont val="Noto Sans CJK SC"/>
        <family val="2"/>
      </rPr>
      <t xml:space="preserve">た</t>
    </r>
    <r>
      <rPr>
        <sz val="10"/>
        <rFont val="Arial"/>
        <family val="0"/>
        <charset val="1"/>
      </rPr>
      <t xml:space="preserve">(</t>
    </r>
    <r>
      <rPr>
        <sz val="10"/>
        <rFont val="Noto Sans CJK SC"/>
        <family val="2"/>
      </rPr>
      <t xml:space="preserve">べる</t>
    </r>
    <r>
      <rPr>
        <sz val="10"/>
        <rFont val="Arial"/>
        <family val="0"/>
        <charset val="1"/>
      </rPr>
      <t xml:space="preserve">)</t>
    </r>
  </si>
  <si>
    <r>
      <rPr>
        <sz val="10"/>
        <rFont val="Noto Sans CJK SC"/>
        <family val="2"/>
      </rPr>
      <t xml:space="preserve">食べます </t>
    </r>
    <r>
      <rPr>
        <sz val="10"/>
        <rFont val="Arial"/>
        <family val="0"/>
        <charset val="1"/>
      </rPr>
      <t xml:space="preserve">(</t>
    </r>
    <r>
      <rPr>
        <sz val="10"/>
        <rFont val="Noto Sans CJK SC"/>
        <family val="2"/>
      </rPr>
      <t xml:space="preserve">たべます</t>
    </r>
    <r>
      <rPr>
        <sz val="10"/>
        <rFont val="Arial"/>
        <family val="0"/>
        <charset val="1"/>
      </rPr>
      <t xml:space="preserve">) ăn </t>
    </r>
    <r>
      <rPr>
        <sz val="10"/>
        <rFont val="Noto Sans CJK SC"/>
        <family val="2"/>
      </rPr>
      <t xml:space="preserve">・ 食堂 </t>
    </r>
    <r>
      <rPr>
        <sz val="10"/>
        <rFont val="Arial"/>
        <family val="0"/>
        <charset val="1"/>
      </rPr>
      <t xml:space="preserve">(</t>
    </r>
    <r>
      <rPr>
        <sz val="10"/>
        <rFont val="Noto Sans CJK SC"/>
        <family val="2"/>
      </rPr>
      <t xml:space="preserve">しょくどう</t>
    </r>
    <r>
      <rPr>
        <sz val="10"/>
        <rFont val="Arial"/>
        <family val="0"/>
        <charset val="1"/>
      </rPr>
      <t xml:space="preserve">) nhà ăn </t>
    </r>
    <r>
      <rPr>
        <sz val="10"/>
        <rFont val="Noto Sans CJK SC"/>
        <family val="2"/>
      </rPr>
      <t xml:space="preserve">・ 食事 </t>
    </r>
    <r>
      <rPr>
        <sz val="10"/>
        <rFont val="Arial"/>
        <family val="0"/>
        <charset val="1"/>
      </rPr>
      <t xml:space="preserve">(</t>
    </r>
    <r>
      <rPr>
        <sz val="10"/>
        <rFont val="Noto Sans CJK SC"/>
        <family val="2"/>
      </rPr>
      <t xml:space="preserve">しょくじ</t>
    </r>
    <r>
      <rPr>
        <sz val="10"/>
        <rFont val="Arial"/>
        <family val="0"/>
        <charset val="1"/>
      </rPr>
      <t xml:space="preserve">) bữa ăn</t>
    </r>
  </si>
  <si>
    <r>
      <rPr>
        <sz val="10"/>
        <rFont val="Arial"/>
        <family val="0"/>
        <charset val="1"/>
      </rPr>
      <t xml:space="preserve">Cái mái che </t>
    </r>
    <r>
      <rPr>
        <sz val="10"/>
        <rFont val="Noto Sans CJK SC"/>
        <family val="2"/>
      </rPr>
      <t xml:space="preserve">亼 </t>
    </r>
    <r>
      <rPr>
        <sz val="10"/>
        <rFont val="Arial"/>
        <family val="0"/>
        <charset val="1"/>
      </rPr>
      <t xml:space="preserve">úp trên mâm cơm đầy = bữa ĂN.</t>
    </r>
  </si>
  <si>
    <t xml:space="preserve">XA</t>
  </si>
  <si>
    <t xml:space="preserve">Xe</t>
  </si>
  <si>
    <t xml:space="preserve">くるま</t>
  </si>
  <si>
    <r>
      <rPr>
        <sz val="10"/>
        <rFont val="Noto Sans CJK SC"/>
        <family val="2"/>
      </rPr>
      <t xml:space="preserve">車 </t>
    </r>
    <r>
      <rPr>
        <sz val="10"/>
        <rFont val="Arial"/>
        <family val="0"/>
        <charset val="1"/>
      </rPr>
      <t xml:space="preserve">(</t>
    </r>
    <r>
      <rPr>
        <sz val="10"/>
        <rFont val="Noto Sans CJK SC"/>
        <family val="2"/>
      </rPr>
      <t xml:space="preserve">くるま</t>
    </r>
    <r>
      <rPr>
        <sz val="10"/>
        <rFont val="Arial"/>
        <family val="0"/>
        <charset val="1"/>
      </rPr>
      <t xml:space="preserve">) ô tô </t>
    </r>
    <r>
      <rPr>
        <sz val="10"/>
        <rFont val="Noto Sans CJK SC"/>
        <family val="2"/>
      </rPr>
      <t xml:space="preserve">・ 電車 </t>
    </r>
    <r>
      <rPr>
        <sz val="10"/>
        <rFont val="Arial"/>
        <family val="0"/>
        <charset val="1"/>
      </rPr>
      <t xml:space="preserve">(</t>
    </r>
    <r>
      <rPr>
        <sz val="10"/>
        <rFont val="Noto Sans CJK SC"/>
        <family val="2"/>
      </rPr>
      <t xml:space="preserve">でんしゃ</t>
    </r>
    <r>
      <rPr>
        <sz val="10"/>
        <rFont val="Arial"/>
        <family val="0"/>
        <charset val="1"/>
      </rPr>
      <t xml:space="preserve">) tàu điện </t>
    </r>
    <r>
      <rPr>
        <sz val="10"/>
        <rFont val="Noto Sans CJK SC"/>
        <family val="2"/>
      </rPr>
      <t xml:space="preserve">・ 自転車 </t>
    </r>
    <r>
      <rPr>
        <sz val="10"/>
        <rFont val="Arial"/>
        <family val="0"/>
        <charset val="1"/>
      </rPr>
      <t xml:space="preserve">(</t>
    </r>
    <r>
      <rPr>
        <sz val="10"/>
        <rFont val="Noto Sans CJK SC"/>
        <family val="2"/>
      </rPr>
      <t xml:space="preserve">じてんしゃ</t>
    </r>
    <r>
      <rPr>
        <sz val="10"/>
        <rFont val="Arial"/>
        <family val="0"/>
        <charset val="1"/>
      </rPr>
      <t xml:space="preserve">) xe đạp</t>
    </r>
  </si>
  <si>
    <t xml:space="preserve">Nhìn chiếc xe từ trên xuống: trục dọc ở giữa, hai bánh hai bên.</t>
  </si>
  <si>
    <t xml:space="preserve">何</t>
  </si>
  <si>
    <t xml:space="preserve">HÀ</t>
  </si>
  <si>
    <t xml:space="preserve">Cái gì</t>
  </si>
  <si>
    <t xml:space="preserve">なに・なん</t>
  </si>
  <si>
    <r>
      <rPr>
        <sz val="10"/>
        <rFont val="Noto Sans CJK SC"/>
        <family val="2"/>
      </rPr>
      <t xml:space="preserve">何 </t>
    </r>
    <r>
      <rPr>
        <sz val="10"/>
        <rFont val="Arial"/>
        <family val="0"/>
        <charset val="1"/>
      </rPr>
      <t xml:space="preserve">(</t>
    </r>
    <r>
      <rPr>
        <sz val="10"/>
        <rFont val="Noto Sans CJK SC"/>
        <family val="2"/>
      </rPr>
      <t xml:space="preserve">なに</t>
    </r>
    <r>
      <rPr>
        <sz val="10"/>
        <rFont val="Arial"/>
        <family val="0"/>
        <charset val="1"/>
      </rPr>
      <t xml:space="preserve">/</t>
    </r>
    <r>
      <rPr>
        <sz val="10"/>
        <rFont val="Noto Sans CJK SC"/>
        <family val="2"/>
      </rPr>
      <t xml:space="preserve">なん</t>
    </r>
    <r>
      <rPr>
        <sz val="10"/>
        <rFont val="Arial"/>
        <family val="0"/>
        <charset val="1"/>
      </rPr>
      <t xml:space="preserve">) cái gì </t>
    </r>
    <r>
      <rPr>
        <sz val="10"/>
        <rFont val="Noto Sans CJK SC"/>
        <family val="2"/>
      </rPr>
      <t xml:space="preserve">・ 何時 </t>
    </r>
    <r>
      <rPr>
        <sz val="10"/>
        <rFont val="Arial"/>
        <family val="0"/>
        <charset val="1"/>
      </rPr>
      <t xml:space="preserve">(</t>
    </r>
    <r>
      <rPr>
        <sz val="10"/>
        <rFont val="Noto Sans CJK SC"/>
        <family val="2"/>
      </rPr>
      <t xml:space="preserve">なんじ</t>
    </r>
    <r>
      <rPr>
        <sz val="10"/>
        <rFont val="Arial"/>
        <family val="0"/>
        <charset val="1"/>
      </rPr>
      <t xml:space="preserve">) mấy giờ </t>
    </r>
    <r>
      <rPr>
        <sz val="10"/>
        <rFont val="Noto Sans CJK SC"/>
        <family val="2"/>
      </rPr>
      <t xml:space="preserve">・ 何人 </t>
    </r>
    <r>
      <rPr>
        <sz val="10"/>
        <rFont val="Arial"/>
        <family val="0"/>
        <charset val="1"/>
      </rPr>
      <t xml:space="preserve">(</t>
    </r>
    <r>
      <rPr>
        <sz val="10"/>
        <rFont val="Noto Sans CJK SC"/>
        <family val="2"/>
      </rPr>
      <t xml:space="preserve">なんにん</t>
    </r>
    <r>
      <rPr>
        <sz val="10"/>
        <rFont val="Arial"/>
        <family val="0"/>
        <charset val="1"/>
      </rPr>
      <t xml:space="preserve">) mấy người</t>
    </r>
  </si>
  <si>
    <r>
      <rPr>
        <sz val="10"/>
        <rFont val="Noto Sans CJK SC"/>
        <family val="2"/>
      </rPr>
      <t xml:space="preserve">亻 </t>
    </r>
    <r>
      <rPr>
        <sz val="10"/>
        <rFont val="Arial"/>
        <family val="0"/>
        <charset val="1"/>
      </rPr>
      <t xml:space="preserve">(người) + </t>
    </r>
    <r>
      <rPr>
        <sz val="10"/>
        <rFont val="Noto Sans CJK SC"/>
        <family val="2"/>
      </rPr>
      <t xml:space="preserve">可 </t>
    </r>
    <r>
      <rPr>
        <sz val="10"/>
        <rFont val="Arial"/>
        <family val="0"/>
        <charset val="1"/>
      </rPr>
      <t xml:space="preserve">= người mở miệng hỏi 'CÁI GÌ?'. Trước </t>
    </r>
    <r>
      <rPr>
        <sz val="10"/>
        <rFont val="Noto Sans CJK SC"/>
        <family val="2"/>
      </rPr>
      <t xml:space="preserve">か</t>
    </r>
    <r>
      <rPr>
        <sz val="10"/>
        <rFont val="Arial"/>
        <family val="0"/>
        <charset val="1"/>
      </rPr>
      <t xml:space="preserve">/</t>
    </r>
    <r>
      <rPr>
        <sz val="10"/>
        <rFont val="Noto Sans CJK SC"/>
        <family val="2"/>
      </rPr>
      <t xml:space="preserve">た</t>
    </r>
    <r>
      <rPr>
        <sz val="10"/>
        <rFont val="Arial"/>
        <family val="0"/>
        <charset val="1"/>
      </rPr>
      <t xml:space="preserve">/</t>
    </r>
    <r>
      <rPr>
        <sz val="10"/>
        <rFont val="Noto Sans CJK SC"/>
        <family val="2"/>
      </rPr>
      <t xml:space="preserve">だ </t>
    </r>
    <r>
      <rPr>
        <sz val="10"/>
        <rFont val="Arial"/>
        <family val="0"/>
        <charset val="1"/>
      </rPr>
      <t xml:space="preserve">đọc </t>
    </r>
    <r>
      <rPr>
        <sz val="10"/>
        <rFont val="Noto Sans CJK SC"/>
        <family val="2"/>
      </rPr>
      <t xml:space="preserve">なん</t>
    </r>
    <r>
      <rPr>
        <sz val="10"/>
        <rFont val="Arial"/>
        <family val="0"/>
        <charset val="1"/>
      </rPr>
      <t xml:space="preserve">, còn lại đọc </t>
    </r>
    <r>
      <rPr>
        <sz val="10"/>
        <rFont val="Noto Sans CJK SC"/>
        <family val="2"/>
      </rPr>
      <t xml:space="preserve">なに</t>
    </r>
    <r>
      <rPr>
        <sz val="10"/>
        <rFont val="Arial"/>
        <family val="0"/>
        <charset val="1"/>
      </rPr>
      <t xml:space="preserve">.</t>
    </r>
  </si>
  <si>
    <t xml:space="preserve">南</t>
  </si>
  <si>
    <t xml:space="preserve">Hướng nam</t>
  </si>
  <si>
    <t xml:space="preserve">ナン</t>
  </si>
  <si>
    <t xml:space="preserve">みなみ</t>
  </si>
  <si>
    <r>
      <rPr>
        <sz val="10"/>
        <rFont val="Noto Sans CJK SC"/>
        <family val="2"/>
      </rPr>
      <t xml:space="preserve">南 </t>
    </r>
    <r>
      <rPr>
        <sz val="10"/>
        <rFont val="Arial"/>
        <family val="0"/>
        <charset val="1"/>
      </rPr>
      <t xml:space="preserve">(</t>
    </r>
    <r>
      <rPr>
        <sz val="10"/>
        <rFont val="Noto Sans CJK SC"/>
        <family val="2"/>
      </rPr>
      <t xml:space="preserve">みなみ</t>
    </r>
    <r>
      <rPr>
        <sz val="10"/>
        <rFont val="Arial"/>
        <family val="0"/>
        <charset val="1"/>
      </rPr>
      <t xml:space="preserve">) hướng nam </t>
    </r>
    <r>
      <rPr>
        <sz val="10"/>
        <rFont val="Noto Sans CJK SC"/>
        <family val="2"/>
      </rPr>
      <t xml:space="preserve">・ 南口 </t>
    </r>
    <r>
      <rPr>
        <sz val="10"/>
        <rFont val="Arial"/>
        <family val="0"/>
        <charset val="1"/>
      </rPr>
      <t xml:space="preserve">(</t>
    </r>
    <r>
      <rPr>
        <sz val="10"/>
        <rFont val="Noto Sans CJK SC"/>
        <family val="2"/>
      </rPr>
      <t xml:space="preserve">みなみぐち</t>
    </r>
    <r>
      <rPr>
        <sz val="10"/>
        <rFont val="Arial"/>
        <family val="0"/>
        <charset val="1"/>
      </rPr>
      <t xml:space="preserve">) cửa nam </t>
    </r>
    <r>
      <rPr>
        <sz val="10"/>
        <rFont val="Noto Sans CJK SC"/>
        <family val="2"/>
      </rPr>
      <t xml:space="preserve">・ 東南 </t>
    </r>
    <r>
      <rPr>
        <sz val="10"/>
        <rFont val="Arial"/>
        <family val="0"/>
        <charset val="1"/>
      </rPr>
      <t xml:space="preserve">(</t>
    </r>
    <r>
      <rPr>
        <sz val="10"/>
        <rFont val="Noto Sans CJK SC"/>
        <family val="2"/>
      </rPr>
      <t xml:space="preserve">とうなん</t>
    </r>
    <r>
      <rPr>
        <sz val="10"/>
        <rFont val="Arial"/>
        <family val="0"/>
        <charset val="1"/>
      </rPr>
      <t xml:space="preserve">) đông nam</t>
    </r>
  </si>
  <si>
    <t xml:space="preserve">Hình cái lều mở về hướng ấm áp phía NAM.</t>
  </si>
  <si>
    <t xml:space="preserve">足</t>
  </si>
  <si>
    <t xml:space="preserve">TÚC</t>
  </si>
  <si>
    <t xml:space="preserve">Chân, đủ</t>
  </si>
  <si>
    <t xml:space="preserve">ソク</t>
  </si>
  <si>
    <r>
      <rPr>
        <sz val="10"/>
        <rFont val="Noto Sans CJK SC"/>
        <family val="2"/>
      </rPr>
      <t xml:space="preserve">あし・た</t>
    </r>
    <r>
      <rPr>
        <sz val="10"/>
        <rFont val="Arial"/>
        <family val="0"/>
        <charset val="1"/>
      </rPr>
      <t xml:space="preserve">(</t>
    </r>
    <r>
      <rPr>
        <sz val="10"/>
        <rFont val="Noto Sans CJK SC"/>
        <family val="2"/>
      </rPr>
      <t xml:space="preserve">りる</t>
    </r>
    <r>
      <rPr>
        <sz val="10"/>
        <rFont val="Arial"/>
        <family val="0"/>
        <charset val="1"/>
      </rPr>
      <t xml:space="preserve">)</t>
    </r>
  </si>
  <si>
    <r>
      <rPr>
        <sz val="10"/>
        <rFont val="Noto Sans CJK SC"/>
        <family val="2"/>
      </rPr>
      <t xml:space="preserve">足 </t>
    </r>
    <r>
      <rPr>
        <sz val="10"/>
        <rFont val="Arial"/>
        <family val="0"/>
        <charset val="1"/>
      </rPr>
      <t xml:space="preserve">(</t>
    </r>
    <r>
      <rPr>
        <sz val="10"/>
        <rFont val="Noto Sans CJK SC"/>
        <family val="2"/>
      </rPr>
      <t xml:space="preserve">あし</t>
    </r>
    <r>
      <rPr>
        <sz val="10"/>
        <rFont val="Arial"/>
        <family val="0"/>
        <charset val="1"/>
      </rPr>
      <t xml:space="preserve">) chân </t>
    </r>
    <r>
      <rPr>
        <sz val="10"/>
        <rFont val="Noto Sans CJK SC"/>
        <family val="2"/>
      </rPr>
      <t xml:space="preserve">・ 足ります </t>
    </r>
    <r>
      <rPr>
        <sz val="10"/>
        <rFont val="Arial"/>
        <family val="0"/>
        <charset val="1"/>
      </rPr>
      <t xml:space="preserve">(</t>
    </r>
    <r>
      <rPr>
        <sz val="10"/>
        <rFont val="Noto Sans CJK SC"/>
        <family val="2"/>
      </rPr>
      <t xml:space="preserve">たります</t>
    </r>
    <r>
      <rPr>
        <sz val="10"/>
        <rFont val="Arial"/>
        <family val="0"/>
        <charset val="1"/>
      </rPr>
      <t xml:space="preserve">) đủ </t>
    </r>
    <r>
      <rPr>
        <sz val="10"/>
        <rFont val="Noto Sans CJK SC"/>
        <family val="2"/>
      </rPr>
      <t xml:space="preserve">・ 不足 </t>
    </r>
    <r>
      <rPr>
        <sz val="10"/>
        <rFont val="Arial"/>
        <family val="0"/>
        <charset val="1"/>
      </rPr>
      <t xml:space="preserve">(</t>
    </r>
    <r>
      <rPr>
        <sz val="10"/>
        <rFont val="Noto Sans CJK SC"/>
        <family val="2"/>
      </rPr>
      <t xml:space="preserve">ふそく</t>
    </r>
    <r>
      <rPr>
        <sz val="10"/>
        <rFont val="Arial"/>
        <family val="0"/>
        <charset val="1"/>
      </rPr>
      <t xml:space="preserve">) thiếu</t>
    </r>
  </si>
  <si>
    <r>
      <rPr>
        <sz val="10"/>
        <rFont val="Noto Sans CJK SC"/>
        <family val="2"/>
      </rPr>
      <t xml:space="preserve">口 </t>
    </r>
    <r>
      <rPr>
        <sz val="10"/>
        <rFont val="Arial"/>
        <family val="0"/>
        <charset val="1"/>
      </rPr>
      <t xml:space="preserve">(đầu gối) + </t>
    </r>
    <r>
      <rPr>
        <sz val="10"/>
        <rFont val="Noto Sans CJK SC"/>
        <family val="2"/>
      </rPr>
      <t xml:space="preserve">止 </t>
    </r>
    <r>
      <rPr>
        <sz val="10"/>
        <rFont val="Arial"/>
        <family val="0"/>
        <charset val="1"/>
      </rPr>
      <t xml:space="preserve">(bàn chân) = cả cái CHÂN. Có chân đi được → ĐỦ dùng.</t>
    </r>
  </si>
  <si>
    <t xml:space="preserve">万</t>
  </si>
  <si>
    <t xml:space="preserve">VẠN</t>
  </si>
  <si>
    <t xml:space="preserve">Vạn (10.000)</t>
  </si>
  <si>
    <t xml:space="preserve">マン・バン</t>
  </si>
  <si>
    <r>
      <rPr>
        <sz val="10"/>
        <rFont val="Noto Sans CJK SC"/>
        <family val="2"/>
      </rPr>
      <t xml:space="preserve">一万円 </t>
    </r>
    <r>
      <rPr>
        <sz val="10"/>
        <rFont val="Arial"/>
        <family val="0"/>
        <charset val="1"/>
      </rPr>
      <t xml:space="preserve">(</t>
    </r>
    <r>
      <rPr>
        <sz val="10"/>
        <rFont val="Noto Sans CJK SC"/>
        <family val="2"/>
      </rPr>
      <t xml:space="preserve">いちまんえん</t>
    </r>
    <r>
      <rPr>
        <sz val="10"/>
        <rFont val="Arial"/>
        <family val="0"/>
        <charset val="1"/>
      </rPr>
      <t xml:space="preserve">) 10.000 yên </t>
    </r>
    <r>
      <rPr>
        <sz val="10"/>
        <rFont val="Noto Sans CJK SC"/>
        <family val="2"/>
      </rPr>
      <t xml:space="preserve">・ 万年筆 </t>
    </r>
    <r>
      <rPr>
        <sz val="10"/>
        <rFont val="Arial"/>
        <family val="0"/>
        <charset val="1"/>
      </rPr>
      <t xml:space="preserve">(</t>
    </r>
    <r>
      <rPr>
        <sz val="10"/>
        <rFont val="Noto Sans CJK SC"/>
        <family val="2"/>
      </rPr>
      <t xml:space="preserve">まんねんひつ</t>
    </r>
    <r>
      <rPr>
        <sz val="10"/>
        <rFont val="Arial"/>
        <family val="0"/>
        <charset val="1"/>
      </rPr>
      <t xml:space="preserve">) bút máy </t>
    </r>
    <r>
      <rPr>
        <sz val="10"/>
        <rFont val="Noto Sans CJK SC"/>
        <family val="2"/>
      </rPr>
      <t xml:space="preserve">・ 万一 </t>
    </r>
    <r>
      <rPr>
        <sz val="10"/>
        <rFont val="Arial"/>
        <family val="0"/>
        <charset val="1"/>
      </rPr>
      <t xml:space="preserve">(</t>
    </r>
    <r>
      <rPr>
        <sz val="10"/>
        <rFont val="Noto Sans CJK SC"/>
        <family val="2"/>
      </rPr>
      <t xml:space="preserve">まんいち</t>
    </r>
    <r>
      <rPr>
        <sz val="10"/>
        <rFont val="Arial"/>
        <family val="0"/>
        <charset val="1"/>
      </rPr>
      <t xml:space="preserve">) lỡ như</t>
    </r>
  </si>
  <si>
    <r>
      <rPr>
        <sz val="10"/>
        <rFont val="Arial"/>
        <family val="0"/>
        <charset val="1"/>
      </rPr>
      <t xml:space="preserve">Ba nét đơn giản. Nhớ: 10.000 yên = </t>
    </r>
    <r>
      <rPr>
        <sz val="10"/>
        <rFont val="Noto Sans CJK SC"/>
        <family val="2"/>
      </rPr>
      <t xml:space="preserve">一万円</t>
    </r>
    <r>
      <rPr>
        <sz val="10"/>
        <rFont val="Arial"/>
        <family val="0"/>
        <charset val="1"/>
      </rPr>
      <t xml:space="preserve">, tờ tiền lớn nhất của Nhật.</t>
    </r>
  </si>
  <si>
    <t xml:space="preserve">店</t>
  </si>
  <si>
    <t xml:space="preserve">ĐIẾM</t>
  </si>
  <si>
    <t xml:space="preserve">Cửa hàng</t>
  </si>
  <si>
    <t xml:space="preserve">テン</t>
  </si>
  <si>
    <t xml:space="preserve">みせ</t>
  </si>
  <si>
    <r>
      <rPr>
        <sz val="10"/>
        <rFont val="Noto Sans CJK SC"/>
        <family val="2"/>
      </rPr>
      <t xml:space="preserve">店 </t>
    </r>
    <r>
      <rPr>
        <sz val="10"/>
        <rFont val="Arial"/>
        <family val="0"/>
        <charset val="1"/>
      </rPr>
      <t xml:space="preserve">(</t>
    </r>
    <r>
      <rPr>
        <sz val="10"/>
        <rFont val="Noto Sans CJK SC"/>
        <family val="2"/>
      </rPr>
      <t xml:space="preserve">みせ</t>
    </r>
    <r>
      <rPr>
        <sz val="10"/>
        <rFont val="Arial"/>
        <family val="0"/>
        <charset val="1"/>
      </rPr>
      <t xml:space="preserve">) cửa hàng </t>
    </r>
    <r>
      <rPr>
        <sz val="10"/>
        <rFont val="Noto Sans CJK SC"/>
        <family val="2"/>
      </rPr>
      <t xml:space="preserve">・ 喫茶店 </t>
    </r>
    <r>
      <rPr>
        <sz val="10"/>
        <rFont val="Arial"/>
        <family val="0"/>
        <charset val="1"/>
      </rPr>
      <t xml:space="preserve">(</t>
    </r>
    <r>
      <rPr>
        <sz val="10"/>
        <rFont val="Noto Sans CJK SC"/>
        <family val="2"/>
      </rPr>
      <t xml:space="preserve">きっさてん</t>
    </r>
    <r>
      <rPr>
        <sz val="10"/>
        <rFont val="Arial"/>
        <family val="0"/>
        <charset val="1"/>
      </rPr>
      <t xml:space="preserve">) quán cà phê </t>
    </r>
    <r>
      <rPr>
        <sz val="10"/>
        <rFont val="Noto Sans CJK SC"/>
        <family val="2"/>
      </rPr>
      <t xml:space="preserve">・ 店員 </t>
    </r>
    <r>
      <rPr>
        <sz val="10"/>
        <rFont val="Arial"/>
        <family val="0"/>
        <charset val="1"/>
      </rPr>
      <t xml:space="preserve">(</t>
    </r>
    <r>
      <rPr>
        <sz val="10"/>
        <rFont val="Noto Sans CJK SC"/>
        <family val="2"/>
      </rPr>
      <t xml:space="preserve">てんいん</t>
    </r>
    <r>
      <rPr>
        <sz val="10"/>
        <rFont val="Arial"/>
        <family val="0"/>
        <charset val="1"/>
      </rPr>
      <t xml:space="preserve">) nhân viên bán hàng</t>
    </r>
  </si>
  <si>
    <r>
      <rPr>
        <sz val="10"/>
        <rFont val="Arial"/>
        <family val="0"/>
        <charset val="1"/>
      </rPr>
      <t xml:space="preserve">Bộ </t>
    </r>
    <r>
      <rPr>
        <sz val="10"/>
        <rFont val="Noto Sans CJK SC"/>
        <family val="2"/>
      </rPr>
      <t xml:space="preserve">广 </t>
    </r>
    <r>
      <rPr>
        <sz val="10"/>
        <rFont val="Arial"/>
        <family val="0"/>
        <charset val="1"/>
      </rPr>
      <t xml:space="preserve">(mái hiên) che </t>
    </r>
    <r>
      <rPr>
        <sz val="10"/>
        <rFont val="Noto Sans CJK SC"/>
        <family val="2"/>
      </rPr>
      <t xml:space="preserve">占 </t>
    </r>
    <r>
      <rPr>
        <sz val="10"/>
        <rFont val="Arial"/>
        <family val="0"/>
        <charset val="1"/>
      </rPr>
      <t xml:space="preserve">(chiếm chỗ) = dựng mái chiếm một chỗ ngoài phố để bán → CỬA HÀNG.</t>
    </r>
  </si>
  <si>
    <t xml:space="preserve">毎</t>
  </si>
  <si>
    <t xml:space="preserve">MỖI</t>
  </si>
  <si>
    <t xml:space="preserve">Mỗi, hằng</t>
  </si>
  <si>
    <t xml:space="preserve">マイ</t>
  </si>
  <si>
    <r>
      <rPr>
        <sz val="10"/>
        <rFont val="Noto Sans CJK SC"/>
        <family val="2"/>
      </rPr>
      <t xml:space="preserve">毎日 </t>
    </r>
    <r>
      <rPr>
        <sz val="10"/>
        <rFont val="Arial"/>
        <family val="0"/>
        <charset val="1"/>
      </rPr>
      <t xml:space="preserve">(</t>
    </r>
    <r>
      <rPr>
        <sz val="10"/>
        <rFont val="Noto Sans CJK SC"/>
        <family val="2"/>
      </rPr>
      <t xml:space="preserve">まいにち</t>
    </r>
    <r>
      <rPr>
        <sz val="10"/>
        <rFont val="Arial"/>
        <family val="0"/>
        <charset val="1"/>
      </rPr>
      <t xml:space="preserve">) hằng ngày </t>
    </r>
    <r>
      <rPr>
        <sz val="10"/>
        <rFont val="Noto Sans CJK SC"/>
        <family val="2"/>
      </rPr>
      <t xml:space="preserve">・ 毎朝 </t>
    </r>
    <r>
      <rPr>
        <sz val="10"/>
        <rFont val="Arial"/>
        <family val="0"/>
        <charset val="1"/>
      </rPr>
      <t xml:space="preserve">(</t>
    </r>
    <r>
      <rPr>
        <sz val="10"/>
        <rFont val="Noto Sans CJK SC"/>
        <family val="2"/>
      </rPr>
      <t xml:space="preserve">まいあさ</t>
    </r>
    <r>
      <rPr>
        <sz val="10"/>
        <rFont val="Arial"/>
        <family val="0"/>
        <charset val="1"/>
      </rPr>
      <t xml:space="preserve">) mỗi sáng </t>
    </r>
    <r>
      <rPr>
        <sz val="10"/>
        <rFont val="Noto Sans CJK SC"/>
        <family val="2"/>
      </rPr>
      <t xml:space="preserve">・ 毎年 </t>
    </r>
    <r>
      <rPr>
        <sz val="10"/>
        <rFont val="Arial"/>
        <family val="0"/>
        <charset val="1"/>
      </rPr>
      <t xml:space="preserve">(</t>
    </r>
    <r>
      <rPr>
        <sz val="10"/>
        <rFont val="Noto Sans CJK SC"/>
        <family val="2"/>
      </rPr>
      <t xml:space="preserve">まいとし</t>
    </r>
    <r>
      <rPr>
        <sz val="10"/>
        <rFont val="Arial"/>
        <family val="0"/>
        <charset val="1"/>
      </rPr>
      <t xml:space="preserve">) hằng năm</t>
    </r>
  </si>
  <si>
    <r>
      <rPr>
        <sz val="10"/>
        <rFont val="Arial"/>
        <family val="0"/>
        <charset val="1"/>
      </rPr>
      <t xml:space="preserve">Có bộ </t>
    </r>
    <r>
      <rPr>
        <sz val="10"/>
        <rFont val="Noto Sans CJK SC"/>
        <family val="2"/>
      </rPr>
      <t xml:space="preserve">母 </t>
    </r>
    <r>
      <rPr>
        <sz val="10"/>
        <rFont val="Arial"/>
        <family val="0"/>
        <charset val="1"/>
      </rPr>
      <t xml:space="preserve">(mẹ) bên trong = MỖI ngày mẹ đều lo cho ta.</t>
    </r>
  </si>
  <si>
    <t xml:space="preserve">BẠCH</t>
  </si>
  <si>
    <t xml:space="preserve">Trắng</t>
  </si>
  <si>
    <t xml:space="preserve">ハク</t>
  </si>
  <si>
    <r>
      <rPr>
        <sz val="10"/>
        <rFont val="Noto Sans CJK SC"/>
        <family val="2"/>
      </rPr>
      <t xml:space="preserve">しろ</t>
    </r>
    <r>
      <rPr>
        <sz val="10"/>
        <rFont val="Arial"/>
        <family val="0"/>
        <charset val="1"/>
      </rPr>
      <t xml:space="preserve">(</t>
    </r>
    <r>
      <rPr>
        <sz val="10"/>
        <rFont val="Noto Sans CJK SC"/>
        <family val="2"/>
      </rPr>
      <t xml:space="preserve">い</t>
    </r>
    <r>
      <rPr>
        <sz val="10"/>
        <rFont val="Arial"/>
        <family val="0"/>
        <charset val="1"/>
      </rPr>
      <t xml:space="preserve">)</t>
    </r>
  </si>
  <si>
    <r>
      <rPr>
        <sz val="10"/>
        <rFont val="Noto Sans CJK SC"/>
        <family val="2"/>
      </rPr>
      <t xml:space="preserve">白い </t>
    </r>
    <r>
      <rPr>
        <sz val="10"/>
        <rFont val="Arial"/>
        <family val="0"/>
        <charset val="1"/>
      </rPr>
      <t xml:space="preserve">(</t>
    </r>
    <r>
      <rPr>
        <sz val="10"/>
        <rFont val="Noto Sans CJK SC"/>
        <family val="2"/>
      </rPr>
      <t xml:space="preserve">しろい</t>
    </r>
    <r>
      <rPr>
        <sz val="10"/>
        <rFont val="Arial"/>
        <family val="0"/>
        <charset val="1"/>
      </rPr>
      <t xml:space="preserve">) trắng </t>
    </r>
    <r>
      <rPr>
        <sz val="10"/>
        <rFont val="Noto Sans CJK SC"/>
        <family val="2"/>
      </rPr>
      <t xml:space="preserve">・ 白 </t>
    </r>
    <r>
      <rPr>
        <sz val="10"/>
        <rFont val="Arial"/>
        <family val="0"/>
        <charset val="1"/>
      </rPr>
      <t xml:space="preserve">(</t>
    </r>
    <r>
      <rPr>
        <sz val="10"/>
        <rFont val="Noto Sans CJK SC"/>
        <family val="2"/>
      </rPr>
      <t xml:space="preserve">しろ</t>
    </r>
    <r>
      <rPr>
        <sz val="10"/>
        <rFont val="Arial"/>
        <family val="0"/>
        <charset val="1"/>
      </rPr>
      <t xml:space="preserve">) màu trắng </t>
    </r>
    <r>
      <rPr>
        <sz val="10"/>
        <rFont val="Noto Sans CJK SC"/>
        <family val="2"/>
      </rPr>
      <t xml:space="preserve">・ 面白い </t>
    </r>
    <r>
      <rPr>
        <sz val="10"/>
        <rFont val="Arial"/>
        <family val="0"/>
        <charset val="1"/>
      </rPr>
      <t xml:space="preserve">(</t>
    </r>
    <r>
      <rPr>
        <sz val="10"/>
        <rFont val="Noto Sans CJK SC"/>
        <family val="2"/>
      </rPr>
      <t xml:space="preserve">おもしろい</t>
    </r>
    <r>
      <rPr>
        <sz val="10"/>
        <rFont val="Arial"/>
        <family val="0"/>
        <charset val="1"/>
      </rPr>
      <t xml:space="preserve">) thú vị</t>
    </r>
  </si>
  <si>
    <r>
      <rPr>
        <sz val="10"/>
        <rFont val="Arial"/>
        <family val="0"/>
        <charset val="1"/>
      </rPr>
      <t xml:space="preserve">Chữ </t>
    </r>
    <r>
      <rPr>
        <sz val="10"/>
        <rFont val="Noto Sans CJK SC"/>
        <family val="2"/>
      </rPr>
      <t xml:space="preserve">日 </t>
    </r>
    <r>
      <rPr>
        <sz val="10"/>
        <rFont val="Arial"/>
        <family val="0"/>
        <charset val="1"/>
      </rPr>
      <t xml:space="preserve">(mặt trời) có thêm một tia sáng nhô lên = ánh sáng chói → TRẮNG.</t>
    </r>
  </si>
  <si>
    <t xml:space="preserve">古</t>
  </si>
  <si>
    <t xml:space="preserve">CỔ</t>
  </si>
  <si>
    <t xml:space="preserve">Cũ</t>
  </si>
  <si>
    <r>
      <rPr>
        <sz val="10"/>
        <rFont val="Noto Sans CJK SC"/>
        <family val="2"/>
      </rPr>
      <t xml:space="preserve">ふる</t>
    </r>
    <r>
      <rPr>
        <sz val="10"/>
        <rFont val="Arial"/>
        <family val="0"/>
        <charset val="1"/>
      </rPr>
      <t xml:space="preserve">(</t>
    </r>
    <r>
      <rPr>
        <sz val="10"/>
        <rFont val="Noto Sans CJK SC"/>
        <family val="2"/>
      </rPr>
      <t xml:space="preserve">い</t>
    </r>
    <r>
      <rPr>
        <sz val="10"/>
        <rFont val="Arial"/>
        <family val="0"/>
        <charset val="1"/>
      </rPr>
      <t xml:space="preserve">)</t>
    </r>
  </si>
  <si>
    <r>
      <rPr>
        <sz val="10"/>
        <rFont val="Noto Sans CJK SC"/>
        <family val="2"/>
      </rPr>
      <t xml:space="preserve">古い </t>
    </r>
    <r>
      <rPr>
        <sz val="10"/>
        <rFont val="Arial"/>
        <family val="0"/>
        <charset val="1"/>
      </rPr>
      <t xml:space="preserve">(</t>
    </r>
    <r>
      <rPr>
        <sz val="10"/>
        <rFont val="Noto Sans CJK SC"/>
        <family val="2"/>
      </rPr>
      <t xml:space="preserve">ふるい</t>
    </r>
    <r>
      <rPr>
        <sz val="10"/>
        <rFont val="Arial"/>
        <family val="0"/>
        <charset val="1"/>
      </rPr>
      <t xml:space="preserve">) cũ </t>
    </r>
    <r>
      <rPr>
        <sz val="10"/>
        <rFont val="Noto Sans CJK SC"/>
        <family val="2"/>
      </rPr>
      <t xml:space="preserve">・ 中古 </t>
    </r>
    <r>
      <rPr>
        <sz val="10"/>
        <rFont val="Arial"/>
        <family val="0"/>
        <charset val="1"/>
      </rPr>
      <t xml:space="preserve">(</t>
    </r>
    <r>
      <rPr>
        <sz val="10"/>
        <rFont val="Noto Sans CJK SC"/>
        <family val="2"/>
      </rPr>
      <t xml:space="preserve">ちゅうこ</t>
    </r>
    <r>
      <rPr>
        <sz val="10"/>
        <rFont val="Arial"/>
        <family val="0"/>
        <charset val="1"/>
      </rPr>
      <t xml:space="preserve">) đồ cũ </t>
    </r>
    <r>
      <rPr>
        <sz val="10"/>
        <rFont val="Noto Sans CJK SC"/>
        <family val="2"/>
      </rPr>
      <t xml:space="preserve">・ 古本 </t>
    </r>
    <r>
      <rPr>
        <sz val="10"/>
        <rFont val="Arial"/>
        <family val="0"/>
        <charset val="1"/>
      </rPr>
      <t xml:space="preserve">(</t>
    </r>
    <r>
      <rPr>
        <sz val="10"/>
        <rFont val="Noto Sans CJK SC"/>
        <family val="2"/>
      </rPr>
      <t xml:space="preserve">ふるほん</t>
    </r>
    <r>
      <rPr>
        <sz val="10"/>
        <rFont val="Arial"/>
        <family val="0"/>
        <charset val="1"/>
      </rPr>
      <t xml:space="preserve">) sách cũ</t>
    </r>
  </si>
  <si>
    <r>
      <rPr>
        <sz val="10"/>
        <rFont val="Noto Sans CJK SC"/>
        <family val="2"/>
      </rPr>
      <t xml:space="preserve">十 </t>
    </r>
    <r>
      <rPr>
        <sz val="10"/>
        <rFont val="Arial"/>
        <family val="0"/>
        <charset val="1"/>
      </rPr>
      <t xml:space="preserve">(mười) + </t>
    </r>
    <r>
      <rPr>
        <sz val="10"/>
        <rFont val="Noto Sans CJK SC"/>
        <family val="2"/>
      </rPr>
      <t xml:space="preserve">口 </t>
    </r>
    <r>
      <rPr>
        <sz val="10"/>
        <rFont val="Arial"/>
        <family val="0"/>
        <charset val="1"/>
      </rPr>
      <t xml:space="preserve">(miệng) = câu chuyện truyền qua mười cái miệng thì đã rất CŨ.</t>
    </r>
  </si>
  <si>
    <t xml:space="preserve">天</t>
  </si>
  <si>
    <t xml:space="preserve">Trời</t>
  </si>
  <si>
    <r>
      <rPr>
        <sz val="10"/>
        <rFont val="Noto Sans CJK SC"/>
        <family val="2"/>
      </rPr>
      <t xml:space="preserve">天気 </t>
    </r>
    <r>
      <rPr>
        <sz val="10"/>
        <rFont val="Arial"/>
        <family val="0"/>
        <charset val="1"/>
      </rPr>
      <t xml:space="preserve">(</t>
    </r>
    <r>
      <rPr>
        <sz val="10"/>
        <rFont val="Noto Sans CJK SC"/>
        <family val="2"/>
      </rPr>
      <t xml:space="preserve">てんき</t>
    </r>
    <r>
      <rPr>
        <sz val="10"/>
        <rFont val="Arial"/>
        <family val="0"/>
        <charset val="1"/>
      </rPr>
      <t xml:space="preserve">) thời tiết </t>
    </r>
    <r>
      <rPr>
        <sz val="10"/>
        <rFont val="Noto Sans CJK SC"/>
        <family val="2"/>
      </rPr>
      <t xml:space="preserve">・ 天ぷら </t>
    </r>
    <r>
      <rPr>
        <sz val="10"/>
        <rFont val="Arial"/>
        <family val="0"/>
        <charset val="1"/>
      </rPr>
      <t xml:space="preserve">(</t>
    </r>
    <r>
      <rPr>
        <sz val="10"/>
        <rFont val="Noto Sans CJK SC"/>
        <family val="2"/>
      </rPr>
      <t xml:space="preserve">てんぷら</t>
    </r>
    <r>
      <rPr>
        <sz val="10"/>
        <rFont val="Arial"/>
        <family val="0"/>
        <charset val="1"/>
      </rPr>
      <t xml:space="preserve">) món tempura </t>
    </r>
    <r>
      <rPr>
        <sz val="10"/>
        <rFont val="Noto Sans CJK SC"/>
        <family val="2"/>
      </rPr>
      <t xml:space="preserve">・ 天国 </t>
    </r>
    <r>
      <rPr>
        <sz val="10"/>
        <rFont val="Arial"/>
        <family val="0"/>
        <charset val="1"/>
      </rPr>
      <t xml:space="preserve">(</t>
    </r>
    <r>
      <rPr>
        <sz val="10"/>
        <rFont val="Noto Sans CJK SC"/>
        <family val="2"/>
      </rPr>
      <t xml:space="preserve">てんごく</t>
    </r>
    <r>
      <rPr>
        <sz val="10"/>
        <rFont val="Arial"/>
        <family val="0"/>
        <charset val="1"/>
      </rPr>
      <t xml:space="preserve">) thiên đường</t>
    </r>
  </si>
  <si>
    <r>
      <rPr>
        <sz val="10"/>
        <rFont val="Arial"/>
        <family val="0"/>
        <charset val="1"/>
      </rPr>
      <t xml:space="preserve">Chữ </t>
    </r>
    <r>
      <rPr>
        <sz val="10"/>
        <rFont val="Noto Sans CJK SC"/>
        <family val="2"/>
      </rPr>
      <t xml:space="preserve">大 </t>
    </r>
    <r>
      <rPr>
        <sz val="10"/>
        <rFont val="Arial"/>
        <family val="0"/>
        <charset val="1"/>
      </rPr>
      <t xml:space="preserve">(người dang tay) có một vạch trần bên trên = bầu TRỜI ở trên đầu người.</t>
    </r>
  </si>
  <si>
    <t xml:space="preserve">買</t>
  </si>
  <si>
    <t xml:space="preserve">MÃI</t>
  </si>
  <si>
    <t xml:space="preserve">Mua</t>
  </si>
  <si>
    <t xml:space="preserve">バイ</t>
  </si>
  <si>
    <r>
      <rPr>
        <sz val="10"/>
        <rFont val="Noto Sans CJK SC"/>
        <family val="2"/>
      </rPr>
      <t xml:space="preserve">か</t>
    </r>
    <r>
      <rPr>
        <sz val="10"/>
        <rFont val="Arial"/>
        <family val="0"/>
        <charset val="1"/>
      </rPr>
      <t xml:space="preserve">(</t>
    </r>
    <r>
      <rPr>
        <sz val="10"/>
        <rFont val="Noto Sans CJK SC"/>
        <family val="2"/>
      </rPr>
      <t xml:space="preserve">う</t>
    </r>
    <r>
      <rPr>
        <sz val="10"/>
        <rFont val="Arial"/>
        <family val="0"/>
        <charset val="1"/>
      </rPr>
      <t xml:space="preserve">)</t>
    </r>
  </si>
  <si>
    <r>
      <rPr>
        <sz val="10"/>
        <rFont val="Noto Sans CJK SC"/>
        <family val="2"/>
      </rPr>
      <t xml:space="preserve">買います </t>
    </r>
    <r>
      <rPr>
        <sz val="10"/>
        <rFont val="Arial"/>
        <family val="0"/>
        <charset val="1"/>
      </rPr>
      <t xml:space="preserve">(</t>
    </r>
    <r>
      <rPr>
        <sz val="10"/>
        <rFont val="Noto Sans CJK SC"/>
        <family val="2"/>
      </rPr>
      <t xml:space="preserve">かいます</t>
    </r>
    <r>
      <rPr>
        <sz val="10"/>
        <rFont val="Arial"/>
        <family val="0"/>
        <charset val="1"/>
      </rPr>
      <t xml:space="preserve">) mua </t>
    </r>
    <r>
      <rPr>
        <sz val="10"/>
        <rFont val="Noto Sans CJK SC"/>
        <family val="2"/>
      </rPr>
      <t xml:space="preserve">・ 買い物 </t>
    </r>
    <r>
      <rPr>
        <sz val="10"/>
        <rFont val="Arial"/>
        <family val="0"/>
        <charset val="1"/>
      </rPr>
      <t xml:space="preserve">(</t>
    </r>
    <r>
      <rPr>
        <sz val="10"/>
        <rFont val="Noto Sans CJK SC"/>
        <family val="2"/>
      </rPr>
      <t xml:space="preserve">かいもの</t>
    </r>
    <r>
      <rPr>
        <sz val="10"/>
        <rFont val="Arial"/>
        <family val="0"/>
        <charset val="1"/>
      </rPr>
      <t xml:space="preserve">) việc mua sắm </t>
    </r>
    <r>
      <rPr>
        <sz val="10"/>
        <rFont val="Noto Sans CJK SC"/>
        <family val="2"/>
      </rPr>
      <t xml:space="preserve">・ 売買 </t>
    </r>
    <r>
      <rPr>
        <sz val="10"/>
        <rFont val="Arial"/>
        <family val="0"/>
        <charset val="1"/>
      </rPr>
      <t xml:space="preserve">(</t>
    </r>
    <r>
      <rPr>
        <sz val="10"/>
        <rFont val="Noto Sans CJK SC"/>
        <family val="2"/>
      </rPr>
      <t xml:space="preserve">ばいばい</t>
    </r>
    <r>
      <rPr>
        <sz val="10"/>
        <rFont val="Arial"/>
        <family val="0"/>
        <charset val="1"/>
      </rPr>
      <t xml:space="preserve">) mua bán</t>
    </r>
  </si>
  <si>
    <r>
      <rPr>
        <sz val="10"/>
        <rFont val="Arial"/>
        <family val="0"/>
        <charset val="1"/>
      </rPr>
      <t xml:space="preserve">Cái lưới </t>
    </r>
    <r>
      <rPr>
        <sz val="10"/>
        <rFont val="Noto Sans CJK SC"/>
        <family val="2"/>
      </rPr>
      <t xml:space="preserve">罒 </t>
    </r>
    <r>
      <rPr>
        <sz val="10"/>
        <rFont val="Arial"/>
        <family val="0"/>
        <charset val="1"/>
      </rPr>
      <t xml:space="preserve">chụp lên </t>
    </r>
    <r>
      <rPr>
        <sz val="10"/>
        <rFont val="Noto Sans CJK SC"/>
        <family val="2"/>
      </rPr>
      <t xml:space="preserve">貝 </t>
    </r>
    <r>
      <rPr>
        <sz val="10"/>
        <rFont val="Arial"/>
        <family val="0"/>
        <charset val="1"/>
      </rPr>
      <t xml:space="preserve">(vỏ sò = tiền) = gom tiền lại để MUA.</t>
    </r>
  </si>
  <si>
    <t xml:space="preserve">週</t>
  </si>
  <si>
    <t xml:space="preserve">CHU</t>
  </si>
  <si>
    <t xml:space="preserve">シュウ</t>
  </si>
  <si>
    <t xml:space="preserve">11</t>
  </si>
  <si>
    <r>
      <rPr>
        <sz val="10"/>
        <rFont val="Noto Sans CJK SC"/>
        <family val="2"/>
      </rPr>
      <t xml:space="preserve">今週 </t>
    </r>
    <r>
      <rPr>
        <sz val="10"/>
        <rFont val="Arial"/>
        <family val="0"/>
        <charset val="1"/>
      </rPr>
      <t xml:space="preserve">(</t>
    </r>
    <r>
      <rPr>
        <sz val="10"/>
        <rFont val="Noto Sans CJK SC"/>
        <family val="2"/>
      </rPr>
      <t xml:space="preserve">こんしゅう</t>
    </r>
    <r>
      <rPr>
        <sz val="10"/>
        <rFont val="Arial"/>
        <family val="0"/>
        <charset val="1"/>
      </rPr>
      <t xml:space="preserve">) tuần này </t>
    </r>
    <r>
      <rPr>
        <sz val="10"/>
        <rFont val="Noto Sans CJK SC"/>
        <family val="2"/>
      </rPr>
      <t xml:space="preserve">・ 来週 </t>
    </r>
    <r>
      <rPr>
        <sz val="10"/>
        <rFont val="Arial"/>
        <family val="0"/>
        <charset val="1"/>
      </rPr>
      <t xml:space="preserve">(</t>
    </r>
    <r>
      <rPr>
        <sz val="10"/>
        <rFont val="Noto Sans CJK SC"/>
        <family val="2"/>
      </rPr>
      <t xml:space="preserve">らいしゅう</t>
    </r>
    <r>
      <rPr>
        <sz val="10"/>
        <rFont val="Arial"/>
        <family val="0"/>
        <charset val="1"/>
      </rPr>
      <t xml:space="preserve">) tuần sau </t>
    </r>
    <r>
      <rPr>
        <sz val="10"/>
        <rFont val="Noto Sans CJK SC"/>
        <family val="2"/>
      </rPr>
      <t xml:space="preserve">・ 週末 </t>
    </r>
    <r>
      <rPr>
        <sz val="10"/>
        <rFont val="Arial"/>
        <family val="0"/>
        <charset val="1"/>
      </rPr>
      <t xml:space="preserve">(</t>
    </r>
    <r>
      <rPr>
        <sz val="10"/>
        <rFont val="Noto Sans CJK SC"/>
        <family val="2"/>
      </rPr>
      <t xml:space="preserve">しゅうまつ</t>
    </r>
    <r>
      <rPr>
        <sz val="10"/>
        <rFont val="Arial"/>
        <family val="0"/>
        <charset val="1"/>
      </rPr>
      <t xml:space="preserve">) cuối tuần</t>
    </r>
  </si>
  <si>
    <r>
      <rPr>
        <sz val="10"/>
        <rFont val="Arial"/>
        <family val="0"/>
        <charset val="1"/>
      </rPr>
      <t xml:space="preserve">Bộ </t>
    </r>
    <r>
      <rPr>
        <sz val="10"/>
        <rFont val="Noto Sans CJK SC"/>
        <family val="2"/>
      </rPr>
      <t xml:space="preserve">辶 </t>
    </r>
    <r>
      <rPr>
        <sz val="10"/>
        <rFont val="Arial"/>
        <family val="0"/>
        <charset val="1"/>
      </rPr>
      <t xml:space="preserve">(di chuyển) + </t>
    </r>
    <r>
      <rPr>
        <sz val="10"/>
        <rFont val="Noto Sans CJK SC"/>
        <family val="2"/>
      </rPr>
      <t xml:space="preserve">周 </t>
    </r>
    <r>
      <rPr>
        <sz val="10"/>
        <rFont val="Arial"/>
        <family val="0"/>
        <charset val="1"/>
      </rPr>
      <t xml:space="preserve">(vòng quanh) = đi hết một VÒNG bảy ngày → một TUẦN.</t>
    </r>
  </si>
  <si>
    <t xml:space="preserve">母</t>
  </si>
  <si>
    <t xml:space="preserve">MẪU</t>
  </si>
  <si>
    <t xml:space="preserve">Mẹ</t>
  </si>
  <si>
    <t xml:space="preserve">はは・かあ</t>
  </si>
  <si>
    <r>
      <rPr>
        <sz val="10"/>
        <rFont val="Noto Sans CJK SC"/>
        <family val="2"/>
      </rPr>
      <t xml:space="preserve">母 </t>
    </r>
    <r>
      <rPr>
        <sz val="10"/>
        <rFont val="Arial"/>
        <family val="0"/>
        <charset val="1"/>
      </rPr>
      <t xml:space="preserve">(</t>
    </r>
    <r>
      <rPr>
        <sz val="10"/>
        <rFont val="Noto Sans CJK SC"/>
        <family val="2"/>
      </rPr>
      <t xml:space="preserve">はは</t>
    </r>
    <r>
      <rPr>
        <sz val="10"/>
        <rFont val="Arial"/>
        <family val="0"/>
        <charset val="1"/>
      </rPr>
      <t xml:space="preserve">) mẹ tôi </t>
    </r>
    <r>
      <rPr>
        <sz val="10"/>
        <rFont val="Noto Sans CJK SC"/>
        <family val="2"/>
      </rPr>
      <t xml:space="preserve">・ お母さん </t>
    </r>
    <r>
      <rPr>
        <sz val="10"/>
        <rFont val="Arial"/>
        <family val="0"/>
        <charset val="1"/>
      </rPr>
      <t xml:space="preserve">(</t>
    </r>
    <r>
      <rPr>
        <sz val="10"/>
        <rFont val="Noto Sans CJK SC"/>
        <family val="2"/>
      </rPr>
      <t xml:space="preserve">おかあさん</t>
    </r>
    <r>
      <rPr>
        <sz val="10"/>
        <rFont val="Arial"/>
        <family val="0"/>
        <charset val="1"/>
      </rPr>
      <t xml:space="preserve">) mẹ </t>
    </r>
    <r>
      <rPr>
        <sz val="10"/>
        <rFont val="Noto Sans CJK SC"/>
        <family val="2"/>
      </rPr>
      <t xml:space="preserve">・ 母国 </t>
    </r>
    <r>
      <rPr>
        <sz val="10"/>
        <rFont val="Arial"/>
        <family val="0"/>
        <charset val="1"/>
      </rPr>
      <t xml:space="preserve">(</t>
    </r>
    <r>
      <rPr>
        <sz val="10"/>
        <rFont val="Noto Sans CJK SC"/>
        <family val="2"/>
      </rPr>
      <t xml:space="preserve">ぼこく</t>
    </r>
    <r>
      <rPr>
        <sz val="10"/>
        <rFont val="Arial"/>
        <family val="0"/>
        <charset val="1"/>
      </rPr>
      <t xml:space="preserve">) tổ quốc</t>
    </r>
  </si>
  <si>
    <t xml:space="preserve">Hình người phụ nữ với hai chấm là bầu ngực nuôi con → MẸ.</t>
  </si>
  <si>
    <t xml:space="preserve">火</t>
  </si>
  <si>
    <t xml:space="preserve">HỎA</t>
  </si>
  <si>
    <t xml:space="preserve">Lửa</t>
  </si>
  <si>
    <r>
      <rPr>
        <sz val="10"/>
        <rFont val="Noto Sans CJK SC"/>
        <family val="2"/>
      </rPr>
      <t xml:space="preserve">火曜日 </t>
    </r>
    <r>
      <rPr>
        <sz val="10"/>
        <rFont val="Arial"/>
        <family val="0"/>
        <charset val="1"/>
      </rPr>
      <t xml:space="preserve">(</t>
    </r>
    <r>
      <rPr>
        <sz val="10"/>
        <rFont val="Noto Sans CJK SC"/>
        <family val="2"/>
      </rPr>
      <t xml:space="preserve">かようび</t>
    </r>
    <r>
      <rPr>
        <sz val="10"/>
        <rFont val="Arial"/>
        <family val="0"/>
        <charset val="1"/>
      </rPr>
      <t xml:space="preserve">) thứ Ba </t>
    </r>
    <r>
      <rPr>
        <sz val="10"/>
        <rFont val="Noto Sans CJK SC"/>
        <family val="2"/>
      </rPr>
      <t xml:space="preserve">・ 火 </t>
    </r>
    <r>
      <rPr>
        <sz val="10"/>
        <rFont val="Arial"/>
        <family val="0"/>
        <charset val="1"/>
      </rPr>
      <t xml:space="preserve">(</t>
    </r>
    <r>
      <rPr>
        <sz val="10"/>
        <rFont val="Noto Sans CJK SC"/>
        <family val="2"/>
      </rPr>
      <t xml:space="preserve">ひ</t>
    </r>
    <r>
      <rPr>
        <sz val="10"/>
        <rFont val="Arial"/>
        <family val="0"/>
        <charset val="1"/>
      </rPr>
      <t xml:space="preserve">) lửa </t>
    </r>
    <r>
      <rPr>
        <sz val="10"/>
        <rFont val="Noto Sans CJK SC"/>
        <family val="2"/>
      </rPr>
      <t xml:space="preserve">・ 花火 </t>
    </r>
    <r>
      <rPr>
        <sz val="10"/>
        <rFont val="Arial"/>
        <family val="0"/>
        <charset val="1"/>
      </rPr>
      <t xml:space="preserve">(</t>
    </r>
    <r>
      <rPr>
        <sz val="10"/>
        <rFont val="Noto Sans CJK SC"/>
        <family val="2"/>
      </rPr>
      <t xml:space="preserve">はなび</t>
    </r>
    <r>
      <rPr>
        <sz val="10"/>
        <rFont val="Arial"/>
        <family val="0"/>
        <charset val="1"/>
      </rPr>
      <t xml:space="preserve">) pháo hoa</t>
    </r>
  </si>
  <si>
    <t xml:space="preserve">Ngọn LỬA đang cháy với các tia bắn ra hai bên.</t>
  </si>
  <si>
    <t xml:space="preserve">花</t>
  </si>
  <si>
    <t xml:space="preserve">HOA</t>
  </si>
  <si>
    <t xml:space="preserve">Hoa</t>
  </si>
  <si>
    <t xml:space="preserve">はな</t>
  </si>
  <si>
    <r>
      <rPr>
        <sz val="10"/>
        <rFont val="Noto Sans CJK SC"/>
        <family val="2"/>
      </rPr>
      <t xml:space="preserve">花 </t>
    </r>
    <r>
      <rPr>
        <sz val="10"/>
        <rFont val="Arial"/>
        <family val="0"/>
        <charset val="1"/>
      </rPr>
      <t xml:space="preserve">(</t>
    </r>
    <r>
      <rPr>
        <sz val="10"/>
        <rFont val="Noto Sans CJK SC"/>
        <family val="2"/>
      </rPr>
      <t xml:space="preserve">はな</t>
    </r>
    <r>
      <rPr>
        <sz val="10"/>
        <rFont val="Arial"/>
        <family val="0"/>
        <charset val="1"/>
      </rPr>
      <t xml:space="preserve">) hoa </t>
    </r>
    <r>
      <rPr>
        <sz val="10"/>
        <rFont val="Noto Sans CJK SC"/>
        <family val="2"/>
      </rPr>
      <t xml:space="preserve">・ 花見 </t>
    </r>
    <r>
      <rPr>
        <sz val="10"/>
        <rFont val="Arial"/>
        <family val="0"/>
        <charset val="1"/>
      </rPr>
      <t xml:space="preserve">(</t>
    </r>
    <r>
      <rPr>
        <sz val="10"/>
        <rFont val="Noto Sans CJK SC"/>
        <family val="2"/>
      </rPr>
      <t xml:space="preserve">はなみ</t>
    </r>
    <r>
      <rPr>
        <sz val="10"/>
        <rFont val="Arial"/>
        <family val="0"/>
        <charset val="1"/>
      </rPr>
      <t xml:space="preserve">) ngắm hoa </t>
    </r>
    <r>
      <rPr>
        <sz val="10"/>
        <rFont val="Noto Sans CJK SC"/>
        <family val="2"/>
      </rPr>
      <t xml:space="preserve">・ 生け花 </t>
    </r>
    <r>
      <rPr>
        <sz val="10"/>
        <rFont val="Arial"/>
        <family val="0"/>
        <charset val="1"/>
      </rPr>
      <t xml:space="preserve">(</t>
    </r>
    <r>
      <rPr>
        <sz val="10"/>
        <rFont val="Noto Sans CJK SC"/>
        <family val="2"/>
      </rPr>
      <t xml:space="preserve">いけばな</t>
    </r>
    <r>
      <rPr>
        <sz val="10"/>
        <rFont val="Arial"/>
        <family val="0"/>
        <charset val="1"/>
      </rPr>
      <t xml:space="preserve">) cắm hoa</t>
    </r>
  </si>
  <si>
    <r>
      <rPr>
        <sz val="10"/>
        <rFont val="Arial"/>
        <family val="0"/>
        <charset val="1"/>
      </rPr>
      <t xml:space="preserve">Bộ </t>
    </r>
    <r>
      <rPr>
        <sz val="10"/>
        <rFont val="Noto Sans CJK SC"/>
        <family val="2"/>
      </rPr>
      <t xml:space="preserve">艹 </t>
    </r>
    <r>
      <rPr>
        <sz val="10"/>
        <rFont val="Arial"/>
        <family val="0"/>
        <charset val="1"/>
      </rPr>
      <t xml:space="preserve">(cỏ cây) + </t>
    </r>
    <r>
      <rPr>
        <sz val="10"/>
        <rFont val="Noto Sans CJK SC"/>
        <family val="2"/>
      </rPr>
      <t xml:space="preserve">化 </t>
    </r>
    <r>
      <rPr>
        <sz val="10"/>
        <rFont val="Arial"/>
        <family val="0"/>
        <charset val="1"/>
      </rPr>
      <t xml:space="preserve">(biến hóa) = cây cỏ biến hóa thành thứ đẹp đẽ → HOA.</t>
    </r>
  </si>
  <si>
    <t xml:space="preserve">右</t>
  </si>
  <si>
    <t xml:space="preserve">HỮU</t>
  </si>
  <si>
    <t xml:space="preserve">Bên phải</t>
  </si>
  <si>
    <t xml:space="preserve">ウ・ユウ</t>
  </si>
  <si>
    <t xml:space="preserve">みぎ</t>
  </si>
  <si>
    <r>
      <rPr>
        <sz val="10"/>
        <rFont val="Noto Sans CJK SC"/>
        <family val="2"/>
      </rPr>
      <t xml:space="preserve">右 </t>
    </r>
    <r>
      <rPr>
        <sz val="10"/>
        <rFont val="Arial"/>
        <family val="0"/>
        <charset val="1"/>
      </rPr>
      <t xml:space="preserve">(</t>
    </r>
    <r>
      <rPr>
        <sz val="10"/>
        <rFont val="Noto Sans CJK SC"/>
        <family val="2"/>
      </rPr>
      <t xml:space="preserve">みぎ</t>
    </r>
    <r>
      <rPr>
        <sz val="10"/>
        <rFont val="Arial"/>
        <family val="0"/>
        <charset val="1"/>
      </rPr>
      <t xml:space="preserve">) bên phải </t>
    </r>
    <r>
      <rPr>
        <sz val="10"/>
        <rFont val="Noto Sans CJK SC"/>
        <family val="2"/>
      </rPr>
      <t xml:space="preserve">・ 右手 </t>
    </r>
    <r>
      <rPr>
        <sz val="10"/>
        <rFont val="Arial"/>
        <family val="0"/>
        <charset val="1"/>
      </rPr>
      <t xml:space="preserve">(</t>
    </r>
    <r>
      <rPr>
        <sz val="10"/>
        <rFont val="Noto Sans CJK SC"/>
        <family val="2"/>
      </rPr>
      <t xml:space="preserve">みぎて</t>
    </r>
    <r>
      <rPr>
        <sz val="10"/>
        <rFont val="Arial"/>
        <family val="0"/>
        <charset val="1"/>
      </rPr>
      <t xml:space="preserve">) tay phải </t>
    </r>
    <r>
      <rPr>
        <sz val="10"/>
        <rFont val="Noto Sans CJK SC"/>
        <family val="2"/>
      </rPr>
      <t xml:space="preserve">・ 左右 </t>
    </r>
    <r>
      <rPr>
        <sz val="10"/>
        <rFont val="Arial"/>
        <family val="0"/>
        <charset val="1"/>
      </rPr>
      <t xml:space="preserve">(</t>
    </r>
    <r>
      <rPr>
        <sz val="10"/>
        <rFont val="Noto Sans CJK SC"/>
        <family val="2"/>
      </rPr>
      <t xml:space="preserve">さゆう</t>
    </r>
    <r>
      <rPr>
        <sz val="10"/>
        <rFont val="Arial"/>
        <family val="0"/>
        <charset val="1"/>
      </rPr>
      <t xml:space="preserve">) trái phải</t>
    </r>
  </si>
  <si>
    <r>
      <rPr>
        <sz val="10"/>
        <rFont val="Arial"/>
        <family val="0"/>
        <charset val="1"/>
      </rPr>
      <t xml:space="preserve">Bàn tay đưa lên che </t>
    </r>
    <r>
      <rPr>
        <sz val="10"/>
        <rFont val="Noto Sans CJK SC"/>
        <family val="2"/>
      </rPr>
      <t xml:space="preserve">口 </t>
    </r>
    <r>
      <rPr>
        <sz val="10"/>
        <rFont val="Arial"/>
        <family val="0"/>
        <charset val="1"/>
      </rPr>
      <t xml:space="preserve">(miệng) khi ăn = tay PHẢI (tay cầm đũa). Phân biệt với </t>
    </r>
    <r>
      <rPr>
        <sz val="10"/>
        <rFont val="Noto Sans CJK SC"/>
        <family val="2"/>
      </rPr>
      <t xml:space="preserve">左 </t>
    </r>
    <r>
      <rPr>
        <sz val="10"/>
        <rFont val="Arial"/>
        <family val="0"/>
        <charset val="1"/>
      </rPr>
      <t xml:space="preserve">bằng chữ </t>
    </r>
    <r>
      <rPr>
        <sz val="10"/>
        <rFont val="Noto Sans CJK SC"/>
        <family val="2"/>
      </rPr>
      <t xml:space="preserve">口 </t>
    </r>
    <r>
      <rPr>
        <sz val="10"/>
        <rFont val="Arial"/>
        <family val="0"/>
        <charset val="1"/>
      </rPr>
      <t xml:space="preserve">bên dưới.</t>
    </r>
  </si>
  <si>
    <t xml:space="preserve">読</t>
  </si>
  <si>
    <t xml:space="preserve">ĐỘC</t>
  </si>
  <si>
    <t xml:space="preserve">ドク</t>
  </si>
  <si>
    <r>
      <rPr>
        <sz val="10"/>
        <rFont val="Noto Sans CJK SC"/>
        <family val="2"/>
      </rPr>
      <t xml:space="preserve">よ</t>
    </r>
    <r>
      <rPr>
        <sz val="10"/>
        <rFont val="Arial"/>
        <family val="0"/>
        <charset val="1"/>
      </rPr>
      <t xml:space="preserve">(</t>
    </r>
    <r>
      <rPr>
        <sz val="10"/>
        <rFont val="Noto Sans CJK SC"/>
        <family val="2"/>
      </rPr>
      <t xml:space="preserve">む</t>
    </r>
    <r>
      <rPr>
        <sz val="10"/>
        <rFont val="Arial"/>
        <family val="0"/>
        <charset val="1"/>
      </rPr>
      <t xml:space="preserve">)</t>
    </r>
  </si>
  <si>
    <r>
      <rPr>
        <sz val="10"/>
        <rFont val="Noto Sans CJK SC"/>
        <family val="2"/>
      </rPr>
      <t xml:space="preserve">読みます </t>
    </r>
    <r>
      <rPr>
        <sz val="10"/>
        <rFont val="Arial"/>
        <family val="0"/>
        <charset val="1"/>
      </rPr>
      <t xml:space="preserve">(</t>
    </r>
    <r>
      <rPr>
        <sz val="10"/>
        <rFont val="Noto Sans CJK SC"/>
        <family val="2"/>
      </rPr>
      <t xml:space="preserve">よみます</t>
    </r>
    <r>
      <rPr>
        <sz val="10"/>
        <rFont val="Arial"/>
        <family val="0"/>
        <charset val="1"/>
      </rPr>
      <t xml:space="preserve">) đọc </t>
    </r>
    <r>
      <rPr>
        <sz val="10"/>
        <rFont val="Noto Sans CJK SC"/>
        <family val="2"/>
      </rPr>
      <t xml:space="preserve">・ 読書 </t>
    </r>
    <r>
      <rPr>
        <sz val="10"/>
        <rFont val="Arial"/>
        <family val="0"/>
        <charset val="1"/>
      </rPr>
      <t xml:space="preserve">(</t>
    </r>
    <r>
      <rPr>
        <sz val="10"/>
        <rFont val="Noto Sans CJK SC"/>
        <family val="2"/>
      </rPr>
      <t xml:space="preserve">どくしょ</t>
    </r>
    <r>
      <rPr>
        <sz val="10"/>
        <rFont val="Arial"/>
        <family val="0"/>
        <charset val="1"/>
      </rPr>
      <t xml:space="preserve">) việc đọc sách </t>
    </r>
    <r>
      <rPr>
        <sz val="10"/>
        <rFont val="Noto Sans CJK SC"/>
        <family val="2"/>
      </rPr>
      <t xml:space="preserve">・ 音読み </t>
    </r>
    <r>
      <rPr>
        <sz val="10"/>
        <rFont val="Arial"/>
        <family val="0"/>
        <charset val="1"/>
      </rPr>
      <t xml:space="preserve">(</t>
    </r>
    <r>
      <rPr>
        <sz val="10"/>
        <rFont val="Noto Sans CJK SC"/>
        <family val="2"/>
      </rPr>
      <t xml:space="preserve">おんよみ</t>
    </r>
    <r>
      <rPr>
        <sz val="10"/>
        <rFont val="Arial"/>
        <family val="0"/>
        <charset val="1"/>
      </rPr>
      <t xml:space="preserve">) âm On</t>
    </r>
  </si>
  <si>
    <r>
      <rPr>
        <sz val="10"/>
        <rFont val="Noto Sans CJK SC"/>
        <family val="2"/>
      </rPr>
      <t xml:space="preserve">言 </t>
    </r>
    <r>
      <rPr>
        <sz val="10"/>
        <rFont val="Arial"/>
        <family val="0"/>
        <charset val="1"/>
      </rPr>
      <t xml:space="preserve">(lời nói) + </t>
    </r>
    <r>
      <rPr>
        <sz val="10"/>
        <rFont val="Noto Sans CJK SC"/>
        <family val="2"/>
      </rPr>
      <t xml:space="preserve">売 </t>
    </r>
    <r>
      <rPr>
        <sz val="10"/>
        <rFont val="Arial"/>
        <family val="0"/>
        <charset val="1"/>
      </rPr>
      <t xml:space="preserve">(bán) = đọc to lời rao bán hàng → ĐỌC.</t>
    </r>
  </si>
  <si>
    <t xml:space="preserve">友</t>
  </si>
  <si>
    <t xml:space="preserve">Bạn bè</t>
  </si>
  <si>
    <t xml:space="preserve">ユウ</t>
  </si>
  <si>
    <t xml:space="preserve">とも</t>
  </si>
  <si>
    <r>
      <rPr>
        <sz val="10"/>
        <rFont val="Noto Sans CJK SC"/>
        <family val="2"/>
      </rPr>
      <t xml:space="preserve">友だち </t>
    </r>
    <r>
      <rPr>
        <sz val="10"/>
        <rFont val="Arial"/>
        <family val="0"/>
        <charset val="1"/>
      </rPr>
      <t xml:space="preserve">(</t>
    </r>
    <r>
      <rPr>
        <sz val="10"/>
        <rFont val="Noto Sans CJK SC"/>
        <family val="2"/>
      </rPr>
      <t xml:space="preserve">ともだち</t>
    </r>
    <r>
      <rPr>
        <sz val="10"/>
        <rFont val="Arial"/>
        <family val="0"/>
        <charset val="1"/>
      </rPr>
      <t xml:space="preserve">) bạn bè </t>
    </r>
    <r>
      <rPr>
        <sz val="10"/>
        <rFont val="Noto Sans CJK SC"/>
        <family val="2"/>
      </rPr>
      <t xml:space="preserve">・ 親友 </t>
    </r>
    <r>
      <rPr>
        <sz val="10"/>
        <rFont val="Arial"/>
        <family val="0"/>
        <charset val="1"/>
      </rPr>
      <t xml:space="preserve">(</t>
    </r>
    <r>
      <rPr>
        <sz val="10"/>
        <rFont val="Noto Sans CJK SC"/>
        <family val="2"/>
      </rPr>
      <t xml:space="preserve">しんゆう</t>
    </r>
    <r>
      <rPr>
        <sz val="10"/>
        <rFont val="Arial"/>
        <family val="0"/>
        <charset val="1"/>
      </rPr>
      <t xml:space="preserve">) bạn thân </t>
    </r>
    <r>
      <rPr>
        <sz val="10"/>
        <rFont val="Noto Sans CJK SC"/>
        <family val="2"/>
      </rPr>
      <t xml:space="preserve">・ 友情 </t>
    </r>
    <r>
      <rPr>
        <sz val="10"/>
        <rFont val="Arial"/>
        <family val="0"/>
        <charset val="1"/>
      </rPr>
      <t xml:space="preserve">(</t>
    </r>
    <r>
      <rPr>
        <sz val="10"/>
        <rFont val="Noto Sans CJK SC"/>
        <family val="2"/>
      </rPr>
      <t xml:space="preserve">ゆうじょう</t>
    </r>
    <r>
      <rPr>
        <sz val="10"/>
        <rFont val="Arial"/>
        <family val="0"/>
        <charset val="1"/>
      </rPr>
      <t xml:space="preserve">) tình bạn</t>
    </r>
  </si>
  <si>
    <t xml:space="preserve">Hai bàn tay nắm lấy nhau = tình BẠN.</t>
  </si>
  <si>
    <t xml:space="preserve">左</t>
  </si>
  <si>
    <t xml:space="preserve">TẢ</t>
  </si>
  <si>
    <t xml:space="preserve">Bên trái</t>
  </si>
  <si>
    <t xml:space="preserve">ひだり</t>
  </si>
  <si>
    <r>
      <rPr>
        <sz val="10"/>
        <rFont val="Noto Sans CJK SC"/>
        <family val="2"/>
      </rPr>
      <t xml:space="preserve">左 </t>
    </r>
    <r>
      <rPr>
        <sz val="10"/>
        <rFont val="Arial"/>
        <family val="0"/>
        <charset val="1"/>
      </rPr>
      <t xml:space="preserve">(</t>
    </r>
    <r>
      <rPr>
        <sz val="10"/>
        <rFont val="Noto Sans CJK SC"/>
        <family val="2"/>
      </rPr>
      <t xml:space="preserve">ひだり</t>
    </r>
    <r>
      <rPr>
        <sz val="10"/>
        <rFont val="Arial"/>
        <family val="0"/>
        <charset val="1"/>
      </rPr>
      <t xml:space="preserve">) bên trái </t>
    </r>
    <r>
      <rPr>
        <sz val="10"/>
        <rFont val="Noto Sans CJK SC"/>
        <family val="2"/>
      </rPr>
      <t xml:space="preserve">・ 左手 </t>
    </r>
    <r>
      <rPr>
        <sz val="10"/>
        <rFont val="Arial"/>
        <family val="0"/>
        <charset val="1"/>
      </rPr>
      <t xml:space="preserve">(</t>
    </r>
    <r>
      <rPr>
        <sz val="10"/>
        <rFont val="Noto Sans CJK SC"/>
        <family val="2"/>
      </rPr>
      <t xml:space="preserve">ひだりて</t>
    </r>
    <r>
      <rPr>
        <sz val="10"/>
        <rFont val="Arial"/>
        <family val="0"/>
        <charset val="1"/>
      </rPr>
      <t xml:space="preserve">) tay trái </t>
    </r>
    <r>
      <rPr>
        <sz val="10"/>
        <rFont val="Noto Sans CJK SC"/>
        <family val="2"/>
      </rPr>
      <t xml:space="preserve">・ 左折 </t>
    </r>
    <r>
      <rPr>
        <sz val="10"/>
        <rFont val="Arial"/>
        <family val="0"/>
        <charset val="1"/>
      </rPr>
      <t xml:space="preserve">(</t>
    </r>
    <r>
      <rPr>
        <sz val="10"/>
        <rFont val="Noto Sans CJK SC"/>
        <family val="2"/>
      </rPr>
      <t xml:space="preserve">させつ</t>
    </r>
    <r>
      <rPr>
        <sz val="10"/>
        <rFont val="Arial"/>
        <family val="0"/>
        <charset val="1"/>
      </rPr>
      <t xml:space="preserve">) rẽ trái</t>
    </r>
  </si>
  <si>
    <r>
      <rPr>
        <sz val="10"/>
        <rFont val="Arial"/>
        <family val="0"/>
        <charset val="1"/>
      </rPr>
      <t xml:space="preserve">Bàn tay đưa lên cầm </t>
    </r>
    <r>
      <rPr>
        <sz val="10"/>
        <rFont val="Noto Sans CJK SC"/>
        <family val="2"/>
      </rPr>
      <t xml:space="preserve">工 </t>
    </r>
    <r>
      <rPr>
        <sz val="10"/>
        <rFont val="Arial"/>
        <family val="0"/>
        <charset val="1"/>
      </rPr>
      <t xml:space="preserve">(dụng cụ) = tay TRÁI giữ đồ. Nhớ: </t>
    </r>
    <r>
      <rPr>
        <sz val="10"/>
        <rFont val="Noto Sans CJK SC"/>
        <family val="2"/>
      </rPr>
      <t xml:space="preserve">左 </t>
    </r>
    <r>
      <rPr>
        <sz val="10"/>
        <rFont val="Arial"/>
        <family val="0"/>
        <charset val="1"/>
      </rPr>
      <t xml:space="preserve">có </t>
    </r>
    <r>
      <rPr>
        <sz val="10"/>
        <rFont val="Noto Sans CJK SC"/>
        <family val="2"/>
      </rPr>
      <t xml:space="preserve">工</t>
    </r>
    <r>
      <rPr>
        <sz val="10"/>
        <rFont val="Arial"/>
        <family val="0"/>
        <charset val="1"/>
      </rPr>
      <t xml:space="preserve">, </t>
    </r>
    <r>
      <rPr>
        <sz val="10"/>
        <rFont val="Noto Sans CJK SC"/>
        <family val="2"/>
      </rPr>
      <t xml:space="preserve">右 </t>
    </r>
    <r>
      <rPr>
        <sz val="10"/>
        <rFont val="Arial"/>
        <family val="0"/>
        <charset val="1"/>
      </rPr>
      <t xml:space="preserve">có </t>
    </r>
    <r>
      <rPr>
        <sz val="10"/>
        <rFont val="Noto Sans CJK SC"/>
        <family val="2"/>
      </rPr>
      <t xml:space="preserve">口</t>
    </r>
    <r>
      <rPr>
        <sz val="10"/>
        <rFont val="Arial"/>
        <family val="0"/>
        <charset val="1"/>
      </rPr>
      <t xml:space="preserve">.</t>
    </r>
  </si>
  <si>
    <t xml:space="preserve">休</t>
  </si>
  <si>
    <t xml:space="preserve">HƯU</t>
  </si>
  <si>
    <t xml:space="preserve">Nghỉ ngơi</t>
  </si>
  <si>
    <t xml:space="preserve">キュウ</t>
  </si>
  <si>
    <r>
      <rPr>
        <sz val="10"/>
        <rFont val="Noto Sans CJK SC"/>
        <family val="2"/>
      </rPr>
      <t xml:space="preserve">やす</t>
    </r>
    <r>
      <rPr>
        <sz val="10"/>
        <rFont val="Arial"/>
        <family val="0"/>
        <charset val="1"/>
      </rPr>
      <t xml:space="preserve">(</t>
    </r>
    <r>
      <rPr>
        <sz val="10"/>
        <rFont val="Noto Sans CJK SC"/>
        <family val="2"/>
      </rPr>
      <t xml:space="preserve">む</t>
    </r>
    <r>
      <rPr>
        <sz val="10"/>
        <rFont val="Arial"/>
        <family val="0"/>
        <charset val="1"/>
      </rPr>
      <t xml:space="preserve">)</t>
    </r>
  </si>
  <si>
    <r>
      <rPr>
        <sz val="10"/>
        <rFont val="Noto Sans CJK SC"/>
        <family val="2"/>
      </rPr>
      <t xml:space="preserve">休みます </t>
    </r>
    <r>
      <rPr>
        <sz val="10"/>
        <rFont val="Arial"/>
        <family val="0"/>
        <charset val="1"/>
      </rPr>
      <t xml:space="preserve">(</t>
    </r>
    <r>
      <rPr>
        <sz val="10"/>
        <rFont val="Noto Sans CJK SC"/>
        <family val="2"/>
      </rPr>
      <t xml:space="preserve">やすみます</t>
    </r>
    <r>
      <rPr>
        <sz val="10"/>
        <rFont val="Arial"/>
        <family val="0"/>
        <charset val="1"/>
      </rPr>
      <t xml:space="preserve">) nghỉ </t>
    </r>
    <r>
      <rPr>
        <sz val="10"/>
        <rFont val="Noto Sans CJK SC"/>
        <family val="2"/>
      </rPr>
      <t xml:space="preserve">・ 休み </t>
    </r>
    <r>
      <rPr>
        <sz val="10"/>
        <rFont val="Arial"/>
        <family val="0"/>
        <charset val="1"/>
      </rPr>
      <t xml:space="preserve">(</t>
    </r>
    <r>
      <rPr>
        <sz val="10"/>
        <rFont val="Noto Sans CJK SC"/>
        <family val="2"/>
      </rPr>
      <t xml:space="preserve">やすみ</t>
    </r>
    <r>
      <rPr>
        <sz val="10"/>
        <rFont val="Arial"/>
        <family val="0"/>
        <charset val="1"/>
      </rPr>
      <t xml:space="preserve">) kỳ nghỉ </t>
    </r>
    <r>
      <rPr>
        <sz val="10"/>
        <rFont val="Noto Sans CJK SC"/>
        <family val="2"/>
      </rPr>
      <t xml:space="preserve">・ 休日 </t>
    </r>
    <r>
      <rPr>
        <sz val="10"/>
        <rFont val="Arial"/>
        <family val="0"/>
        <charset val="1"/>
      </rPr>
      <t xml:space="preserve">(</t>
    </r>
    <r>
      <rPr>
        <sz val="10"/>
        <rFont val="Noto Sans CJK SC"/>
        <family val="2"/>
      </rPr>
      <t xml:space="preserve">きゅうじつ</t>
    </r>
    <r>
      <rPr>
        <sz val="10"/>
        <rFont val="Arial"/>
        <family val="0"/>
        <charset val="1"/>
      </rPr>
      <t xml:space="preserve">) ngày nghỉ</t>
    </r>
  </si>
  <si>
    <r>
      <rPr>
        <sz val="10"/>
        <rFont val="Noto Sans CJK SC"/>
        <family val="2"/>
      </rPr>
      <t xml:space="preserve">亻 </t>
    </r>
    <r>
      <rPr>
        <sz val="10"/>
        <rFont val="Arial"/>
        <family val="0"/>
        <charset val="1"/>
      </rPr>
      <t xml:space="preserve">(người) tựa vào </t>
    </r>
    <r>
      <rPr>
        <sz val="10"/>
        <rFont val="Noto Sans CJK SC"/>
        <family val="2"/>
      </rPr>
      <t xml:space="preserve">木 </t>
    </r>
    <r>
      <rPr>
        <sz val="10"/>
        <rFont val="Arial"/>
        <family val="0"/>
        <charset val="1"/>
      </rPr>
      <t xml:space="preserve">(gốc cây) = ngồi dựa gốc cây NGHỈ mát. Hình ảnh dễ nhớ nhất trong 103 chữ.</t>
    </r>
  </si>
  <si>
    <t xml:space="preserve">父</t>
  </si>
  <si>
    <t xml:space="preserve">PHỤ</t>
  </si>
  <si>
    <t xml:space="preserve">Bố</t>
  </si>
  <si>
    <t xml:space="preserve">ちち・とう</t>
  </si>
  <si>
    <r>
      <rPr>
        <sz val="10"/>
        <rFont val="Noto Sans CJK SC"/>
        <family val="2"/>
      </rPr>
      <t xml:space="preserve">父 </t>
    </r>
    <r>
      <rPr>
        <sz val="10"/>
        <rFont val="Arial"/>
        <family val="0"/>
        <charset val="1"/>
      </rPr>
      <t xml:space="preserve">(</t>
    </r>
    <r>
      <rPr>
        <sz val="10"/>
        <rFont val="Noto Sans CJK SC"/>
        <family val="2"/>
      </rPr>
      <t xml:space="preserve">ちち</t>
    </r>
    <r>
      <rPr>
        <sz val="10"/>
        <rFont val="Arial"/>
        <family val="0"/>
        <charset val="1"/>
      </rPr>
      <t xml:space="preserve">) bố tôi </t>
    </r>
    <r>
      <rPr>
        <sz val="10"/>
        <rFont val="Noto Sans CJK SC"/>
        <family val="2"/>
      </rPr>
      <t xml:space="preserve">・ お父さん </t>
    </r>
    <r>
      <rPr>
        <sz val="10"/>
        <rFont val="Arial"/>
        <family val="0"/>
        <charset val="1"/>
      </rPr>
      <t xml:space="preserve">(</t>
    </r>
    <r>
      <rPr>
        <sz val="10"/>
        <rFont val="Noto Sans CJK SC"/>
        <family val="2"/>
      </rPr>
      <t xml:space="preserve">おとうさん</t>
    </r>
    <r>
      <rPr>
        <sz val="10"/>
        <rFont val="Arial"/>
        <family val="0"/>
        <charset val="1"/>
      </rPr>
      <t xml:space="preserve">) bố </t>
    </r>
    <r>
      <rPr>
        <sz val="10"/>
        <rFont val="Noto Sans CJK SC"/>
        <family val="2"/>
      </rPr>
      <t xml:space="preserve">・ 父母 </t>
    </r>
    <r>
      <rPr>
        <sz val="10"/>
        <rFont val="Arial"/>
        <family val="0"/>
        <charset val="1"/>
      </rPr>
      <t xml:space="preserve">(</t>
    </r>
    <r>
      <rPr>
        <sz val="10"/>
        <rFont val="Noto Sans CJK SC"/>
        <family val="2"/>
      </rPr>
      <t xml:space="preserve">ふぼ</t>
    </r>
    <r>
      <rPr>
        <sz val="10"/>
        <rFont val="Arial"/>
        <family val="0"/>
        <charset val="1"/>
      </rPr>
      <t xml:space="preserve">) cha mẹ</t>
    </r>
  </si>
  <si>
    <t xml:space="preserve">Hình hai cánh tay giơ cây roi — người BỐ nghiêm khắc ngày xưa.</t>
  </si>
  <si>
    <t xml:space="preserve">DỊCH</t>
  </si>
  <si>
    <t xml:space="preserve">Nhà ga</t>
  </si>
  <si>
    <t xml:space="preserve">エキ</t>
  </si>
  <si>
    <r>
      <rPr>
        <sz val="10"/>
        <rFont val="Noto Sans CJK SC"/>
        <family val="2"/>
      </rPr>
      <t xml:space="preserve">駅 </t>
    </r>
    <r>
      <rPr>
        <sz val="10"/>
        <rFont val="Arial"/>
        <family val="0"/>
        <charset val="1"/>
      </rPr>
      <t xml:space="preserve">(</t>
    </r>
    <r>
      <rPr>
        <sz val="10"/>
        <rFont val="Noto Sans CJK SC"/>
        <family val="2"/>
      </rPr>
      <t xml:space="preserve">えき</t>
    </r>
    <r>
      <rPr>
        <sz val="10"/>
        <rFont val="Arial"/>
        <family val="0"/>
        <charset val="1"/>
      </rPr>
      <t xml:space="preserve">) nhà ga </t>
    </r>
    <r>
      <rPr>
        <sz val="10"/>
        <rFont val="Noto Sans CJK SC"/>
        <family val="2"/>
      </rPr>
      <t xml:space="preserve">・ 東京駅 </t>
    </r>
    <r>
      <rPr>
        <sz val="10"/>
        <rFont val="Arial"/>
        <family val="0"/>
        <charset val="1"/>
      </rPr>
      <t xml:space="preserve">(</t>
    </r>
    <r>
      <rPr>
        <sz val="10"/>
        <rFont val="Noto Sans CJK SC"/>
        <family val="2"/>
      </rPr>
      <t xml:space="preserve">とうきょうえき</t>
    </r>
    <r>
      <rPr>
        <sz val="10"/>
        <rFont val="Arial"/>
        <family val="0"/>
        <charset val="1"/>
      </rPr>
      <t xml:space="preserve">) ga Tokyo </t>
    </r>
    <r>
      <rPr>
        <sz val="10"/>
        <rFont val="Noto Sans CJK SC"/>
        <family val="2"/>
      </rPr>
      <t xml:space="preserve">・ 駅前 </t>
    </r>
    <r>
      <rPr>
        <sz val="10"/>
        <rFont val="Arial"/>
        <family val="0"/>
        <charset val="1"/>
      </rPr>
      <t xml:space="preserve">(</t>
    </r>
    <r>
      <rPr>
        <sz val="10"/>
        <rFont val="Noto Sans CJK SC"/>
        <family val="2"/>
      </rPr>
      <t xml:space="preserve">えきまえ</t>
    </r>
    <r>
      <rPr>
        <sz val="10"/>
        <rFont val="Arial"/>
        <family val="0"/>
        <charset val="1"/>
      </rPr>
      <t xml:space="preserve">) trước ga</t>
    </r>
  </si>
  <si>
    <r>
      <rPr>
        <sz val="10"/>
        <rFont val="Noto Sans CJK SC"/>
        <family val="2"/>
      </rPr>
      <t xml:space="preserve">馬 </t>
    </r>
    <r>
      <rPr>
        <sz val="10"/>
        <rFont val="Arial"/>
        <family val="0"/>
        <charset val="1"/>
      </rPr>
      <t xml:space="preserve">(con ngựa) + </t>
    </r>
    <r>
      <rPr>
        <sz val="10"/>
        <rFont val="Noto Sans CJK SC"/>
        <family val="2"/>
      </rPr>
      <t xml:space="preserve">尺 </t>
    </r>
    <r>
      <rPr>
        <sz val="10"/>
        <rFont val="Arial"/>
        <family val="0"/>
        <charset val="1"/>
      </rPr>
      <t xml:space="preserve">= trạm đổi ngựa ngày xưa, nay là NHÀ GA tàu.</t>
    </r>
  </si>
  <si>
    <t xml:space="preserve">VŨ</t>
  </si>
  <si>
    <t xml:space="preserve">Mưa</t>
  </si>
  <si>
    <t xml:space="preserve">あめ</t>
  </si>
  <si>
    <r>
      <rPr>
        <sz val="10"/>
        <rFont val="Noto Sans CJK SC"/>
        <family val="2"/>
      </rPr>
      <t xml:space="preserve">雨 </t>
    </r>
    <r>
      <rPr>
        <sz val="10"/>
        <rFont val="Arial"/>
        <family val="0"/>
        <charset val="1"/>
      </rPr>
      <t xml:space="preserve">(</t>
    </r>
    <r>
      <rPr>
        <sz val="10"/>
        <rFont val="Noto Sans CJK SC"/>
        <family val="2"/>
      </rPr>
      <t xml:space="preserve">あめ</t>
    </r>
    <r>
      <rPr>
        <sz val="10"/>
        <rFont val="Arial"/>
        <family val="0"/>
        <charset val="1"/>
      </rPr>
      <t xml:space="preserve">) mưa </t>
    </r>
    <r>
      <rPr>
        <sz val="10"/>
        <rFont val="Noto Sans CJK SC"/>
        <family val="2"/>
      </rPr>
      <t xml:space="preserve">・ 大雨 </t>
    </r>
    <r>
      <rPr>
        <sz val="10"/>
        <rFont val="Arial"/>
        <family val="0"/>
        <charset val="1"/>
      </rPr>
      <t xml:space="preserve">(</t>
    </r>
    <r>
      <rPr>
        <sz val="10"/>
        <rFont val="Noto Sans CJK SC"/>
        <family val="2"/>
      </rPr>
      <t xml:space="preserve">おおあめ</t>
    </r>
    <r>
      <rPr>
        <sz val="10"/>
        <rFont val="Arial"/>
        <family val="0"/>
        <charset val="1"/>
      </rPr>
      <t xml:space="preserve">) mưa to </t>
    </r>
    <r>
      <rPr>
        <sz val="10"/>
        <rFont val="Noto Sans CJK SC"/>
        <family val="2"/>
      </rPr>
      <t xml:space="preserve">・ 梅雨 </t>
    </r>
    <r>
      <rPr>
        <sz val="10"/>
        <rFont val="Arial"/>
        <family val="0"/>
        <charset val="1"/>
      </rPr>
      <t xml:space="preserve">(</t>
    </r>
    <r>
      <rPr>
        <sz val="10"/>
        <rFont val="Noto Sans CJK SC"/>
        <family val="2"/>
      </rPr>
      <t xml:space="preserve">つゆ</t>
    </r>
    <r>
      <rPr>
        <sz val="10"/>
        <rFont val="Arial"/>
        <family val="0"/>
        <charset val="1"/>
      </rPr>
      <t xml:space="preserve">) mùa mưa</t>
    </r>
  </si>
  <si>
    <t xml:space="preserve">Đám mây bên trên, bốn giọt nước rơi xuống bên dưới → MƯA.</t>
  </si>
  <si>
    <t xml:space="preserve">ẨM</t>
  </si>
  <si>
    <t xml:space="preserve">Uống</t>
  </si>
  <si>
    <t xml:space="preserve">イン</t>
  </si>
  <si>
    <r>
      <rPr>
        <sz val="10"/>
        <rFont val="Noto Sans CJK SC"/>
        <family val="2"/>
      </rPr>
      <t xml:space="preserve">の</t>
    </r>
    <r>
      <rPr>
        <sz val="10"/>
        <rFont val="Arial"/>
        <family val="0"/>
        <charset val="1"/>
      </rPr>
      <t xml:space="preserve">(</t>
    </r>
    <r>
      <rPr>
        <sz val="10"/>
        <rFont val="Noto Sans CJK SC"/>
        <family val="2"/>
      </rPr>
      <t xml:space="preserve">む</t>
    </r>
    <r>
      <rPr>
        <sz val="10"/>
        <rFont val="Arial"/>
        <family val="0"/>
        <charset val="1"/>
      </rPr>
      <t xml:space="preserve">)</t>
    </r>
  </si>
  <si>
    <r>
      <rPr>
        <sz val="10"/>
        <rFont val="Noto Sans CJK SC"/>
        <family val="2"/>
      </rPr>
      <t xml:space="preserve">飲みます </t>
    </r>
    <r>
      <rPr>
        <sz val="10"/>
        <rFont val="Arial"/>
        <family val="0"/>
        <charset val="1"/>
      </rPr>
      <t xml:space="preserve">(</t>
    </r>
    <r>
      <rPr>
        <sz val="10"/>
        <rFont val="Noto Sans CJK SC"/>
        <family val="2"/>
      </rPr>
      <t xml:space="preserve">のみます</t>
    </r>
    <r>
      <rPr>
        <sz val="10"/>
        <rFont val="Arial"/>
        <family val="0"/>
        <charset val="1"/>
      </rPr>
      <t xml:space="preserve">) uống </t>
    </r>
    <r>
      <rPr>
        <sz val="10"/>
        <rFont val="Noto Sans CJK SC"/>
        <family val="2"/>
      </rPr>
      <t xml:space="preserve">・ 飲み物 </t>
    </r>
    <r>
      <rPr>
        <sz val="10"/>
        <rFont val="Arial"/>
        <family val="0"/>
        <charset val="1"/>
      </rPr>
      <t xml:space="preserve">(</t>
    </r>
    <r>
      <rPr>
        <sz val="10"/>
        <rFont val="Noto Sans CJK SC"/>
        <family val="2"/>
      </rPr>
      <t xml:space="preserve">のみもの</t>
    </r>
    <r>
      <rPr>
        <sz val="10"/>
        <rFont val="Arial"/>
        <family val="0"/>
        <charset val="1"/>
      </rPr>
      <t xml:space="preserve">) đồ uống </t>
    </r>
    <r>
      <rPr>
        <sz val="10"/>
        <rFont val="Noto Sans CJK SC"/>
        <family val="2"/>
      </rPr>
      <t xml:space="preserve">・ 飲食 </t>
    </r>
    <r>
      <rPr>
        <sz val="10"/>
        <rFont val="Arial"/>
        <family val="0"/>
        <charset val="1"/>
      </rPr>
      <t xml:space="preserve">(</t>
    </r>
    <r>
      <rPr>
        <sz val="10"/>
        <rFont val="Noto Sans CJK SC"/>
        <family val="2"/>
      </rPr>
      <t xml:space="preserve">いんしょく</t>
    </r>
    <r>
      <rPr>
        <sz val="10"/>
        <rFont val="Arial"/>
        <family val="0"/>
        <charset val="1"/>
      </rPr>
      <t xml:space="preserve">) ăn uống</t>
    </r>
  </si>
  <si>
    <r>
      <rPr>
        <sz val="10"/>
        <rFont val="Noto Sans CJK SC"/>
        <family val="2"/>
      </rPr>
      <t xml:space="preserve">食 </t>
    </r>
    <r>
      <rPr>
        <sz val="10"/>
        <rFont val="Arial"/>
        <family val="0"/>
        <charset val="1"/>
      </rPr>
      <t xml:space="preserve">(ăn) + </t>
    </r>
    <r>
      <rPr>
        <sz val="10"/>
        <rFont val="Noto Sans CJK SC"/>
        <family val="2"/>
      </rPr>
      <t xml:space="preserve">欠 </t>
    </r>
    <r>
      <rPr>
        <sz val="10"/>
        <rFont val="Arial"/>
        <family val="0"/>
        <charset val="1"/>
      </rPr>
      <t xml:space="preserve">(há miệng) = há miệng ngửa cổ ra → UỐNG.</t>
    </r>
  </si>
  <si>
    <t xml:space="preserve">NGƯ</t>
  </si>
  <si>
    <t xml:space="preserve">Cá</t>
  </si>
  <si>
    <t xml:space="preserve">さかな</t>
  </si>
  <si>
    <r>
      <rPr>
        <sz val="10"/>
        <rFont val="Noto Sans CJK SC"/>
        <family val="2"/>
      </rPr>
      <t xml:space="preserve">魚 </t>
    </r>
    <r>
      <rPr>
        <sz val="10"/>
        <rFont val="Arial"/>
        <family val="0"/>
        <charset val="1"/>
      </rPr>
      <t xml:space="preserve">(</t>
    </r>
    <r>
      <rPr>
        <sz val="10"/>
        <rFont val="Noto Sans CJK SC"/>
        <family val="2"/>
      </rPr>
      <t xml:space="preserve">さかな</t>
    </r>
    <r>
      <rPr>
        <sz val="10"/>
        <rFont val="Arial"/>
        <family val="0"/>
        <charset val="1"/>
      </rPr>
      <t xml:space="preserve">) cá </t>
    </r>
    <r>
      <rPr>
        <sz val="10"/>
        <rFont val="Noto Sans CJK SC"/>
        <family val="2"/>
      </rPr>
      <t xml:space="preserve">・ 金魚 </t>
    </r>
    <r>
      <rPr>
        <sz val="10"/>
        <rFont val="Arial"/>
        <family val="0"/>
        <charset val="1"/>
      </rPr>
      <t xml:space="preserve">(</t>
    </r>
    <r>
      <rPr>
        <sz val="10"/>
        <rFont val="Noto Sans CJK SC"/>
        <family val="2"/>
      </rPr>
      <t xml:space="preserve">きんぎょ</t>
    </r>
    <r>
      <rPr>
        <sz val="10"/>
        <rFont val="Arial"/>
        <family val="0"/>
        <charset val="1"/>
      </rPr>
      <t xml:space="preserve">) cá vàng </t>
    </r>
    <r>
      <rPr>
        <sz val="10"/>
        <rFont val="Noto Sans CJK SC"/>
        <family val="2"/>
      </rPr>
      <t xml:space="preserve">・ 魚屋 </t>
    </r>
    <r>
      <rPr>
        <sz val="10"/>
        <rFont val="Arial"/>
        <family val="0"/>
        <charset val="1"/>
      </rPr>
      <t xml:space="preserve">(</t>
    </r>
    <r>
      <rPr>
        <sz val="10"/>
        <rFont val="Noto Sans CJK SC"/>
        <family val="2"/>
      </rPr>
      <t xml:space="preserve">さかなや</t>
    </r>
    <r>
      <rPr>
        <sz val="10"/>
        <rFont val="Arial"/>
        <family val="0"/>
        <charset val="1"/>
      </rPr>
      <t xml:space="preserve">) hàng cá</t>
    </r>
  </si>
  <si>
    <t xml:space="preserve">Từ trên xuống: đầu cá, thân có vảy, bốn chấm dưới là cái đuôi xòe.</t>
  </si>
  <si>
    <t xml:space="preserve">NHĨ</t>
  </si>
  <si>
    <t xml:space="preserve">Tai</t>
  </si>
  <si>
    <t xml:space="preserve">みみ</t>
  </si>
  <si>
    <r>
      <rPr>
        <sz val="10"/>
        <rFont val="Noto Sans CJK SC"/>
        <family val="2"/>
      </rPr>
      <t xml:space="preserve">耳 </t>
    </r>
    <r>
      <rPr>
        <sz val="10"/>
        <rFont val="Arial"/>
        <family val="0"/>
        <charset val="1"/>
      </rPr>
      <t xml:space="preserve">(</t>
    </r>
    <r>
      <rPr>
        <sz val="10"/>
        <rFont val="Noto Sans CJK SC"/>
        <family val="2"/>
      </rPr>
      <t xml:space="preserve">みみ</t>
    </r>
    <r>
      <rPr>
        <sz val="10"/>
        <rFont val="Arial"/>
        <family val="0"/>
        <charset val="1"/>
      </rPr>
      <t xml:space="preserve">) tai </t>
    </r>
    <r>
      <rPr>
        <sz val="10"/>
        <rFont val="Noto Sans CJK SC"/>
        <family val="2"/>
      </rPr>
      <t xml:space="preserve">・ 耳鼻科 </t>
    </r>
    <r>
      <rPr>
        <sz val="10"/>
        <rFont val="Arial"/>
        <family val="0"/>
        <charset val="1"/>
      </rPr>
      <t xml:space="preserve">(</t>
    </r>
    <r>
      <rPr>
        <sz val="10"/>
        <rFont val="Noto Sans CJK SC"/>
        <family val="2"/>
      </rPr>
      <t xml:space="preserve">じびか</t>
    </r>
    <r>
      <rPr>
        <sz val="10"/>
        <rFont val="Arial"/>
        <family val="0"/>
        <charset val="1"/>
      </rPr>
      <t xml:space="preserve">) khoa tai mũi họng </t>
    </r>
    <r>
      <rPr>
        <sz val="10"/>
        <rFont val="Noto Sans CJK SC"/>
        <family val="2"/>
      </rPr>
      <t xml:space="preserve">・ 中耳炎 </t>
    </r>
    <r>
      <rPr>
        <sz val="10"/>
        <rFont val="Arial"/>
        <family val="0"/>
        <charset val="1"/>
      </rPr>
      <t xml:space="preserve">(</t>
    </r>
    <r>
      <rPr>
        <sz val="10"/>
        <rFont val="Noto Sans CJK SC"/>
        <family val="2"/>
      </rPr>
      <t xml:space="preserve">ちゅうじえん</t>
    </r>
    <r>
      <rPr>
        <sz val="10"/>
        <rFont val="Arial"/>
        <family val="0"/>
        <charset val="1"/>
      </rPr>
      <t xml:space="preserve">) viêm tai giữa</t>
    </r>
  </si>
  <si>
    <t xml:space="preserve">Hình vành TAI với các nếp gấp bên trong.</t>
  </si>
  <si>
    <t xml:space="preserve">112 MẪU NGỮ PHÁP THEO MINNA NO NIHONGO I — mỗi mẫu có câu ví dụ và bản dịch</t>
  </si>
  <si>
    <t xml:space="preserve">Mẫu ngữ pháp</t>
  </si>
  <si>
    <t xml:space="preserve">Cách dùng</t>
  </si>
  <si>
    <t xml:space="preserve">Ví dụ</t>
  </si>
  <si>
    <t xml:space="preserve">Dịch nghĩa</t>
  </si>
  <si>
    <t xml:space="preserve">▌ BÀI 1  ·  Chào hỏi &amp; Giới thiệu bản thân</t>
  </si>
  <si>
    <r>
      <rPr>
        <b val="true"/>
        <sz val="12"/>
        <rFont val="Arial"/>
        <family val="0"/>
        <charset val="1"/>
      </rPr>
      <t xml:space="preserve">N1 </t>
    </r>
    <r>
      <rPr>
        <b val="true"/>
        <sz val="12"/>
        <rFont val="Noto Sans CJK SC"/>
        <family val="2"/>
      </rPr>
      <t xml:space="preserve">は </t>
    </r>
    <r>
      <rPr>
        <b val="true"/>
        <sz val="12"/>
        <rFont val="Arial"/>
        <family val="0"/>
        <charset val="1"/>
      </rPr>
      <t xml:space="preserve">N2 </t>
    </r>
    <r>
      <rPr>
        <b val="true"/>
        <sz val="12"/>
        <rFont val="Noto Sans CJK SC"/>
        <family val="2"/>
      </rPr>
      <t xml:space="preserve">です</t>
    </r>
  </si>
  <si>
    <r>
      <rPr>
        <sz val="10"/>
        <rFont val="Arial"/>
        <family val="0"/>
        <charset val="1"/>
      </rPr>
      <t xml:space="preserve">N1 là N2. </t>
    </r>
    <r>
      <rPr>
        <sz val="10"/>
        <rFont val="Noto Sans CJK SC"/>
        <family val="2"/>
      </rPr>
      <t xml:space="preserve">は </t>
    </r>
    <r>
      <rPr>
        <sz val="10"/>
        <rFont val="Arial"/>
        <family val="0"/>
        <charset val="1"/>
      </rPr>
      <t xml:space="preserve">đọc là 'wa' khi làm trợ từ chủ đề.</t>
    </r>
  </si>
  <si>
    <t xml:space="preserve">わたしは グエンです。</t>
  </si>
  <si>
    <t xml:space="preserve">Tôi là Nguyễn.</t>
  </si>
  <si>
    <r>
      <rPr>
        <b val="true"/>
        <sz val="12"/>
        <rFont val="Arial"/>
        <family val="0"/>
        <charset val="1"/>
      </rPr>
      <t xml:space="preserve">N1 </t>
    </r>
    <r>
      <rPr>
        <b val="true"/>
        <sz val="12"/>
        <rFont val="Noto Sans CJK SC"/>
        <family val="2"/>
      </rPr>
      <t xml:space="preserve">は </t>
    </r>
    <r>
      <rPr>
        <b val="true"/>
        <sz val="12"/>
        <rFont val="Arial"/>
        <family val="0"/>
        <charset val="1"/>
      </rPr>
      <t xml:space="preserve">N2 </t>
    </r>
    <r>
      <rPr>
        <b val="true"/>
        <sz val="12"/>
        <rFont val="Noto Sans CJK SC"/>
        <family val="2"/>
      </rPr>
      <t xml:space="preserve">じゃ ありません</t>
    </r>
  </si>
  <si>
    <r>
      <rPr>
        <sz val="10"/>
        <rFont val="Arial"/>
        <family val="0"/>
        <charset val="1"/>
      </rPr>
      <t xml:space="preserve">N1 không phải là N2. Văn viết dùng </t>
    </r>
    <r>
      <rPr>
        <sz val="10"/>
        <rFont val="Noto Sans CJK SC"/>
        <family val="2"/>
      </rPr>
      <t xml:space="preserve">では ありません</t>
    </r>
    <r>
      <rPr>
        <sz val="10"/>
        <rFont val="Arial"/>
        <family val="0"/>
        <charset val="1"/>
      </rPr>
      <t xml:space="preserve">.</t>
    </r>
  </si>
  <si>
    <t xml:space="preserve">わたしは 学生じゃ ありません。</t>
  </si>
  <si>
    <t xml:space="preserve">Tôi không phải là học sinh.</t>
  </si>
  <si>
    <r>
      <rPr>
        <b val="true"/>
        <sz val="12"/>
        <rFont val="Arial"/>
        <family val="0"/>
        <charset val="1"/>
      </rPr>
      <t xml:space="preserve">N1 </t>
    </r>
    <r>
      <rPr>
        <b val="true"/>
        <sz val="12"/>
        <rFont val="Noto Sans CJK SC"/>
        <family val="2"/>
      </rPr>
      <t xml:space="preserve">は </t>
    </r>
    <r>
      <rPr>
        <b val="true"/>
        <sz val="12"/>
        <rFont val="Arial"/>
        <family val="0"/>
        <charset val="1"/>
      </rPr>
      <t xml:space="preserve">N2 </t>
    </r>
    <r>
      <rPr>
        <b val="true"/>
        <sz val="12"/>
        <rFont val="Noto Sans CJK SC"/>
        <family val="2"/>
      </rPr>
      <t xml:space="preserve">ですか</t>
    </r>
  </si>
  <si>
    <r>
      <rPr>
        <sz val="10"/>
        <rFont val="Arial"/>
        <family val="0"/>
        <charset val="1"/>
      </rPr>
      <t xml:space="preserve">N1 có phải là N2 không? Thêm </t>
    </r>
    <r>
      <rPr>
        <sz val="10"/>
        <rFont val="Noto Sans CJK SC"/>
        <family val="2"/>
      </rPr>
      <t xml:space="preserve">か </t>
    </r>
    <r>
      <rPr>
        <sz val="10"/>
        <rFont val="Arial"/>
        <family val="0"/>
        <charset val="1"/>
      </rPr>
      <t xml:space="preserve">cuối câu là thành câu hỏi.</t>
    </r>
  </si>
  <si>
    <t xml:space="preserve">ミラーさんは アメリカ人ですか。</t>
  </si>
  <si>
    <t xml:space="preserve">Anh Miller là người Mỹ phải không?</t>
  </si>
  <si>
    <r>
      <rPr>
        <b val="true"/>
        <sz val="12"/>
        <rFont val="Arial"/>
        <family val="0"/>
        <charset val="1"/>
      </rPr>
      <t xml:space="preserve">N </t>
    </r>
    <r>
      <rPr>
        <b val="true"/>
        <sz val="12"/>
        <rFont val="Noto Sans CJK SC"/>
        <family val="2"/>
      </rPr>
      <t xml:space="preserve">も</t>
    </r>
  </si>
  <si>
    <r>
      <rPr>
        <sz val="10"/>
        <rFont val="Arial"/>
        <family val="0"/>
        <charset val="1"/>
      </rPr>
      <t xml:space="preserve">N cũng. Thay thế vị trí của </t>
    </r>
    <r>
      <rPr>
        <sz val="10"/>
        <rFont val="Noto Sans CJK SC"/>
        <family val="2"/>
      </rPr>
      <t xml:space="preserve">は</t>
    </r>
    <r>
      <rPr>
        <sz val="10"/>
        <rFont val="Arial"/>
        <family val="0"/>
        <charset val="1"/>
      </rPr>
      <t xml:space="preserve">.</t>
    </r>
  </si>
  <si>
    <t xml:space="preserve">わたしも ベトナム人です。</t>
  </si>
  <si>
    <t xml:space="preserve">Tôi cũng là người Việt Nam.</t>
  </si>
  <si>
    <r>
      <rPr>
        <b val="true"/>
        <sz val="12"/>
        <rFont val="Arial"/>
        <family val="0"/>
        <charset val="1"/>
      </rPr>
      <t xml:space="preserve">N1 </t>
    </r>
    <r>
      <rPr>
        <b val="true"/>
        <sz val="12"/>
        <rFont val="Noto Sans CJK SC"/>
        <family val="2"/>
      </rPr>
      <t xml:space="preserve">の </t>
    </r>
    <r>
      <rPr>
        <b val="true"/>
        <sz val="12"/>
        <rFont val="Arial"/>
        <family val="0"/>
        <charset val="1"/>
      </rPr>
      <t xml:space="preserve">N2</t>
    </r>
  </si>
  <si>
    <t xml:space="preserve">N2 thuộc về / của N1.</t>
  </si>
  <si>
    <r>
      <rPr>
        <sz val="12"/>
        <rFont val="Noto Sans CJK SC"/>
        <family val="2"/>
      </rPr>
      <t xml:space="preserve">わたしは </t>
    </r>
    <r>
      <rPr>
        <sz val="12"/>
        <rFont val="Arial"/>
        <family val="0"/>
        <charset val="1"/>
      </rPr>
      <t xml:space="preserve">ABC</t>
    </r>
    <r>
      <rPr>
        <sz val="12"/>
        <rFont val="Noto Sans CJK SC"/>
        <family val="2"/>
      </rPr>
      <t xml:space="preserve">の 社員です。</t>
    </r>
  </si>
  <si>
    <t xml:space="preserve">Tôi là nhân viên của công ty ABC.</t>
  </si>
  <si>
    <r>
      <rPr>
        <b val="true"/>
        <sz val="12"/>
        <color rgb="FFFFFFFF"/>
        <rFont val="Arial"/>
        <family val="0"/>
        <charset val="1"/>
      </rPr>
      <t xml:space="preserve">▌ BÀI 2  ·  </t>
    </r>
    <r>
      <rPr>
        <b val="true"/>
        <sz val="12"/>
        <color rgb="FFFFFFFF"/>
        <rFont val="Noto Sans CJK SC"/>
        <family val="2"/>
      </rPr>
      <t xml:space="preserve">これ・それ・あれ — </t>
    </r>
    <r>
      <rPr>
        <b val="true"/>
        <sz val="12"/>
        <color rgb="FFFFFFFF"/>
        <rFont val="Arial"/>
        <family val="0"/>
        <charset val="1"/>
      </rPr>
      <t xml:space="preserve">Chỉ đồ vật</t>
    </r>
  </si>
  <si>
    <r>
      <rPr>
        <b val="true"/>
        <sz val="12"/>
        <rFont val="Noto Sans CJK SC"/>
        <family val="2"/>
      </rPr>
      <t xml:space="preserve">これ </t>
    </r>
    <r>
      <rPr>
        <b val="true"/>
        <sz val="12"/>
        <rFont val="Arial"/>
        <family val="0"/>
        <charset val="1"/>
      </rPr>
      <t xml:space="preserve">/ </t>
    </r>
    <r>
      <rPr>
        <b val="true"/>
        <sz val="12"/>
        <rFont val="Noto Sans CJK SC"/>
        <family val="2"/>
      </rPr>
      <t xml:space="preserve">それ </t>
    </r>
    <r>
      <rPr>
        <b val="true"/>
        <sz val="12"/>
        <rFont val="Arial"/>
        <family val="0"/>
        <charset val="1"/>
      </rPr>
      <t xml:space="preserve">/ </t>
    </r>
    <r>
      <rPr>
        <b val="true"/>
        <sz val="12"/>
        <rFont val="Noto Sans CJK SC"/>
        <family val="2"/>
      </rPr>
      <t xml:space="preserve">あれ</t>
    </r>
  </si>
  <si>
    <t xml:space="preserve">Cái này (gần tôi) / cái đó (gần bạn) / cái kia (xa cả hai). Đứng một mình như danh từ.</t>
  </si>
  <si>
    <t xml:space="preserve">これは 本です。</t>
  </si>
  <si>
    <t xml:space="preserve">Cái này là quyển sách.</t>
  </si>
  <si>
    <r>
      <rPr>
        <b val="true"/>
        <sz val="12"/>
        <rFont val="Noto Sans CJK SC"/>
        <family val="2"/>
      </rPr>
      <t xml:space="preserve">この </t>
    </r>
    <r>
      <rPr>
        <b val="true"/>
        <sz val="12"/>
        <rFont val="Arial"/>
        <family val="0"/>
        <charset val="1"/>
      </rPr>
      <t xml:space="preserve">N / </t>
    </r>
    <r>
      <rPr>
        <b val="true"/>
        <sz val="12"/>
        <rFont val="Noto Sans CJK SC"/>
        <family val="2"/>
      </rPr>
      <t xml:space="preserve">その </t>
    </r>
    <r>
      <rPr>
        <b val="true"/>
        <sz val="12"/>
        <rFont val="Arial"/>
        <family val="0"/>
        <charset val="1"/>
      </rPr>
      <t xml:space="preserve">N / </t>
    </r>
    <r>
      <rPr>
        <b val="true"/>
        <sz val="12"/>
        <rFont val="Noto Sans CJK SC"/>
        <family val="2"/>
      </rPr>
      <t xml:space="preserve">あの </t>
    </r>
    <r>
      <rPr>
        <b val="true"/>
        <sz val="12"/>
        <rFont val="Arial"/>
        <family val="0"/>
        <charset val="1"/>
      </rPr>
      <t xml:space="preserve">N</t>
    </r>
  </si>
  <si>
    <t xml:space="preserve">N này / N đó / N kia. Bắt buộc phải có danh từ đi sau.</t>
  </si>
  <si>
    <t xml:space="preserve">この 本は わたしのです。</t>
  </si>
  <si>
    <t xml:space="preserve">Quyển sách này là của tôi.</t>
  </si>
  <si>
    <r>
      <rPr>
        <b val="true"/>
        <sz val="12"/>
        <rFont val="Noto Sans CJK SC"/>
        <family val="2"/>
      </rPr>
      <t xml:space="preserve">そうです </t>
    </r>
    <r>
      <rPr>
        <b val="true"/>
        <sz val="12"/>
        <rFont val="Arial"/>
        <family val="0"/>
        <charset val="1"/>
      </rPr>
      <t xml:space="preserve">/ </t>
    </r>
    <r>
      <rPr>
        <b val="true"/>
        <sz val="12"/>
        <rFont val="Noto Sans CJK SC"/>
        <family val="2"/>
      </rPr>
      <t xml:space="preserve">そうじゃ ありません</t>
    </r>
  </si>
  <si>
    <t xml:space="preserve">Đúng vậy / Không phải vậy. Dùng trả lời câu hỏi có–không.</t>
  </si>
  <si>
    <t xml:space="preserve">はい、そうです。</t>
  </si>
  <si>
    <t xml:space="preserve">Vâng, đúng vậy.</t>
  </si>
  <si>
    <r>
      <rPr>
        <b val="true"/>
        <sz val="12"/>
        <rFont val="Arial"/>
        <family val="0"/>
        <charset val="1"/>
      </rPr>
      <t xml:space="preserve">N1 </t>
    </r>
    <r>
      <rPr>
        <b val="true"/>
        <sz val="12"/>
        <rFont val="Noto Sans CJK SC"/>
        <family val="2"/>
      </rPr>
      <t xml:space="preserve">の </t>
    </r>
    <r>
      <rPr>
        <b val="true"/>
        <sz val="12"/>
        <rFont val="Arial"/>
        <family val="0"/>
        <charset val="1"/>
      </rPr>
      <t xml:space="preserve">N2 (chất liệu, chủ đề)</t>
    </r>
  </si>
  <si>
    <t xml:space="preserve">N2 làm bằng / nói về N1.</t>
  </si>
  <si>
    <t xml:space="preserve">これは 日本語の 本です。</t>
  </si>
  <si>
    <t xml:space="preserve">Đây là sách tiếng Nhật.</t>
  </si>
  <si>
    <t xml:space="preserve">〜は 〜ですか、〜ですか</t>
  </si>
  <si>
    <t xml:space="preserve">Câu hỏi lựa chọn: A hay B?</t>
  </si>
  <si>
    <t xml:space="preserve">これは ペンですか、えんぴつですか。</t>
  </si>
  <si>
    <t xml:space="preserve">Cái này là bút bi hay bút chì?</t>
  </si>
  <si>
    <r>
      <rPr>
        <b val="true"/>
        <sz val="12"/>
        <color rgb="FFFFFFFF"/>
        <rFont val="Arial"/>
        <family val="0"/>
        <charset val="1"/>
      </rPr>
      <t xml:space="preserve">▌ BÀI 3  ·  </t>
    </r>
    <r>
      <rPr>
        <b val="true"/>
        <sz val="12"/>
        <color rgb="FFFFFFFF"/>
        <rFont val="Noto Sans CJK SC"/>
        <family val="2"/>
      </rPr>
      <t xml:space="preserve">ここ・そこ・あそこ — </t>
    </r>
    <r>
      <rPr>
        <b val="true"/>
        <sz val="12"/>
        <color rgb="FFFFFFFF"/>
        <rFont val="Arial"/>
        <family val="0"/>
        <charset val="1"/>
      </rPr>
      <t xml:space="preserve">Chỉ nơi chốn</t>
    </r>
  </si>
  <si>
    <r>
      <rPr>
        <b val="true"/>
        <sz val="12"/>
        <rFont val="Noto Sans CJK SC"/>
        <family val="2"/>
      </rPr>
      <t xml:space="preserve">ここ </t>
    </r>
    <r>
      <rPr>
        <b val="true"/>
        <sz val="12"/>
        <rFont val="Arial"/>
        <family val="0"/>
        <charset val="1"/>
      </rPr>
      <t xml:space="preserve">/ </t>
    </r>
    <r>
      <rPr>
        <b val="true"/>
        <sz val="12"/>
        <rFont val="Noto Sans CJK SC"/>
        <family val="2"/>
      </rPr>
      <t xml:space="preserve">そこ </t>
    </r>
    <r>
      <rPr>
        <b val="true"/>
        <sz val="12"/>
        <rFont val="Arial"/>
        <family val="0"/>
        <charset val="1"/>
      </rPr>
      <t xml:space="preserve">/ </t>
    </r>
    <r>
      <rPr>
        <b val="true"/>
        <sz val="12"/>
        <rFont val="Noto Sans CJK SC"/>
        <family val="2"/>
      </rPr>
      <t xml:space="preserve">あそこ</t>
    </r>
  </si>
  <si>
    <t xml:space="preserve">Chỗ này / chỗ đó / chỗ kia.</t>
  </si>
  <si>
    <t xml:space="preserve">ここは 教室です。</t>
  </si>
  <si>
    <t xml:space="preserve">Đây là phòng học.</t>
  </si>
  <si>
    <r>
      <rPr>
        <b val="true"/>
        <sz val="12"/>
        <rFont val="Noto Sans CJK SC"/>
        <family val="2"/>
      </rPr>
      <t xml:space="preserve">こちら </t>
    </r>
    <r>
      <rPr>
        <b val="true"/>
        <sz val="12"/>
        <rFont val="Arial"/>
        <family val="0"/>
        <charset val="1"/>
      </rPr>
      <t xml:space="preserve">/ </t>
    </r>
    <r>
      <rPr>
        <b val="true"/>
        <sz val="12"/>
        <rFont val="Noto Sans CJK SC"/>
        <family val="2"/>
      </rPr>
      <t xml:space="preserve">そちら </t>
    </r>
    <r>
      <rPr>
        <b val="true"/>
        <sz val="12"/>
        <rFont val="Arial"/>
        <family val="0"/>
        <charset val="1"/>
      </rPr>
      <t xml:space="preserve">/ </t>
    </r>
    <r>
      <rPr>
        <b val="true"/>
        <sz val="12"/>
        <rFont val="Noto Sans CJK SC"/>
        <family val="2"/>
      </rPr>
      <t xml:space="preserve">あちら</t>
    </r>
  </si>
  <si>
    <t xml:space="preserve">Phía này / phía đó / phía kia. Lịch sự hơn, cũng dùng chỉ người.</t>
  </si>
  <si>
    <t xml:space="preserve">こちらは 田中さんです。</t>
  </si>
  <si>
    <t xml:space="preserve">Đây là anh Tanaka.</t>
  </si>
  <si>
    <r>
      <rPr>
        <b val="true"/>
        <sz val="12"/>
        <rFont val="Arial"/>
        <family val="0"/>
        <charset val="1"/>
      </rPr>
      <t xml:space="preserve">N </t>
    </r>
    <r>
      <rPr>
        <b val="true"/>
        <sz val="12"/>
        <rFont val="Noto Sans CJK SC"/>
        <family val="2"/>
      </rPr>
      <t xml:space="preserve">は 場所 です</t>
    </r>
  </si>
  <si>
    <t xml:space="preserve">N ở chỗ nào đó.</t>
  </si>
  <si>
    <r>
      <rPr>
        <sz val="12"/>
        <rFont val="Noto Sans CJK SC"/>
        <family val="2"/>
      </rPr>
      <t xml:space="preserve">電話は </t>
    </r>
    <r>
      <rPr>
        <sz val="12"/>
        <rFont val="Arial"/>
        <family val="0"/>
        <charset val="1"/>
      </rPr>
      <t xml:space="preserve">2</t>
    </r>
    <r>
      <rPr>
        <sz val="12"/>
        <rFont val="Noto Sans CJK SC"/>
        <family val="2"/>
      </rPr>
      <t xml:space="preserve">階です。</t>
    </r>
  </si>
  <si>
    <t xml:space="preserve">Điện thoại ở tầng 2.</t>
  </si>
  <si>
    <r>
      <rPr>
        <b val="true"/>
        <sz val="12"/>
        <rFont val="Arial"/>
        <family val="0"/>
        <charset val="1"/>
      </rPr>
      <t xml:space="preserve">N </t>
    </r>
    <r>
      <rPr>
        <b val="true"/>
        <sz val="12"/>
        <rFont val="Noto Sans CJK SC"/>
        <family val="2"/>
      </rPr>
      <t xml:space="preserve">は どこですか</t>
    </r>
  </si>
  <si>
    <t xml:space="preserve">N ở đâu?</t>
  </si>
  <si>
    <t xml:space="preserve">トイレは どこですか。</t>
  </si>
  <si>
    <t xml:space="preserve">Nhà vệ sinh ở đâu ạ?</t>
  </si>
  <si>
    <t xml:space="preserve">いくらですか</t>
  </si>
  <si>
    <t xml:space="preserve">Bao nhiêu tiền?</t>
  </si>
  <si>
    <t xml:space="preserve">この かばんは いくらですか。</t>
  </si>
  <si>
    <t xml:space="preserve">Cái túi này bao nhiêu tiền?</t>
  </si>
  <si>
    <t xml:space="preserve">▌ BÀI 4  ·  Giờ giấc &amp; Thì của động từ</t>
  </si>
  <si>
    <t xml:space="preserve">今 〜時 〜分です</t>
  </si>
  <si>
    <t xml:space="preserve">Bây giờ là ~ giờ ~ phút.</t>
  </si>
  <si>
    <r>
      <rPr>
        <sz val="12"/>
        <rFont val="Noto Sans CJK SC"/>
        <family val="2"/>
      </rPr>
      <t xml:space="preserve">今 </t>
    </r>
    <r>
      <rPr>
        <sz val="12"/>
        <rFont val="Arial"/>
        <family val="0"/>
        <charset val="1"/>
      </rPr>
      <t xml:space="preserve">4</t>
    </r>
    <r>
      <rPr>
        <sz val="12"/>
        <rFont val="Noto Sans CJK SC"/>
        <family val="2"/>
      </rPr>
      <t xml:space="preserve">時</t>
    </r>
    <r>
      <rPr>
        <sz val="12"/>
        <rFont val="Arial"/>
        <family val="0"/>
        <charset val="1"/>
      </rPr>
      <t xml:space="preserve">5</t>
    </r>
    <r>
      <rPr>
        <sz val="12"/>
        <rFont val="Noto Sans CJK SC"/>
        <family val="2"/>
      </rPr>
      <t xml:space="preserve">分です。</t>
    </r>
  </si>
  <si>
    <t xml:space="preserve">Bây giờ là 4 giờ 5 phút.</t>
  </si>
  <si>
    <r>
      <rPr>
        <b val="true"/>
        <sz val="12"/>
        <rFont val="Arial"/>
        <family val="0"/>
        <charset val="1"/>
      </rPr>
      <t xml:space="preserve">V </t>
    </r>
    <r>
      <rPr>
        <b val="true"/>
        <sz val="12"/>
        <rFont val="Noto Sans CJK SC"/>
        <family val="2"/>
      </rPr>
      <t xml:space="preserve">ます </t>
    </r>
    <r>
      <rPr>
        <b val="true"/>
        <sz val="12"/>
        <rFont val="Arial"/>
        <family val="0"/>
        <charset val="1"/>
      </rPr>
      <t xml:space="preserve">/ V </t>
    </r>
    <r>
      <rPr>
        <b val="true"/>
        <sz val="12"/>
        <rFont val="Noto Sans CJK SC"/>
        <family val="2"/>
      </rPr>
      <t xml:space="preserve">ません</t>
    </r>
  </si>
  <si>
    <t xml:space="preserve">Thể lịch sự hiện tại–tương lai, khẳng định và phủ định.</t>
  </si>
  <si>
    <r>
      <rPr>
        <sz val="12"/>
        <rFont val="Noto Sans CJK SC"/>
        <family val="2"/>
      </rPr>
      <t xml:space="preserve">わたしは 毎日 </t>
    </r>
    <r>
      <rPr>
        <sz val="12"/>
        <rFont val="Arial"/>
        <family val="0"/>
        <charset val="1"/>
      </rPr>
      <t xml:space="preserve">6</t>
    </r>
    <r>
      <rPr>
        <sz val="12"/>
        <rFont val="Noto Sans CJK SC"/>
        <family val="2"/>
      </rPr>
      <t xml:space="preserve">時に 起きます。</t>
    </r>
  </si>
  <si>
    <t xml:space="preserve">Tôi thức dậy lúc 6 giờ mỗi ngày.</t>
  </si>
  <si>
    <r>
      <rPr>
        <b val="true"/>
        <sz val="12"/>
        <rFont val="Arial"/>
        <family val="0"/>
        <charset val="1"/>
      </rPr>
      <t xml:space="preserve">V </t>
    </r>
    <r>
      <rPr>
        <b val="true"/>
        <sz val="12"/>
        <rFont val="Noto Sans CJK SC"/>
        <family val="2"/>
      </rPr>
      <t xml:space="preserve">ました </t>
    </r>
    <r>
      <rPr>
        <b val="true"/>
        <sz val="12"/>
        <rFont val="Arial"/>
        <family val="0"/>
        <charset val="1"/>
      </rPr>
      <t xml:space="preserve">/ V </t>
    </r>
    <r>
      <rPr>
        <b val="true"/>
        <sz val="12"/>
        <rFont val="Noto Sans CJK SC"/>
        <family val="2"/>
      </rPr>
      <t xml:space="preserve">ませんでした</t>
    </r>
  </si>
  <si>
    <t xml:space="preserve">Thể lịch sự quá khứ, khẳng định và phủ định.</t>
  </si>
  <si>
    <t xml:space="preserve">きのう 勉強しませんでした。</t>
  </si>
  <si>
    <t xml:space="preserve">Hôm qua tôi đã không học bài.</t>
  </si>
  <si>
    <r>
      <rPr>
        <b val="true"/>
        <sz val="12"/>
        <rFont val="Noto Sans CJK SC"/>
        <family val="2"/>
      </rPr>
      <t xml:space="preserve">時間 に </t>
    </r>
    <r>
      <rPr>
        <b val="true"/>
        <sz val="12"/>
        <rFont val="Arial"/>
        <family val="0"/>
        <charset val="1"/>
      </rPr>
      <t xml:space="preserve">V</t>
    </r>
  </si>
  <si>
    <r>
      <rPr>
        <sz val="10"/>
        <rFont val="Arial"/>
        <family val="0"/>
        <charset val="1"/>
      </rPr>
      <t xml:space="preserve">Làm gì vào lúc mấy giờ. </t>
    </r>
    <r>
      <rPr>
        <sz val="10"/>
        <rFont val="Noto Sans CJK SC"/>
        <family val="2"/>
      </rPr>
      <t xml:space="preserve">に </t>
    </r>
    <r>
      <rPr>
        <sz val="10"/>
        <rFont val="Arial"/>
        <family val="0"/>
        <charset val="1"/>
      </rPr>
      <t xml:space="preserve">chỉ đi với mốc thời gian có con số.</t>
    </r>
  </si>
  <si>
    <r>
      <rPr>
        <sz val="12"/>
        <rFont val="Arial"/>
        <family val="0"/>
        <charset val="1"/>
      </rPr>
      <t xml:space="preserve">7</t>
    </r>
    <r>
      <rPr>
        <sz val="12"/>
        <rFont val="Noto Sans CJK SC"/>
        <family val="2"/>
      </rPr>
      <t xml:space="preserve">時に 起きます。</t>
    </r>
  </si>
  <si>
    <t xml:space="preserve">Tôi dậy lúc 7 giờ.</t>
  </si>
  <si>
    <r>
      <rPr>
        <b val="true"/>
        <sz val="12"/>
        <rFont val="Arial"/>
        <family val="0"/>
        <charset val="1"/>
      </rPr>
      <t xml:space="preserve">N1 </t>
    </r>
    <r>
      <rPr>
        <b val="true"/>
        <sz val="12"/>
        <rFont val="Noto Sans CJK SC"/>
        <family val="2"/>
      </rPr>
      <t xml:space="preserve">から </t>
    </r>
    <r>
      <rPr>
        <b val="true"/>
        <sz val="12"/>
        <rFont val="Arial"/>
        <family val="0"/>
        <charset val="1"/>
      </rPr>
      <t xml:space="preserve">N2 </t>
    </r>
    <r>
      <rPr>
        <b val="true"/>
        <sz val="12"/>
        <rFont val="Noto Sans CJK SC"/>
        <family val="2"/>
      </rPr>
      <t xml:space="preserve">まで</t>
    </r>
  </si>
  <si>
    <t xml:space="preserve">Từ N1 đến N2 (thời gian hoặc nơi chốn).</t>
  </si>
  <si>
    <r>
      <rPr>
        <sz val="12"/>
        <rFont val="Arial"/>
        <family val="0"/>
        <charset val="1"/>
      </rPr>
      <t xml:space="preserve">9</t>
    </r>
    <r>
      <rPr>
        <sz val="12"/>
        <rFont val="Noto Sans CJK SC"/>
        <family val="2"/>
      </rPr>
      <t xml:space="preserve">時から </t>
    </r>
    <r>
      <rPr>
        <sz val="12"/>
        <rFont val="Arial"/>
        <family val="0"/>
        <charset val="1"/>
      </rPr>
      <t xml:space="preserve">5</t>
    </r>
    <r>
      <rPr>
        <sz val="12"/>
        <rFont val="Noto Sans CJK SC"/>
        <family val="2"/>
      </rPr>
      <t xml:space="preserve">時まで 働きます。</t>
    </r>
  </si>
  <si>
    <t xml:space="preserve">Tôi làm việc từ 9 giờ đến 5 giờ.</t>
  </si>
  <si>
    <r>
      <rPr>
        <b val="true"/>
        <sz val="12"/>
        <rFont val="Arial"/>
        <family val="0"/>
        <charset val="1"/>
      </rPr>
      <t xml:space="preserve">N1 </t>
    </r>
    <r>
      <rPr>
        <b val="true"/>
        <sz val="12"/>
        <rFont val="Noto Sans CJK SC"/>
        <family val="2"/>
      </rPr>
      <t xml:space="preserve">と </t>
    </r>
    <r>
      <rPr>
        <b val="true"/>
        <sz val="12"/>
        <rFont val="Arial"/>
        <family val="0"/>
        <charset val="1"/>
      </rPr>
      <t xml:space="preserve">N2</t>
    </r>
  </si>
  <si>
    <t xml:space="preserve">N1 và N2. Chỉ nối danh từ, không nối câu.</t>
  </si>
  <si>
    <t xml:space="preserve">月曜日と 火曜日</t>
  </si>
  <si>
    <t xml:space="preserve">Thứ Hai và thứ Ba.</t>
  </si>
  <si>
    <t xml:space="preserve">▌ BÀI 5  ·  Đi lại — Phương tiện &amp; Điểm đến</t>
  </si>
  <si>
    <r>
      <rPr>
        <b val="true"/>
        <sz val="12"/>
        <rFont val="Noto Sans CJK SC"/>
        <family val="2"/>
      </rPr>
      <t xml:space="preserve">場所 へ 行きます </t>
    </r>
    <r>
      <rPr>
        <b val="true"/>
        <sz val="12"/>
        <rFont val="Arial"/>
        <family val="0"/>
        <charset val="1"/>
      </rPr>
      <t xml:space="preserve">/ </t>
    </r>
    <r>
      <rPr>
        <b val="true"/>
        <sz val="12"/>
        <rFont val="Noto Sans CJK SC"/>
        <family val="2"/>
      </rPr>
      <t xml:space="preserve">来ます </t>
    </r>
    <r>
      <rPr>
        <b val="true"/>
        <sz val="12"/>
        <rFont val="Arial"/>
        <family val="0"/>
        <charset val="1"/>
      </rPr>
      <t xml:space="preserve">/ </t>
    </r>
    <r>
      <rPr>
        <b val="true"/>
        <sz val="12"/>
        <rFont val="Noto Sans CJK SC"/>
        <family val="2"/>
      </rPr>
      <t xml:space="preserve">帰ります</t>
    </r>
  </si>
  <si>
    <r>
      <rPr>
        <sz val="10"/>
        <rFont val="Arial"/>
        <family val="0"/>
        <charset val="1"/>
      </rPr>
      <t xml:space="preserve">Đi / đến / về nơi nào đó. </t>
    </r>
    <r>
      <rPr>
        <sz val="10"/>
        <rFont val="Noto Sans CJK SC"/>
        <family val="2"/>
      </rPr>
      <t xml:space="preserve">へ </t>
    </r>
    <r>
      <rPr>
        <sz val="10"/>
        <rFont val="Arial"/>
        <family val="0"/>
        <charset val="1"/>
      </rPr>
      <t xml:space="preserve">đọc là 'e'.</t>
    </r>
  </si>
  <si>
    <t xml:space="preserve">あした 東京へ 行きます。</t>
  </si>
  <si>
    <t xml:space="preserve">Ngày mai tôi đi Tokyo.</t>
  </si>
  <si>
    <r>
      <rPr>
        <b val="true"/>
        <sz val="12"/>
        <rFont val="Noto Sans CJK SC"/>
        <family val="2"/>
      </rPr>
      <t xml:space="preserve">どこ</t>
    </r>
    <r>
      <rPr>
        <b val="true"/>
        <sz val="12"/>
        <rFont val="Arial"/>
        <family val="0"/>
        <charset val="1"/>
      </rPr>
      <t xml:space="preserve">[</t>
    </r>
    <r>
      <rPr>
        <b val="true"/>
        <sz val="12"/>
        <rFont val="Noto Sans CJK SC"/>
        <family val="2"/>
      </rPr>
      <t xml:space="preserve">へ</t>
    </r>
    <r>
      <rPr>
        <b val="true"/>
        <sz val="12"/>
        <rFont val="Arial"/>
        <family val="0"/>
        <charset val="1"/>
      </rPr>
      <t xml:space="preserve">]</t>
    </r>
    <r>
      <rPr>
        <b val="true"/>
        <sz val="12"/>
        <rFont val="Noto Sans CJK SC"/>
        <family val="2"/>
      </rPr>
      <t xml:space="preserve">も 行きません</t>
    </r>
  </si>
  <si>
    <r>
      <rPr>
        <sz val="10"/>
        <rFont val="Arial"/>
        <family val="0"/>
        <charset val="1"/>
      </rPr>
      <t xml:space="preserve">Không đi đâu cả. </t>
    </r>
    <r>
      <rPr>
        <sz val="10"/>
        <rFont val="Noto Sans CJK SC"/>
        <family val="2"/>
      </rPr>
      <t xml:space="preserve">も </t>
    </r>
    <r>
      <rPr>
        <sz val="10"/>
        <rFont val="Arial"/>
        <family val="0"/>
        <charset val="1"/>
      </rPr>
      <t xml:space="preserve">thay chỗ trợ từ để phủ định toàn bộ.</t>
    </r>
  </si>
  <si>
    <t xml:space="preserve">どこも 行きませんでした。</t>
  </si>
  <si>
    <t xml:space="preserve">Tôi đã chẳng đi đâu cả.</t>
  </si>
  <si>
    <t xml:space="preserve">乗り物 で 行きます</t>
  </si>
  <si>
    <r>
      <rPr>
        <sz val="10"/>
        <rFont val="Arial"/>
        <family val="0"/>
        <charset val="1"/>
      </rPr>
      <t xml:space="preserve">Đi bằng phương tiện gì. Riêng 'đi bộ' là </t>
    </r>
    <r>
      <rPr>
        <sz val="10"/>
        <rFont val="Noto Sans CJK SC"/>
        <family val="2"/>
      </rPr>
      <t xml:space="preserve">歩いて</t>
    </r>
    <r>
      <rPr>
        <sz val="10"/>
        <rFont val="Arial"/>
        <family val="0"/>
        <charset val="1"/>
      </rPr>
      <t xml:space="preserve">, không dùng </t>
    </r>
    <r>
      <rPr>
        <sz val="10"/>
        <rFont val="Noto Sans CJK SC"/>
        <family val="2"/>
      </rPr>
      <t xml:space="preserve">で</t>
    </r>
    <r>
      <rPr>
        <sz val="10"/>
        <rFont val="Arial"/>
        <family val="0"/>
        <charset val="1"/>
      </rPr>
      <t xml:space="preserve">.</t>
    </r>
  </si>
  <si>
    <t xml:space="preserve">電車で 会社へ 行きます。</t>
  </si>
  <si>
    <t xml:space="preserve">Tôi đi làm bằng tàu điện.</t>
  </si>
  <si>
    <r>
      <rPr>
        <b val="true"/>
        <sz val="12"/>
        <rFont val="Noto Sans CJK SC"/>
        <family val="2"/>
      </rPr>
      <t xml:space="preserve">人 と </t>
    </r>
    <r>
      <rPr>
        <b val="true"/>
        <sz val="12"/>
        <rFont val="Arial"/>
        <family val="0"/>
        <charset val="1"/>
      </rPr>
      <t xml:space="preserve">V</t>
    </r>
  </si>
  <si>
    <r>
      <rPr>
        <sz val="10"/>
        <rFont val="Arial"/>
        <family val="0"/>
        <charset val="1"/>
      </rPr>
      <t xml:space="preserve">Làm gì cùng với ai. Một mình thì nói </t>
    </r>
    <r>
      <rPr>
        <sz val="10"/>
        <rFont val="Noto Sans CJK SC"/>
        <family val="2"/>
      </rPr>
      <t xml:space="preserve">一人で</t>
    </r>
    <r>
      <rPr>
        <sz val="10"/>
        <rFont val="Arial"/>
        <family val="0"/>
        <charset val="1"/>
      </rPr>
      <t xml:space="preserve">.</t>
    </r>
  </si>
  <si>
    <t xml:space="preserve">友だちと 日本へ 来ました。</t>
  </si>
  <si>
    <t xml:space="preserve">Tôi đã đến Nhật cùng với bạn.</t>
  </si>
  <si>
    <r>
      <rPr>
        <b val="true"/>
        <sz val="12"/>
        <rFont val="Noto Sans CJK SC"/>
        <family val="2"/>
      </rPr>
      <t xml:space="preserve">いつ </t>
    </r>
    <r>
      <rPr>
        <b val="true"/>
        <sz val="12"/>
        <rFont val="Arial"/>
        <family val="0"/>
        <charset val="1"/>
      </rPr>
      <t xml:space="preserve">V </t>
    </r>
    <r>
      <rPr>
        <b val="true"/>
        <sz val="12"/>
        <rFont val="Noto Sans CJK SC"/>
        <family val="2"/>
      </rPr>
      <t xml:space="preserve">ますか</t>
    </r>
  </si>
  <si>
    <r>
      <rPr>
        <sz val="10"/>
        <rFont val="Arial"/>
        <family val="0"/>
        <charset val="1"/>
      </rPr>
      <t xml:space="preserve">Khi nào thì làm gì? </t>
    </r>
    <r>
      <rPr>
        <sz val="10"/>
        <rFont val="Noto Sans CJK SC"/>
        <family val="2"/>
      </rPr>
      <t xml:space="preserve">いつ </t>
    </r>
    <r>
      <rPr>
        <sz val="10"/>
        <rFont val="Arial"/>
        <family val="0"/>
        <charset val="1"/>
      </rPr>
      <t xml:space="preserve">không đi kèm trợ từ </t>
    </r>
    <r>
      <rPr>
        <sz val="10"/>
        <rFont val="Noto Sans CJK SC"/>
        <family val="2"/>
      </rPr>
      <t xml:space="preserve">に</t>
    </r>
    <r>
      <rPr>
        <sz val="10"/>
        <rFont val="Arial"/>
        <family val="0"/>
        <charset val="1"/>
      </rPr>
      <t xml:space="preserve">.</t>
    </r>
  </si>
  <si>
    <t xml:space="preserve">いつ 日本へ 来ましたか。</t>
  </si>
  <si>
    <t xml:space="preserve">Bạn đến Nhật khi nào?</t>
  </si>
  <si>
    <r>
      <rPr>
        <b val="true"/>
        <sz val="12"/>
        <color rgb="FFFFFFFF"/>
        <rFont val="Arial"/>
        <family val="0"/>
        <charset val="1"/>
      </rPr>
      <t xml:space="preserve">▌ BÀI 6  ·  Tân ngữ </t>
    </r>
    <r>
      <rPr>
        <b val="true"/>
        <sz val="12"/>
        <color rgb="FFFFFFFF"/>
        <rFont val="Noto Sans CJK SC"/>
        <family val="2"/>
      </rPr>
      <t xml:space="preserve">を </t>
    </r>
    <r>
      <rPr>
        <b val="true"/>
        <sz val="12"/>
        <color rgb="FFFFFFFF"/>
        <rFont val="Arial"/>
        <family val="0"/>
        <charset val="1"/>
      </rPr>
      <t xml:space="preserve">&amp; Rủ rê</t>
    </r>
  </si>
  <si>
    <r>
      <rPr>
        <b val="true"/>
        <sz val="12"/>
        <rFont val="Arial"/>
        <family val="0"/>
        <charset val="1"/>
      </rPr>
      <t xml:space="preserve">N </t>
    </r>
    <r>
      <rPr>
        <b val="true"/>
        <sz val="12"/>
        <rFont val="Noto Sans CJK SC"/>
        <family val="2"/>
      </rPr>
      <t xml:space="preserve">を </t>
    </r>
    <r>
      <rPr>
        <b val="true"/>
        <sz val="12"/>
        <rFont val="Arial"/>
        <family val="0"/>
        <charset val="1"/>
      </rPr>
      <t xml:space="preserve">V</t>
    </r>
  </si>
  <si>
    <r>
      <rPr>
        <sz val="10"/>
        <rFont val="Noto Sans CJK SC"/>
        <family val="2"/>
      </rPr>
      <t xml:space="preserve">を </t>
    </r>
    <r>
      <rPr>
        <sz val="10"/>
        <rFont val="Arial"/>
        <family val="0"/>
        <charset val="1"/>
      </rPr>
      <t xml:space="preserve">là trợ từ đánh dấu tân ngữ — vật chịu tác động của động từ.</t>
    </r>
  </si>
  <si>
    <t xml:space="preserve">ごはんを 食べます。</t>
  </si>
  <si>
    <t xml:space="preserve">Tôi ăn cơm.</t>
  </si>
  <si>
    <r>
      <rPr>
        <b val="true"/>
        <sz val="12"/>
        <rFont val="Arial"/>
        <family val="0"/>
        <charset val="1"/>
      </rPr>
      <t xml:space="preserve">N </t>
    </r>
    <r>
      <rPr>
        <b val="true"/>
        <sz val="12"/>
        <rFont val="Noto Sans CJK SC"/>
        <family val="2"/>
      </rPr>
      <t xml:space="preserve">を します</t>
    </r>
  </si>
  <si>
    <t xml:space="preserve">Làm gì đó / chơi môn gì đó.</t>
  </si>
  <si>
    <t xml:space="preserve">サッカーを します。</t>
  </si>
  <si>
    <t xml:space="preserve">Tôi chơi bóng đá.</t>
  </si>
  <si>
    <r>
      <rPr>
        <b val="true"/>
        <sz val="12"/>
        <rFont val="Noto Sans CJK SC"/>
        <family val="2"/>
      </rPr>
      <t xml:space="preserve">場所 で </t>
    </r>
    <r>
      <rPr>
        <b val="true"/>
        <sz val="12"/>
        <rFont val="Arial"/>
        <family val="0"/>
        <charset val="1"/>
      </rPr>
      <t xml:space="preserve">V</t>
    </r>
  </si>
  <si>
    <r>
      <rPr>
        <sz val="10"/>
        <rFont val="Arial"/>
        <family val="0"/>
        <charset val="1"/>
      </rPr>
      <t xml:space="preserve">Làm gì TẠI nơi nào. </t>
    </r>
    <r>
      <rPr>
        <sz val="10"/>
        <rFont val="Noto Sans CJK SC"/>
        <family val="2"/>
      </rPr>
      <t xml:space="preserve">で </t>
    </r>
    <r>
      <rPr>
        <sz val="10"/>
        <rFont val="Arial"/>
        <family val="0"/>
        <charset val="1"/>
      </rPr>
      <t xml:space="preserve">chỉ nơi diễn ra hành động.</t>
    </r>
  </si>
  <si>
    <t xml:space="preserve">図書館で 本を 読みます。</t>
  </si>
  <si>
    <t xml:space="preserve">Tôi đọc sách ở thư viện.</t>
  </si>
  <si>
    <r>
      <rPr>
        <b val="true"/>
        <sz val="12"/>
        <rFont val="Noto Sans CJK SC"/>
        <family val="2"/>
      </rPr>
      <t xml:space="preserve">いっしょに </t>
    </r>
    <r>
      <rPr>
        <b val="true"/>
        <sz val="12"/>
        <rFont val="Arial"/>
        <family val="0"/>
        <charset val="1"/>
      </rPr>
      <t xml:space="preserve">V </t>
    </r>
    <r>
      <rPr>
        <b val="true"/>
        <sz val="12"/>
        <rFont val="Noto Sans CJK SC"/>
        <family val="2"/>
      </rPr>
      <t xml:space="preserve">ませんか</t>
    </r>
  </si>
  <si>
    <t xml:space="preserve">Cùng làm ~ nhé? Lời mời lịch sự, dễ từ chối.</t>
  </si>
  <si>
    <t xml:space="preserve">いっしょに 昼ごはんを 食べませんか。</t>
  </si>
  <si>
    <t xml:space="preserve">Cùng ăn trưa nhé?</t>
  </si>
  <si>
    <r>
      <rPr>
        <b val="true"/>
        <sz val="12"/>
        <rFont val="Arial"/>
        <family val="0"/>
        <charset val="1"/>
      </rPr>
      <t xml:space="preserve">V </t>
    </r>
    <r>
      <rPr>
        <b val="true"/>
        <sz val="12"/>
        <rFont val="Noto Sans CJK SC"/>
        <family val="2"/>
      </rPr>
      <t xml:space="preserve">ましょう</t>
    </r>
  </si>
  <si>
    <r>
      <rPr>
        <sz val="10"/>
        <rFont val="Arial"/>
        <family val="0"/>
        <charset val="1"/>
      </rPr>
      <t xml:space="preserve">Nào cùng làm ~. Mạnh hơn </t>
    </r>
    <r>
      <rPr>
        <sz val="10"/>
        <rFont val="Noto Sans CJK SC"/>
        <family val="2"/>
      </rPr>
      <t xml:space="preserve">ませんか</t>
    </r>
    <r>
      <rPr>
        <sz val="10"/>
        <rFont val="Arial"/>
        <family val="0"/>
        <charset val="1"/>
      </rPr>
      <t xml:space="preserve">, đã thống nhất rồi.</t>
    </r>
  </si>
  <si>
    <t xml:space="preserve">ちょっと 休みましょう。</t>
  </si>
  <si>
    <t xml:space="preserve">Nghỉ một chút nào.</t>
  </si>
  <si>
    <r>
      <rPr>
        <b val="true"/>
        <sz val="12"/>
        <color rgb="FFFFFFFF"/>
        <rFont val="Arial"/>
        <family val="0"/>
        <charset val="1"/>
      </rPr>
      <t xml:space="preserve">▌ BÀI 7  ·  Cho &amp; Nhận, Công cụ </t>
    </r>
    <r>
      <rPr>
        <b val="true"/>
        <sz val="12"/>
        <color rgb="FFFFFFFF"/>
        <rFont val="Noto Sans CJK SC"/>
        <family val="2"/>
      </rPr>
      <t xml:space="preserve">で</t>
    </r>
  </si>
  <si>
    <r>
      <rPr>
        <b val="true"/>
        <sz val="12"/>
        <rFont val="Noto Sans CJK SC"/>
        <family val="2"/>
      </rPr>
      <t xml:space="preserve">道具 で </t>
    </r>
    <r>
      <rPr>
        <b val="true"/>
        <sz val="12"/>
        <rFont val="Arial"/>
        <family val="0"/>
        <charset val="1"/>
      </rPr>
      <t xml:space="preserve">V</t>
    </r>
  </si>
  <si>
    <t xml:space="preserve">Làm gì BẰNG công cụ / phương tiện gì.</t>
  </si>
  <si>
    <t xml:space="preserve">はしで 食べます。</t>
  </si>
  <si>
    <t xml:space="preserve">Tôi ăn bằng đũa.</t>
  </si>
  <si>
    <r>
      <rPr>
        <b val="true"/>
        <sz val="12"/>
        <rFont val="Arial"/>
        <family val="0"/>
        <charset val="1"/>
      </rPr>
      <t xml:space="preserve">N </t>
    </r>
    <r>
      <rPr>
        <b val="true"/>
        <sz val="12"/>
        <rFont val="Noto Sans CJK SC"/>
        <family val="2"/>
      </rPr>
      <t xml:space="preserve">を あげます</t>
    </r>
  </si>
  <si>
    <t xml:space="preserve">Cho, tặng (từ tôi → người khác). Không dùng khi người nhận là cấp trên.</t>
  </si>
  <si>
    <t xml:space="preserve">友だちに 花を あげました。</t>
  </si>
  <si>
    <t xml:space="preserve">Tôi đã tặng hoa cho bạn.</t>
  </si>
  <si>
    <r>
      <rPr>
        <b val="true"/>
        <sz val="12"/>
        <rFont val="Arial"/>
        <family val="0"/>
        <charset val="1"/>
      </rPr>
      <t xml:space="preserve">N </t>
    </r>
    <r>
      <rPr>
        <b val="true"/>
        <sz val="12"/>
        <rFont val="Noto Sans CJK SC"/>
        <family val="2"/>
      </rPr>
      <t xml:space="preserve">を もらいます</t>
    </r>
  </si>
  <si>
    <t xml:space="preserve">Nhận được (từ ai đó → tôi).</t>
  </si>
  <si>
    <t xml:space="preserve">山田さんに 本を もらいました。</t>
  </si>
  <si>
    <t xml:space="preserve">Tôi đã nhận sách từ anh Yamada.</t>
  </si>
  <si>
    <r>
      <rPr>
        <b val="true"/>
        <sz val="12"/>
        <rFont val="Noto Sans CJK SC"/>
        <family val="2"/>
      </rPr>
      <t xml:space="preserve">もう </t>
    </r>
    <r>
      <rPr>
        <b val="true"/>
        <sz val="12"/>
        <rFont val="Arial"/>
        <family val="0"/>
        <charset val="1"/>
      </rPr>
      <t xml:space="preserve">V </t>
    </r>
    <r>
      <rPr>
        <b val="true"/>
        <sz val="12"/>
        <rFont val="Noto Sans CJK SC"/>
        <family val="2"/>
      </rPr>
      <t xml:space="preserve">ました</t>
    </r>
  </si>
  <si>
    <r>
      <rPr>
        <sz val="10"/>
        <rFont val="Arial"/>
        <family val="0"/>
        <charset val="1"/>
      </rPr>
      <t xml:space="preserve">Đã làm ~ rồi. Trả lời phủ định là </t>
    </r>
    <r>
      <rPr>
        <sz val="10"/>
        <rFont val="Noto Sans CJK SC"/>
        <family val="2"/>
      </rPr>
      <t xml:space="preserve">まだです </t>
    </r>
    <r>
      <rPr>
        <sz val="10"/>
        <rFont val="Arial"/>
        <family val="0"/>
        <charset val="1"/>
      </rPr>
      <t xml:space="preserve">(chưa).</t>
    </r>
  </si>
  <si>
    <t xml:space="preserve">もう 昼ごはんを 食べましたか。</t>
  </si>
  <si>
    <t xml:space="preserve">Bạn ăn trưa chưa?</t>
  </si>
  <si>
    <t xml:space="preserve">〜語 で 何ですか</t>
  </si>
  <si>
    <t xml:space="preserve">Cái này tiếng ~ gọi là gì?</t>
  </si>
  <si>
    <t xml:space="preserve">これは 日本語で 何ですか。</t>
  </si>
  <si>
    <t xml:space="preserve">Cái này tiếng Nhật gọi là gì?</t>
  </si>
  <si>
    <t xml:space="preserve">▌ BÀI 8  ·  Tính từ</t>
  </si>
  <si>
    <r>
      <rPr>
        <b val="true"/>
        <sz val="12"/>
        <rFont val="Noto Sans CJK SC"/>
        <family val="2"/>
      </rPr>
      <t xml:space="preserve">い</t>
    </r>
    <r>
      <rPr>
        <b val="true"/>
        <sz val="12"/>
        <rFont val="Arial"/>
        <family val="0"/>
        <charset val="1"/>
      </rPr>
      <t xml:space="preserve">-adj + </t>
    </r>
    <r>
      <rPr>
        <b val="true"/>
        <sz val="12"/>
        <rFont val="Noto Sans CJK SC"/>
        <family val="2"/>
      </rPr>
      <t xml:space="preserve">です</t>
    </r>
  </si>
  <si>
    <r>
      <rPr>
        <sz val="10"/>
        <rFont val="Arial"/>
        <family val="0"/>
        <charset val="1"/>
      </rPr>
      <t xml:space="preserve">Tính từ đuôi </t>
    </r>
    <r>
      <rPr>
        <sz val="10"/>
        <rFont val="Noto Sans CJK SC"/>
        <family val="2"/>
      </rPr>
      <t xml:space="preserve">い</t>
    </r>
    <r>
      <rPr>
        <sz val="10"/>
        <rFont val="Arial"/>
        <family val="0"/>
        <charset val="1"/>
      </rPr>
      <t xml:space="preserve">. Phủ định: bỏ </t>
    </r>
    <r>
      <rPr>
        <sz val="10"/>
        <rFont val="Noto Sans CJK SC"/>
        <family val="2"/>
      </rPr>
      <t xml:space="preserve">い </t>
    </r>
    <r>
      <rPr>
        <sz val="10"/>
        <rFont val="Arial"/>
        <family val="0"/>
        <charset val="1"/>
      </rPr>
      <t xml:space="preserve">thêm </t>
    </r>
    <r>
      <rPr>
        <sz val="10"/>
        <rFont val="Noto Sans CJK SC"/>
        <family val="2"/>
      </rPr>
      <t xml:space="preserve">くないです</t>
    </r>
    <r>
      <rPr>
        <sz val="10"/>
        <rFont val="Arial"/>
        <family val="0"/>
        <charset val="1"/>
      </rPr>
      <t xml:space="preserve">.</t>
    </r>
  </si>
  <si>
    <t xml:space="preserve">この かばんは 高いです。</t>
  </si>
  <si>
    <t xml:space="preserve">Cái túi này đắt.</t>
  </si>
  <si>
    <r>
      <rPr>
        <b val="true"/>
        <sz val="12"/>
        <rFont val="Noto Sans CJK SC"/>
        <family val="2"/>
      </rPr>
      <t xml:space="preserve">な</t>
    </r>
    <r>
      <rPr>
        <b val="true"/>
        <sz val="12"/>
        <rFont val="Arial"/>
        <family val="0"/>
        <charset val="1"/>
      </rPr>
      <t xml:space="preserve">-adj + </t>
    </r>
    <r>
      <rPr>
        <b val="true"/>
        <sz val="12"/>
        <rFont val="Noto Sans CJK SC"/>
        <family val="2"/>
      </rPr>
      <t xml:space="preserve">です</t>
    </r>
  </si>
  <si>
    <r>
      <rPr>
        <sz val="10"/>
        <rFont val="Arial"/>
        <family val="0"/>
        <charset val="1"/>
      </rPr>
      <t xml:space="preserve">Tính từ đuôi </t>
    </r>
    <r>
      <rPr>
        <sz val="10"/>
        <rFont val="Noto Sans CJK SC"/>
        <family val="2"/>
      </rPr>
      <t xml:space="preserve">な</t>
    </r>
    <r>
      <rPr>
        <sz val="10"/>
        <rFont val="Arial"/>
        <family val="0"/>
        <charset val="1"/>
      </rPr>
      <t xml:space="preserve">. Phủ định: </t>
    </r>
    <r>
      <rPr>
        <sz val="10"/>
        <rFont val="Noto Sans CJK SC"/>
        <family val="2"/>
      </rPr>
      <t xml:space="preserve">じゃ ありません</t>
    </r>
    <r>
      <rPr>
        <sz val="10"/>
        <rFont val="Arial"/>
        <family val="0"/>
        <charset val="1"/>
      </rPr>
      <t xml:space="preserve">.</t>
    </r>
  </si>
  <si>
    <t xml:space="preserve">この 町は 静かじゃ ありません。</t>
  </si>
  <si>
    <t xml:space="preserve">Thị trấn này không yên tĩnh.</t>
  </si>
  <si>
    <t xml:space="preserve">Adj + N</t>
  </si>
  <si>
    <r>
      <rPr>
        <sz val="10"/>
        <rFont val="Arial"/>
        <family val="0"/>
        <charset val="1"/>
      </rPr>
      <t xml:space="preserve">Tính từ bổ nghĩa danh từ. </t>
    </r>
    <r>
      <rPr>
        <sz val="10"/>
        <rFont val="Noto Sans CJK SC"/>
        <family val="2"/>
      </rPr>
      <t xml:space="preserve">な</t>
    </r>
    <r>
      <rPr>
        <sz val="10"/>
        <rFont val="Arial"/>
        <family val="0"/>
        <charset val="1"/>
      </rPr>
      <t xml:space="preserve">-adj phải giữ </t>
    </r>
    <r>
      <rPr>
        <sz val="10"/>
        <rFont val="Noto Sans CJK SC"/>
        <family val="2"/>
      </rPr>
      <t xml:space="preserve">な</t>
    </r>
    <r>
      <rPr>
        <sz val="10"/>
        <rFont val="Arial"/>
        <family val="0"/>
        <charset val="1"/>
      </rPr>
      <t xml:space="preserve">: </t>
    </r>
    <r>
      <rPr>
        <sz val="10"/>
        <rFont val="Noto Sans CJK SC"/>
        <family val="2"/>
      </rPr>
      <t xml:space="preserve">静かな 町</t>
    </r>
    <r>
      <rPr>
        <sz val="10"/>
        <rFont val="Arial"/>
        <family val="0"/>
        <charset val="1"/>
      </rPr>
      <t xml:space="preserve">.</t>
    </r>
  </si>
  <si>
    <t xml:space="preserve">新しい 車を 買いました。</t>
  </si>
  <si>
    <t xml:space="preserve">Tôi đã mua một chiếc xe mới.</t>
  </si>
  <si>
    <r>
      <rPr>
        <b val="true"/>
        <sz val="12"/>
        <rFont val="Arial"/>
        <family val="0"/>
        <charset val="1"/>
      </rPr>
      <t xml:space="preserve">N </t>
    </r>
    <r>
      <rPr>
        <b val="true"/>
        <sz val="12"/>
        <rFont val="Noto Sans CJK SC"/>
        <family val="2"/>
      </rPr>
      <t xml:space="preserve">は どうですか</t>
    </r>
  </si>
  <si>
    <t xml:space="preserve">N thế nào? Hỏi cảm nhận.</t>
  </si>
  <si>
    <t xml:space="preserve">日本の 生活は どうですか。</t>
  </si>
  <si>
    <t xml:space="preserve">Cuộc sống ở Nhật thế nào?</t>
  </si>
  <si>
    <t xml:space="preserve">〜が、〜</t>
  </si>
  <si>
    <t xml:space="preserve">Nhưng. Nối hai vế trái ngược.</t>
  </si>
  <si>
    <t xml:space="preserve">この 部屋は 狭いですが、きれいです。</t>
  </si>
  <si>
    <t xml:space="preserve">Phòng này chật nhưng sạch đẹp.</t>
  </si>
  <si>
    <r>
      <rPr>
        <b val="true"/>
        <sz val="12"/>
        <color rgb="FFFFFFFF"/>
        <rFont val="Arial"/>
        <family val="0"/>
        <charset val="1"/>
      </rPr>
      <t xml:space="preserve">▌ BÀI 9  ·  Thích / Giỏi / Có &amp; Lý do </t>
    </r>
    <r>
      <rPr>
        <b val="true"/>
        <sz val="12"/>
        <color rgb="FFFFFFFF"/>
        <rFont val="Noto Sans CJK SC"/>
        <family val="2"/>
      </rPr>
      <t xml:space="preserve">から</t>
    </r>
  </si>
  <si>
    <r>
      <rPr>
        <b val="true"/>
        <sz val="12"/>
        <rFont val="Arial"/>
        <family val="0"/>
        <charset val="1"/>
      </rPr>
      <t xml:space="preserve">N </t>
    </r>
    <r>
      <rPr>
        <b val="true"/>
        <sz val="12"/>
        <rFont val="Noto Sans CJK SC"/>
        <family val="2"/>
      </rPr>
      <t xml:space="preserve">が 好き </t>
    </r>
    <r>
      <rPr>
        <b val="true"/>
        <sz val="12"/>
        <rFont val="Arial"/>
        <family val="0"/>
        <charset val="1"/>
      </rPr>
      <t xml:space="preserve">/ </t>
    </r>
    <r>
      <rPr>
        <b val="true"/>
        <sz val="12"/>
        <rFont val="Noto Sans CJK SC"/>
        <family val="2"/>
      </rPr>
      <t xml:space="preserve">嫌い </t>
    </r>
    <r>
      <rPr>
        <b val="true"/>
        <sz val="12"/>
        <rFont val="Arial"/>
        <family val="0"/>
        <charset val="1"/>
      </rPr>
      <t xml:space="preserve">/ </t>
    </r>
    <r>
      <rPr>
        <b val="true"/>
        <sz val="12"/>
        <rFont val="Noto Sans CJK SC"/>
        <family val="2"/>
      </rPr>
      <t xml:space="preserve">上手 </t>
    </r>
    <r>
      <rPr>
        <b val="true"/>
        <sz val="12"/>
        <rFont val="Arial"/>
        <family val="0"/>
        <charset val="1"/>
      </rPr>
      <t xml:space="preserve">/ </t>
    </r>
    <r>
      <rPr>
        <b val="true"/>
        <sz val="12"/>
        <rFont val="Noto Sans CJK SC"/>
        <family val="2"/>
      </rPr>
      <t xml:space="preserve">下手 です</t>
    </r>
  </si>
  <si>
    <r>
      <rPr>
        <sz val="10"/>
        <rFont val="Arial"/>
        <family val="0"/>
        <charset val="1"/>
      </rPr>
      <t xml:space="preserve">Thích / ghét / giỏi / kém. Đối tượng đi với </t>
    </r>
    <r>
      <rPr>
        <sz val="10"/>
        <rFont val="Noto Sans CJK SC"/>
        <family val="2"/>
      </rPr>
      <t xml:space="preserve">が</t>
    </r>
    <r>
      <rPr>
        <sz val="10"/>
        <rFont val="Arial"/>
        <family val="0"/>
        <charset val="1"/>
      </rPr>
      <t xml:space="preserve">, KHÔNG dùng </t>
    </r>
    <r>
      <rPr>
        <sz val="10"/>
        <rFont val="Noto Sans CJK SC"/>
        <family val="2"/>
      </rPr>
      <t xml:space="preserve">を</t>
    </r>
    <r>
      <rPr>
        <sz val="10"/>
        <rFont val="Arial"/>
        <family val="0"/>
        <charset val="1"/>
      </rPr>
      <t xml:space="preserve">.</t>
    </r>
  </si>
  <si>
    <t xml:space="preserve">わたしは 日本語が 好きです。</t>
  </si>
  <si>
    <t xml:space="preserve">Tôi thích tiếng Nhật.</t>
  </si>
  <si>
    <r>
      <rPr>
        <b val="true"/>
        <sz val="12"/>
        <rFont val="Arial"/>
        <family val="0"/>
        <charset val="1"/>
      </rPr>
      <t xml:space="preserve">N </t>
    </r>
    <r>
      <rPr>
        <b val="true"/>
        <sz val="12"/>
        <rFont val="Noto Sans CJK SC"/>
        <family val="2"/>
      </rPr>
      <t xml:space="preserve">が あります </t>
    </r>
    <r>
      <rPr>
        <b val="true"/>
        <sz val="12"/>
        <rFont val="Arial"/>
        <family val="0"/>
        <charset val="1"/>
      </rPr>
      <t xml:space="preserve">/ </t>
    </r>
    <r>
      <rPr>
        <b val="true"/>
        <sz val="12"/>
        <rFont val="Noto Sans CJK SC"/>
        <family val="2"/>
      </rPr>
      <t xml:space="preserve">わかります</t>
    </r>
  </si>
  <si>
    <r>
      <rPr>
        <sz val="10"/>
        <rFont val="Arial"/>
        <family val="0"/>
        <charset val="1"/>
      </rPr>
      <t xml:space="preserve">Có (sự kiện, khả năng) / hiểu. Cũng dùng </t>
    </r>
    <r>
      <rPr>
        <sz val="10"/>
        <rFont val="Noto Sans CJK SC"/>
        <family val="2"/>
      </rPr>
      <t xml:space="preserve">が</t>
    </r>
    <r>
      <rPr>
        <sz val="10"/>
        <rFont val="Arial"/>
        <family val="0"/>
        <charset val="1"/>
      </rPr>
      <t xml:space="preserve">.</t>
    </r>
  </si>
  <si>
    <t xml:space="preserve">ひらがなが わかります。</t>
  </si>
  <si>
    <t xml:space="preserve">Tôi hiểu chữ Hiragana.</t>
  </si>
  <si>
    <t xml:space="preserve">〜から、〜</t>
  </si>
  <si>
    <t xml:space="preserve">Vì ~ nên ~. Vế lý do đứng TRƯỚC.</t>
  </si>
  <si>
    <t xml:space="preserve">時間が ありませんから、行きません。</t>
  </si>
  <si>
    <t xml:space="preserve">Vì không có thời gian nên tôi không đi.</t>
  </si>
  <si>
    <t xml:space="preserve">どうして〜か</t>
  </si>
  <si>
    <r>
      <rPr>
        <sz val="10"/>
        <rFont val="Arial"/>
        <family val="0"/>
        <charset val="1"/>
      </rPr>
      <t xml:space="preserve">Tại sao? Trả lời bằng </t>
    </r>
    <r>
      <rPr>
        <sz val="10"/>
        <rFont val="Noto Sans CJK SC"/>
        <family val="2"/>
      </rPr>
      <t xml:space="preserve">〜からです</t>
    </r>
    <r>
      <rPr>
        <sz val="10"/>
        <rFont val="Arial"/>
        <family val="0"/>
        <charset val="1"/>
      </rPr>
      <t xml:space="preserve">.</t>
    </r>
  </si>
  <si>
    <t xml:space="preserve">どうして 来ませんでしたか。</t>
  </si>
  <si>
    <t xml:space="preserve">Tại sao bạn đã không đến?</t>
  </si>
  <si>
    <r>
      <rPr>
        <b val="true"/>
        <sz val="12"/>
        <rFont val="Noto Sans CJK SC"/>
        <family val="2"/>
      </rPr>
      <t xml:space="preserve">よく </t>
    </r>
    <r>
      <rPr>
        <b val="true"/>
        <sz val="12"/>
        <rFont val="Arial"/>
        <family val="0"/>
        <charset val="1"/>
      </rPr>
      <t xml:space="preserve">/ </t>
    </r>
    <r>
      <rPr>
        <b val="true"/>
        <sz val="12"/>
        <rFont val="Noto Sans CJK SC"/>
        <family val="2"/>
      </rPr>
      <t xml:space="preserve">だいたい </t>
    </r>
    <r>
      <rPr>
        <b val="true"/>
        <sz val="12"/>
        <rFont val="Arial"/>
        <family val="0"/>
        <charset val="1"/>
      </rPr>
      <t xml:space="preserve">/ </t>
    </r>
    <r>
      <rPr>
        <b val="true"/>
        <sz val="12"/>
        <rFont val="Noto Sans CJK SC"/>
        <family val="2"/>
      </rPr>
      <t xml:space="preserve">たくさん </t>
    </r>
    <r>
      <rPr>
        <b val="true"/>
        <sz val="12"/>
        <rFont val="Arial"/>
        <family val="0"/>
        <charset val="1"/>
      </rPr>
      <t xml:space="preserve">/ </t>
    </r>
    <r>
      <rPr>
        <b val="true"/>
        <sz val="12"/>
        <rFont val="Noto Sans CJK SC"/>
        <family val="2"/>
      </rPr>
      <t xml:space="preserve">少し </t>
    </r>
    <r>
      <rPr>
        <b val="true"/>
        <sz val="12"/>
        <rFont val="Arial"/>
        <family val="0"/>
        <charset val="1"/>
      </rPr>
      <t xml:space="preserve">/ </t>
    </r>
    <r>
      <rPr>
        <b val="true"/>
        <sz val="12"/>
        <rFont val="Noto Sans CJK SC"/>
        <family val="2"/>
      </rPr>
      <t xml:space="preserve">あまり </t>
    </r>
    <r>
      <rPr>
        <b val="true"/>
        <sz val="12"/>
        <rFont val="Arial"/>
        <family val="0"/>
        <charset val="1"/>
      </rPr>
      <t xml:space="preserve">/ </t>
    </r>
    <r>
      <rPr>
        <b val="true"/>
        <sz val="12"/>
        <rFont val="Noto Sans CJK SC"/>
        <family val="2"/>
      </rPr>
      <t xml:space="preserve">全然</t>
    </r>
  </si>
  <si>
    <r>
      <rPr>
        <sz val="10"/>
        <rFont val="Arial"/>
        <family val="0"/>
        <charset val="1"/>
      </rPr>
      <t xml:space="preserve">Trạng từ mức độ. </t>
    </r>
    <r>
      <rPr>
        <sz val="10"/>
        <rFont val="Noto Sans CJK SC"/>
        <family val="2"/>
      </rPr>
      <t xml:space="preserve">あまり </t>
    </r>
    <r>
      <rPr>
        <sz val="10"/>
        <rFont val="Arial"/>
        <family val="0"/>
        <charset val="1"/>
      </rPr>
      <t xml:space="preserve">và </t>
    </r>
    <r>
      <rPr>
        <sz val="10"/>
        <rFont val="Noto Sans CJK SC"/>
        <family val="2"/>
      </rPr>
      <t xml:space="preserve">全然 </t>
    </r>
    <r>
      <rPr>
        <sz val="10"/>
        <rFont val="Arial"/>
        <family val="0"/>
        <charset val="1"/>
      </rPr>
      <t xml:space="preserve">luôn đi với phủ định.</t>
    </r>
  </si>
  <si>
    <t xml:space="preserve">あまり わかりません。</t>
  </si>
  <si>
    <t xml:space="preserve">Tôi không hiểu lắm.</t>
  </si>
  <si>
    <r>
      <rPr>
        <b val="true"/>
        <sz val="12"/>
        <color rgb="FFFFFFFF"/>
        <rFont val="Arial"/>
        <family val="0"/>
        <charset val="1"/>
      </rPr>
      <t xml:space="preserve">▌ BÀI 10  ·  Tồn tại — </t>
    </r>
    <r>
      <rPr>
        <b val="true"/>
        <sz val="12"/>
        <color rgb="FFFFFFFF"/>
        <rFont val="Noto Sans CJK SC"/>
        <family val="2"/>
      </rPr>
      <t xml:space="preserve">あります </t>
    </r>
    <r>
      <rPr>
        <b val="true"/>
        <sz val="12"/>
        <color rgb="FFFFFFFF"/>
        <rFont val="Arial"/>
        <family val="0"/>
        <charset val="1"/>
      </rPr>
      <t xml:space="preserve">/ </t>
    </r>
    <r>
      <rPr>
        <b val="true"/>
        <sz val="12"/>
        <color rgb="FFFFFFFF"/>
        <rFont val="Noto Sans CJK SC"/>
        <family val="2"/>
      </rPr>
      <t xml:space="preserve">います </t>
    </r>
    <r>
      <rPr>
        <b val="true"/>
        <sz val="12"/>
        <color rgb="FFFFFFFF"/>
        <rFont val="Arial"/>
        <family val="0"/>
        <charset val="1"/>
      </rPr>
      <t xml:space="preserve">&amp; Vị trí</t>
    </r>
  </si>
  <si>
    <r>
      <rPr>
        <b val="true"/>
        <sz val="12"/>
        <rFont val="Noto Sans CJK SC"/>
        <family val="2"/>
      </rPr>
      <t xml:space="preserve">場所 に </t>
    </r>
    <r>
      <rPr>
        <b val="true"/>
        <sz val="12"/>
        <rFont val="Arial"/>
        <family val="0"/>
        <charset val="1"/>
      </rPr>
      <t xml:space="preserve">N </t>
    </r>
    <r>
      <rPr>
        <b val="true"/>
        <sz val="12"/>
        <rFont val="Noto Sans CJK SC"/>
        <family val="2"/>
      </rPr>
      <t xml:space="preserve">が あります </t>
    </r>
    <r>
      <rPr>
        <b val="true"/>
        <sz val="12"/>
        <rFont val="Arial"/>
        <family val="0"/>
        <charset val="1"/>
      </rPr>
      <t xml:space="preserve">/ </t>
    </r>
    <r>
      <rPr>
        <b val="true"/>
        <sz val="12"/>
        <rFont val="Noto Sans CJK SC"/>
        <family val="2"/>
      </rPr>
      <t xml:space="preserve">います</t>
    </r>
  </si>
  <si>
    <r>
      <rPr>
        <sz val="10"/>
        <rFont val="Arial"/>
        <family val="0"/>
        <charset val="1"/>
      </rPr>
      <t xml:space="preserve">Ở nơi nào đó CÓ cái gì. </t>
    </r>
    <r>
      <rPr>
        <sz val="10"/>
        <rFont val="Noto Sans CJK SC"/>
        <family val="2"/>
      </rPr>
      <t xml:space="preserve">あります </t>
    </r>
    <r>
      <rPr>
        <sz val="10"/>
        <rFont val="Arial"/>
        <family val="0"/>
        <charset val="1"/>
      </rPr>
      <t xml:space="preserve">cho vật, </t>
    </r>
    <r>
      <rPr>
        <sz val="10"/>
        <rFont val="Noto Sans CJK SC"/>
        <family val="2"/>
      </rPr>
      <t xml:space="preserve">います </t>
    </r>
    <r>
      <rPr>
        <sz val="10"/>
        <rFont val="Arial"/>
        <family val="0"/>
        <charset val="1"/>
      </rPr>
      <t xml:space="preserve">cho người và động vật.</t>
    </r>
  </si>
  <si>
    <t xml:space="preserve">部屋に 猫が います。</t>
  </si>
  <si>
    <t xml:space="preserve">Trong phòng có con mèo.</t>
  </si>
  <si>
    <r>
      <rPr>
        <b val="true"/>
        <sz val="12"/>
        <rFont val="Arial"/>
        <family val="0"/>
        <charset val="1"/>
      </rPr>
      <t xml:space="preserve">N </t>
    </r>
    <r>
      <rPr>
        <b val="true"/>
        <sz val="12"/>
        <rFont val="Noto Sans CJK SC"/>
        <family val="2"/>
      </rPr>
      <t xml:space="preserve">は 場所 に あります </t>
    </r>
    <r>
      <rPr>
        <b val="true"/>
        <sz val="12"/>
        <rFont val="Arial"/>
        <family val="0"/>
        <charset val="1"/>
      </rPr>
      <t xml:space="preserve">/ </t>
    </r>
    <r>
      <rPr>
        <b val="true"/>
        <sz val="12"/>
        <rFont val="Noto Sans CJK SC"/>
        <family val="2"/>
      </rPr>
      <t xml:space="preserve">います</t>
    </r>
  </si>
  <si>
    <t xml:space="preserve">Cái gì đó Ở đâu. Đảo lại khi N là chủ đề đã biết.</t>
  </si>
  <si>
    <t xml:space="preserve">田中さんは 事務所に います。</t>
  </si>
  <si>
    <t xml:space="preserve">Anh Tanaka đang ở văn phòng.</t>
  </si>
  <si>
    <r>
      <rPr>
        <b val="true"/>
        <sz val="12"/>
        <rFont val="Arial"/>
        <family val="0"/>
        <charset val="1"/>
      </rPr>
      <t xml:space="preserve">N1 </t>
    </r>
    <r>
      <rPr>
        <b val="true"/>
        <sz val="12"/>
        <rFont val="Noto Sans CJK SC"/>
        <family val="2"/>
      </rPr>
      <t xml:space="preserve">の </t>
    </r>
    <r>
      <rPr>
        <b val="true"/>
        <sz val="12"/>
        <rFont val="Arial"/>
        <family val="0"/>
        <charset val="1"/>
      </rPr>
      <t xml:space="preserve">N2 (vị trí)</t>
    </r>
  </si>
  <si>
    <r>
      <rPr>
        <sz val="10"/>
        <rFont val="Arial"/>
        <family val="0"/>
        <charset val="1"/>
      </rPr>
      <t xml:space="preserve">N2 chỉ vị trí: </t>
    </r>
    <r>
      <rPr>
        <sz val="10"/>
        <rFont val="Noto Sans CJK SC"/>
        <family val="2"/>
      </rPr>
      <t xml:space="preserve">上</t>
    </r>
    <r>
      <rPr>
        <sz val="10"/>
        <rFont val="Arial"/>
        <family val="0"/>
        <charset val="1"/>
      </rPr>
      <t xml:space="preserve">/</t>
    </r>
    <r>
      <rPr>
        <sz val="10"/>
        <rFont val="Noto Sans CJK SC"/>
        <family val="2"/>
      </rPr>
      <t xml:space="preserve">下</t>
    </r>
    <r>
      <rPr>
        <sz val="10"/>
        <rFont val="Arial"/>
        <family val="0"/>
        <charset val="1"/>
      </rPr>
      <t xml:space="preserve">/</t>
    </r>
    <r>
      <rPr>
        <sz val="10"/>
        <rFont val="Noto Sans CJK SC"/>
        <family val="2"/>
      </rPr>
      <t xml:space="preserve">前</t>
    </r>
    <r>
      <rPr>
        <sz val="10"/>
        <rFont val="Arial"/>
        <family val="0"/>
        <charset val="1"/>
      </rPr>
      <t xml:space="preserve">/</t>
    </r>
    <r>
      <rPr>
        <sz val="10"/>
        <rFont val="Noto Sans CJK SC"/>
        <family val="2"/>
      </rPr>
      <t xml:space="preserve">後ろ</t>
    </r>
    <r>
      <rPr>
        <sz val="10"/>
        <rFont val="Arial"/>
        <family val="0"/>
        <charset val="1"/>
      </rPr>
      <t xml:space="preserve">/</t>
    </r>
    <r>
      <rPr>
        <sz val="10"/>
        <rFont val="Noto Sans CJK SC"/>
        <family val="2"/>
      </rPr>
      <t xml:space="preserve">中</t>
    </r>
    <r>
      <rPr>
        <sz val="10"/>
        <rFont val="Arial"/>
        <family val="0"/>
        <charset val="1"/>
      </rPr>
      <t xml:space="preserve">/</t>
    </r>
    <r>
      <rPr>
        <sz val="10"/>
        <rFont val="Noto Sans CJK SC"/>
        <family val="2"/>
      </rPr>
      <t xml:space="preserve">外</t>
    </r>
    <r>
      <rPr>
        <sz val="10"/>
        <rFont val="Arial"/>
        <family val="0"/>
        <charset val="1"/>
      </rPr>
      <t xml:space="preserve">/</t>
    </r>
    <r>
      <rPr>
        <sz val="10"/>
        <rFont val="Noto Sans CJK SC"/>
        <family val="2"/>
      </rPr>
      <t xml:space="preserve">隣</t>
    </r>
    <r>
      <rPr>
        <sz val="10"/>
        <rFont val="Arial"/>
        <family val="0"/>
        <charset val="1"/>
      </rPr>
      <t xml:space="preserve">/</t>
    </r>
    <r>
      <rPr>
        <sz val="10"/>
        <rFont val="Noto Sans CJK SC"/>
        <family val="2"/>
      </rPr>
      <t xml:space="preserve">近く</t>
    </r>
    <r>
      <rPr>
        <sz val="10"/>
        <rFont val="Arial"/>
        <family val="0"/>
        <charset val="1"/>
      </rPr>
      <t xml:space="preserve">/</t>
    </r>
    <r>
      <rPr>
        <sz val="10"/>
        <rFont val="Noto Sans CJK SC"/>
        <family val="2"/>
      </rPr>
      <t xml:space="preserve">間</t>
    </r>
    <r>
      <rPr>
        <sz val="10"/>
        <rFont val="Arial"/>
        <family val="0"/>
        <charset val="1"/>
      </rPr>
      <t xml:space="preserve">.</t>
    </r>
  </si>
  <si>
    <t xml:space="preserve">机の 上に 本が あります。</t>
  </si>
  <si>
    <t xml:space="preserve">Trên bàn có quyển sách.</t>
  </si>
  <si>
    <r>
      <rPr>
        <b val="true"/>
        <sz val="12"/>
        <rFont val="Arial"/>
        <family val="0"/>
        <charset val="1"/>
      </rPr>
      <t xml:space="preserve">N1 </t>
    </r>
    <r>
      <rPr>
        <b val="true"/>
        <sz val="12"/>
        <rFont val="Noto Sans CJK SC"/>
        <family val="2"/>
      </rPr>
      <t xml:space="preserve">や </t>
    </r>
    <r>
      <rPr>
        <b val="true"/>
        <sz val="12"/>
        <rFont val="Arial"/>
        <family val="0"/>
        <charset val="1"/>
      </rPr>
      <t xml:space="preserve">N2 (</t>
    </r>
    <r>
      <rPr>
        <b val="true"/>
        <sz val="12"/>
        <rFont val="Noto Sans CJK SC"/>
        <family val="2"/>
      </rPr>
      <t xml:space="preserve">など</t>
    </r>
    <r>
      <rPr>
        <b val="true"/>
        <sz val="12"/>
        <rFont val="Arial"/>
        <family val="0"/>
        <charset val="1"/>
      </rPr>
      <t xml:space="preserve">)</t>
    </r>
  </si>
  <si>
    <r>
      <rPr>
        <sz val="10"/>
        <rFont val="Arial"/>
        <family val="0"/>
        <charset val="1"/>
      </rPr>
      <t xml:space="preserve">N1, N2, vân vân. Liệt kê không đầy đủ, khác với </t>
    </r>
    <r>
      <rPr>
        <sz val="10"/>
        <rFont val="Noto Sans CJK SC"/>
        <family val="2"/>
      </rPr>
      <t xml:space="preserve">と </t>
    </r>
    <r>
      <rPr>
        <sz val="10"/>
        <rFont val="Arial"/>
        <family val="0"/>
        <charset val="1"/>
      </rPr>
      <t xml:space="preserve">(đầy đủ).</t>
    </r>
  </si>
  <si>
    <t xml:space="preserve">机の 上に 本や ノートが あります。</t>
  </si>
  <si>
    <t xml:space="preserve">Trên bàn có sách, vở, v.v.</t>
  </si>
  <si>
    <t xml:space="preserve">▌ BÀI 11  ·  Số đếm &amp; Lượng từ</t>
  </si>
  <si>
    <r>
      <rPr>
        <b val="true"/>
        <sz val="12"/>
        <rFont val="Noto Sans CJK SC"/>
        <family val="2"/>
      </rPr>
      <t xml:space="preserve">〜つ </t>
    </r>
    <r>
      <rPr>
        <b val="true"/>
        <sz val="12"/>
        <rFont val="Arial"/>
        <family val="0"/>
        <charset val="1"/>
      </rPr>
      <t xml:space="preserve">(1</t>
    </r>
    <r>
      <rPr>
        <b val="true"/>
        <sz val="12"/>
        <rFont val="Noto Sans CJK SC"/>
        <family val="2"/>
      </rPr>
      <t xml:space="preserve">〜</t>
    </r>
    <r>
      <rPr>
        <b val="true"/>
        <sz val="12"/>
        <rFont val="Arial"/>
        <family val="0"/>
        <charset val="1"/>
      </rPr>
      <t xml:space="preserve">10)</t>
    </r>
  </si>
  <si>
    <r>
      <rPr>
        <sz val="10"/>
        <rFont val="Arial"/>
        <family val="0"/>
        <charset val="1"/>
      </rPr>
      <t xml:space="preserve">Đếm vật chung: </t>
    </r>
    <r>
      <rPr>
        <sz val="10"/>
        <rFont val="Noto Sans CJK SC"/>
        <family val="2"/>
      </rPr>
      <t xml:space="preserve">ひとつ</t>
    </r>
    <r>
      <rPr>
        <sz val="10"/>
        <rFont val="Arial"/>
        <family val="0"/>
        <charset val="1"/>
      </rPr>
      <t xml:space="preserve">, </t>
    </r>
    <r>
      <rPr>
        <sz val="10"/>
        <rFont val="Noto Sans CJK SC"/>
        <family val="2"/>
      </rPr>
      <t xml:space="preserve">ふたつ</t>
    </r>
    <r>
      <rPr>
        <sz val="10"/>
        <rFont val="Arial"/>
        <family val="0"/>
        <charset val="1"/>
      </rPr>
      <t xml:space="preserve">, </t>
    </r>
    <r>
      <rPr>
        <sz val="10"/>
        <rFont val="Noto Sans CJK SC"/>
        <family val="2"/>
      </rPr>
      <t xml:space="preserve">みっつ</t>
    </r>
    <r>
      <rPr>
        <sz val="10"/>
        <rFont val="Arial"/>
        <family val="0"/>
        <charset val="1"/>
      </rPr>
      <t xml:space="preserve">... Từ 11 trở đi dùng </t>
    </r>
    <r>
      <rPr>
        <sz val="10"/>
        <rFont val="Noto Sans CJK SC"/>
        <family val="2"/>
      </rPr>
      <t xml:space="preserve">〜個</t>
    </r>
    <r>
      <rPr>
        <sz val="10"/>
        <rFont val="Arial"/>
        <family val="0"/>
        <charset val="1"/>
      </rPr>
      <t xml:space="preserve">.</t>
    </r>
  </si>
  <si>
    <t xml:space="preserve">みかんを 三つ 買いました。</t>
  </si>
  <si>
    <t xml:space="preserve">Tôi đã mua ba quả quýt.</t>
  </si>
  <si>
    <r>
      <rPr>
        <b val="true"/>
        <sz val="12"/>
        <rFont val="Noto Sans CJK SC"/>
        <family val="2"/>
      </rPr>
      <t xml:space="preserve">〜人 </t>
    </r>
    <r>
      <rPr>
        <b val="true"/>
        <sz val="12"/>
        <rFont val="Arial"/>
        <family val="0"/>
        <charset val="1"/>
      </rPr>
      <t xml:space="preserve">/ </t>
    </r>
    <r>
      <rPr>
        <b val="true"/>
        <sz val="12"/>
        <rFont val="Noto Sans CJK SC"/>
        <family val="2"/>
      </rPr>
      <t xml:space="preserve">〜台 </t>
    </r>
    <r>
      <rPr>
        <b val="true"/>
        <sz val="12"/>
        <rFont val="Arial"/>
        <family val="0"/>
        <charset val="1"/>
      </rPr>
      <t xml:space="preserve">/ </t>
    </r>
    <r>
      <rPr>
        <b val="true"/>
        <sz val="12"/>
        <rFont val="Noto Sans CJK SC"/>
        <family val="2"/>
      </rPr>
      <t xml:space="preserve">〜枚 </t>
    </r>
    <r>
      <rPr>
        <b val="true"/>
        <sz val="12"/>
        <rFont val="Arial"/>
        <family val="0"/>
        <charset val="1"/>
      </rPr>
      <t xml:space="preserve">/ </t>
    </r>
    <r>
      <rPr>
        <b val="true"/>
        <sz val="12"/>
        <rFont val="Noto Sans CJK SC"/>
        <family val="2"/>
      </rPr>
      <t xml:space="preserve">〜冊</t>
    </r>
  </si>
  <si>
    <t xml:space="preserve">Đếm người / máy móc, xe / vật mỏng dẹt / sách vở.</t>
  </si>
  <si>
    <t xml:space="preserve">教室に 学生が 五人 います。</t>
  </si>
  <si>
    <t xml:space="preserve">Trong lớp có 5 học sinh.</t>
  </si>
  <si>
    <r>
      <rPr>
        <b val="true"/>
        <sz val="12"/>
        <rFont val="Noto Sans CJK SC"/>
        <family val="2"/>
      </rPr>
      <t xml:space="preserve">〜回 </t>
    </r>
    <r>
      <rPr>
        <b val="true"/>
        <sz val="12"/>
        <rFont val="Arial"/>
        <family val="0"/>
        <charset val="1"/>
      </rPr>
      <t xml:space="preserve">/ </t>
    </r>
    <r>
      <rPr>
        <b val="true"/>
        <sz val="12"/>
        <rFont val="Noto Sans CJK SC"/>
        <family val="2"/>
      </rPr>
      <t xml:space="preserve">〜時間 </t>
    </r>
    <r>
      <rPr>
        <b val="true"/>
        <sz val="12"/>
        <rFont val="Arial"/>
        <family val="0"/>
        <charset val="1"/>
      </rPr>
      <t xml:space="preserve">/ </t>
    </r>
    <r>
      <rPr>
        <b val="true"/>
        <sz val="12"/>
        <rFont val="Noto Sans CJK SC"/>
        <family val="2"/>
      </rPr>
      <t xml:space="preserve">〜週間 </t>
    </r>
    <r>
      <rPr>
        <b val="true"/>
        <sz val="12"/>
        <rFont val="Arial"/>
        <family val="0"/>
        <charset val="1"/>
      </rPr>
      <t xml:space="preserve">/ </t>
    </r>
    <r>
      <rPr>
        <b val="true"/>
        <sz val="12"/>
        <rFont val="Noto Sans CJK SC"/>
        <family val="2"/>
      </rPr>
      <t xml:space="preserve">〜か月 </t>
    </r>
    <r>
      <rPr>
        <b val="true"/>
        <sz val="12"/>
        <rFont val="Arial"/>
        <family val="0"/>
        <charset val="1"/>
      </rPr>
      <t xml:space="preserve">/ </t>
    </r>
    <r>
      <rPr>
        <b val="true"/>
        <sz val="12"/>
        <rFont val="Noto Sans CJK SC"/>
        <family val="2"/>
      </rPr>
      <t xml:space="preserve">〜年</t>
    </r>
  </si>
  <si>
    <t xml:space="preserve">Số lần và khoảng thời gian.</t>
  </si>
  <si>
    <t xml:space="preserve">一週間に 二回 日本語を 勉強します。</t>
  </si>
  <si>
    <t xml:space="preserve">Mỗi tuần tôi học tiếng Nhật hai lần.</t>
  </si>
  <si>
    <t xml:space="preserve">期間 に 回数</t>
  </si>
  <si>
    <t xml:space="preserve">Bao nhiêu lần trong một khoảng thời gian.</t>
  </si>
  <si>
    <t xml:space="preserve">一か月に 三回 映画を 見ます。</t>
  </si>
  <si>
    <t xml:space="preserve">Mỗi tháng tôi xem phim ba lần.</t>
  </si>
  <si>
    <r>
      <rPr>
        <b val="true"/>
        <sz val="12"/>
        <rFont val="Arial"/>
        <family val="0"/>
        <charset val="1"/>
      </rPr>
      <t xml:space="preserve">Số lượng + </t>
    </r>
    <r>
      <rPr>
        <b val="true"/>
        <sz val="12"/>
        <rFont val="Noto Sans CJK SC"/>
        <family val="2"/>
      </rPr>
      <t xml:space="preserve">だけ </t>
    </r>
    <r>
      <rPr>
        <b val="true"/>
        <sz val="12"/>
        <rFont val="Arial"/>
        <family val="0"/>
        <charset val="1"/>
      </rPr>
      <t xml:space="preserve">/ </t>
    </r>
    <r>
      <rPr>
        <b val="true"/>
        <sz val="12"/>
        <rFont val="Noto Sans CJK SC"/>
        <family val="2"/>
      </rPr>
      <t xml:space="preserve">しか〜ない</t>
    </r>
  </si>
  <si>
    <r>
      <rPr>
        <sz val="10"/>
        <rFont val="Arial"/>
        <family val="0"/>
        <charset val="1"/>
      </rPr>
      <t xml:space="preserve">Chỉ có ~. </t>
    </r>
    <r>
      <rPr>
        <sz val="10"/>
        <rFont val="Noto Sans CJK SC"/>
        <family val="2"/>
      </rPr>
      <t xml:space="preserve">しか </t>
    </r>
    <r>
      <rPr>
        <sz val="10"/>
        <rFont val="Arial"/>
        <family val="0"/>
        <charset val="1"/>
      </rPr>
      <t xml:space="preserve">luôn đi với phủ định.</t>
    </r>
  </si>
  <si>
    <t xml:space="preserve">千円しか ありません。</t>
  </si>
  <si>
    <t xml:space="preserve">Tôi chỉ có 1000 yên.</t>
  </si>
  <si>
    <t xml:space="preserve">▌ BÀI 12  ·  Quá khứ của tính từ &amp; So sánh</t>
  </si>
  <si>
    <t xml:space="preserve">Adj quá khứ</t>
  </si>
  <si>
    <r>
      <rPr>
        <sz val="10"/>
        <rFont val="Noto Sans CJK SC"/>
        <family val="2"/>
      </rPr>
      <t xml:space="preserve">い</t>
    </r>
    <r>
      <rPr>
        <sz val="10"/>
        <rFont val="Arial"/>
        <family val="0"/>
        <charset val="1"/>
      </rPr>
      <t xml:space="preserve">-adj: </t>
    </r>
    <r>
      <rPr>
        <sz val="10"/>
        <rFont val="Noto Sans CJK SC"/>
        <family val="2"/>
      </rPr>
      <t xml:space="preserve">〜かったです </t>
    </r>
    <r>
      <rPr>
        <sz val="10"/>
        <rFont val="Arial"/>
        <family val="0"/>
        <charset val="1"/>
      </rPr>
      <t xml:space="preserve">/ </t>
    </r>
    <r>
      <rPr>
        <sz val="10"/>
        <rFont val="Noto Sans CJK SC"/>
        <family val="2"/>
      </rPr>
      <t xml:space="preserve">〜くなかったです</t>
    </r>
    <r>
      <rPr>
        <sz val="10"/>
        <rFont val="Arial"/>
        <family val="0"/>
        <charset val="1"/>
      </rPr>
      <t xml:space="preserve">. </t>
    </r>
    <r>
      <rPr>
        <sz val="10"/>
        <rFont val="Noto Sans CJK SC"/>
        <family val="2"/>
      </rPr>
      <t xml:space="preserve">な</t>
    </r>
    <r>
      <rPr>
        <sz val="10"/>
        <rFont val="Arial"/>
        <family val="0"/>
        <charset val="1"/>
      </rPr>
      <t xml:space="preserve">-adj &amp; N: </t>
    </r>
    <r>
      <rPr>
        <sz val="10"/>
        <rFont val="Noto Sans CJK SC"/>
        <family val="2"/>
      </rPr>
      <t xml:space="preserve">〜でした </t>
    </r>
    <r>
      <rPr>
        <sz val="10"/>
        <rFont val="Arial"/>
        <family val="0"/>
        <charset val="1"/>
      </rPr>
      <t xml:space="preserve">/ </t>
    </r>
    <r>
      <rPr>
        <sz val="10"/>
        <rFont val="Noto Sans CJK SC"/>
        <family val="2"/>
      </rPr>
      <t xml:space="preserve">〜じゃ ありませんでした</t>
    </r>
    <r>
      <rPr>
        <sz val="10"/>
        <rFont val="Arial"/>
        <family val="0"/>
        <charset val="1"/>
      </rPr>
      <t xml:space="preserve">.</t>
    </r>
  </si>
  <si>
    <t xml:space="preserve">きのうは 寒かったです。</t>
  </si>
  <si>
    <t xml:space="preserve">Hôm qua trời đã lạnh.</t>
  </si>
  <si>
    <r>
      <rPr>
        <b val="true"/>
        <sz val="12"/>
        <rFont val="Arial"/>
        <family val="0"/>
        <charset val="1"/>
      </rPr>
      <t xml:space="preserve">N1 </t>
    </r>
    <r>
      <rPr>
        <b val="true"/>
        <sz val="12"/>
        <rFont val="Noto Sans CJK SC"/>
        <family val="2"/>
      </rPr>
      <t xml:space="preserve">は </t>
    </r>
    <r>
      <rPr>
        <b val="true"/>
        <sz val="12"/>
        <rFont val="Arial"/>
        <family val="0"/>
        <charset val="1"/>
      </rPr>
      <t xml:space="preserve">N2 </t>
    </r>
    <r>
      <rPr>
        <b val="true"/>
        <sz val="12"/>
        <rFont val="Noto Sans CJK SC"/>
        <family val="2"/>
      </rPr>
      <t xml:space="preserve">より </t>
    </r>
    <r>
      <rPr>
        <b val="true"/>
        <sz val="12"/>
        <rFont val="Arial"/>
        <family val="0"/>
        <charset val="1"/>
      </rPr>
      <t xml:space="preserve">Adj </t>
    </r>
    <r>
      <rPr>
        <b val="true"/>
        <sz val="12"/>
        <rFont val="Noto Sans CJK SC"/>
        <family val="2"/>
      </rPr>
      <t xml:space="preserve">です</t>
    </r>
  </si>
  <si>
    <t xml:space="preserve">N1 thì ~ hơn N2.</t>
  </si>
  <si>
    <t xml:space="preserve">この 車は あの 車より 高いです。</t>
  </si>
  <si>
    <t xml:space="preserve">Chiếc xe này đắt hơn chiếc xe kia.</t>
  </si>
  <si>
    <r>
      <rPr>
        <b val="true"/>
        <sz val="12"/>
        <rFont val="Arial"/>
        <family val="0"/>
        <charset val="1"/>
      </rPr>
      <t xml:space="preserve">N1 </t>
    </r>
    <r>
      <rPr>
        <b val="true"/>
        <sz val="12"/>
        <rFont val="Noto Sans CJK SC"/>
        <family val="2"/>
      </rPr>
      <t xml:space="preserve">と </t>
    </r>
    <r>
      <rPr>
        <b val="true"/>
        <sz val="12"/>
        <rFont val="Arial"/>
        <family val="0"/>
        <charset val="1"/>
      </rPr>
      <t xml:space="preserve">N2 </t>
    </r>
    <r>
      <rPr>
        <b val="true"/>
        <sz val="12"/>
        <rFont val="Noto Sans CJK SC"/>
        <family val="2"/>
      </rPr>
      <t xml:space="preserve">と どちらが </t>
    </r>
    <r>
      <rPr>
        <b val="true"/>
        <sz val="12"/>
        <rFont val="Arial"/>
        <family val="0"/>
        <charset val="1"/>
      </rPr>
      <t xml:space="preserve">Adj </t>
    </r>
    <r>
      <rPr>
        <b val="true"/>
        <sz val="12"/>
        <rFont val="Noto Sans CJK SC"/>
        <family val="2"/>
      </rPr>
      <t xml:space="preserve">ですか</t>
    </r>
  </si>
  <si>
    <t xml:space="preserve">Giữa N1 và N2, cái nào ~ hơn?</t>
  </si>
  <si>
    <t xml:space="preserve">肉と 魚と どちらが 好きですか。</t>
  </si>
  <si>
    <t xml:space="preserve">Bạn thích thịt hay cá hơn?</t>
  </si>
  <si>
    <r>
      <rPr>
        <b val="true"/>
        <sz val="12"/>
        <rFont val="Arial"/>
        <family val="0"/>
        <charset val="1"/>
      </rPr>
      <t xml:space="preserve">N1 [</t>
    </r>
    <r>
      <rPr>
        <b val="true"/>
        <sz val="12"/>
        <rFont val="Noto Sans CJK SC"/>
        <family val="2"/>
      </rPr>
      <t xml:space="preserve">の中</t>
    </r>
    <r>
      <rPr>
        <b val="true"/>
        <sz val="12"/>
        <rFont val="Arial"/>
        <family val="0"/>
        <charset val="1"/>
      </rPr>
      <t xml:space="preserve">] </t>
    </r>
    <r>
      <rPr>
        <b val="true"/>
        <sz val="12"/>
        <rFont val="Noto Sans CJK SC"/>
        <family val="2"/>
      </rPr>
      <t xml:space="preserve">で 何</t>
    </r>
    <r>
      <rPr>
        <b val="true"/>
        <sz val="12"/>
        <rFont val="Arial"/>
        <family val="0"/>
        <charset val="1"/>
      </rPr>
      <t xml:space="preserve">/</t>
    </r>
    <r>
      <rPr>
        <b val="true"/>
        <sz val="12"/>
        <rFont val="Noto Sans CJK SC"/>
        <family val="2"/>
      </rPr>
      <t xml:space="preserve">どこ</t>
    </r>
    <r>
      <rPr>
        <b val="true"/>
        <sz val="12"/>
        <rFont val="Arial"/>
        <family val="0"/>
        <charset val="1"/>
      </rPr>
      <t xml:space="preserve">/</t>
    </r>
    <r>
      <rPr>
        <b val="true"/>
        <sz val="12"/>
        <rFont val="Noto Sans CJK SC"/>
        <family val="2"/>
      </rPr>
      <t xml:space="preserve">だれ が いちばん </t>
    </r>
    <r>
      <rPr>
        <b val="true"/>
        <sz val="12"/>
        <rFont val="Arial"/>
        <family val="0"/>
        <charset val="1"/>
      </rPr>
      <t xml:space="preserve">Adj </t>
    </r>
    <r>
      <rPr>
        <b val="true"/>
        <sz val="12"/>
        <rFont val="Noto Sans CJK SC"/>
        <family val="2"/>
      </rPr>
      <t xml:space="preserve">ですか</t>
    </r>
  </si>
  <si>
    <t xml:space="preserve">Trong nhóm N1, cái/nơi/ai nhất?</t>
  </si>
  <si>
    <t xml:space="preserve">日本料理で 何が いちばん おいしいですか。</t>
  </si>
  <si>
    <t xml:space="preserve">Trong món Nhật, món nào ngon nhất?</t>
  </si>
  <si>
    <r>
      <rPr>
        <b val="true"/>
        <sz val="12"/>
        <color rgb="FFFFFFFF"/>
        <rFont val="Arial"/>
        <family val="0"/>
        <charset val="1"/>
      </rPr>
      <t xml:space="preserve">▌ BÀI 13  ·  Mong muốn — </t>
    </r>
    <r>
      <rPr>
        <b val="true"/>
        <sz val="12"/>
        <color rgb="FFFFFFFF"/>
        <rFont val="Noto Sans CJK SC"/>
        <family val="2"/>
      </rPr>
      <t xml:space="preserve">たい </t>
    </r>
    <r>
      <rPr>
        <b val="true"/>
        <sz val="12"/>
        <color rgb="FFFFFFFF"/>
        <rFont val="Arial"/>
        <family val="0"/>
        <charset val="1"/>
      </rPr>
      <t xml:space="preserve">&amp; </t>
    </r>
    <r>
      <rPr>
        <b val="true"/>
        <sz val="12"/>
        <color rgb="FFFFFFFF"/>
        <rFont val="Noto Sans CJK SC"/>
        <family val="2"/>
      </rPr>
      <t xml:space="preserve">ほしい</t>
    </r>
  </si>
  <si>
    <r>
      <rPr>
        <b val="true"/>
        <sz val="12"/>
        <rFont val="Arial"/>
        <family val="0"/>
        <charset val="1"/>
      </rPr>
      <t xml:space="preserve">N </t>
    </r>
    <r>
      <rPr>
        <b val="true"/>
        <sz val="12"/>
        <rFont val="Noto Sans CJK SC"/>
        <family val="2"/>
      </rPr>
      <t xml:space="preserve">が ほしいです</t>
    </r>
  </si>
  <si>
    <t xml:space="preserve">Muốn có N (đồ vật). Chỉ dùng cho ngôi thứ nhất và câu hỏi ngôi thứ hai.</t>
  </si>
  <si>
    <t xml:space="preserve">新しい 車が ほしいです。</t>
  </si>
  <si>
    <t xml:space="preserve">Tôi muốn có một chiếc xe mới.</t>
  </si>
  <si>
    <r>
      <rPr>
        <b val="true"/>
        <sz val="12"/>
        <rFont val="Arial"/>
        <family val="0"/>
        <charset val="1"/>
      </rPr>
      <t xml:space="preserve">V </t>
    </r>
    <r>
      <rPr>
        <b val="true"/>
        <sz val="12"/>
        <rFont val="Noto Sans CJK SC"/>
        <family val="2"/>
      </rPr>
      <t xml:space="preserve">ます</t>
    </r>
    <r>
      <rPr>
        <b val="true"/>
        <sz val="12"/>
        <rFont val="Arial"/>
        <family val="0"/>
        <charset val="1"/>
      </rPr>
      <t xml:space="preserve">-stem + </t>
    </r>
    <r>
      <rPr>
        <b val="true"/>
        <sz val="12"/>
        <rFont val="Noto Sans CJK SC"/>
        <family val="2"/>
      </rPr>
      <t xml:space="preserve">たいです</t>
    </r>
  </si>
  <si>
    <r>
      <rPr>
        <sz val="10"/>
        <rFont val="Arial"/>
        <family val="0"/>
        <charset val="1"/>
      </rPr>
      <t xml:space="preserve">Muốn làm gì. Tân ngữ có thể dùng </t>
    </r>
    <r>
      <rPr>
        <sz val="10"/>
        <rFont val="Noto Sans CJK SC"/>
        <family val="2"/>
      </rPr>
      <t xml:space="preserve">を </t>
    </r>
    <r>
      <rPr>
        <sz val="10"/>
        <rFont val="Arial"/>
        <family val="0"/>
        <charset val="1"/>
      </rPr>
      <t xml:space="preserve">hoặc </t>
    </r>
    <r>
      <rPr>
        <sz val="10"/>
        <rFont val="Noto Sans CJK SC"/>
        <family val="2"/>
      </rPr>
      <t xml:space="preserve">が</t>
    </r>
    <r>
      <rPr>
        <sz val="10"/>
        <rFont val="Arial"/>
        <family val="0"/>
        <charset val="1"/>
      </rPr>
      <t xml:space="preserve">.</t>
    </r>
  </si>
  <si>
    <t xml:space="preserve">日本へ 行きたいです。</t>
  </si>
  <si>
    <t xml:space="preserve">Tôi muốn đi Nhật.</t>
  </si>
  <si>
    <r>
      <rPr>
        <b val="true"/>
        <sz val="12"/>
        <rFont val="Noto Sans CJK SC"/>
        <family val="2"/>
      </rPr>
      <t xml:space="preserve">場所 へ </t>
    </r>
    <r>
      <rPr>
        <b val="true"/>
        <sz val="12"/>
        <rFont val="Arial"/>
        <family val="0"/>
        <charset val="1"/>
      </rPr>
      <t xml:space="preserve">V </t>
    </r>
    <r>
      <rPr>
        <b val="true"/>
        <sz val="12"/>
        <rFont val="Noto Sans CJK SC"/>
        <family val="2"/>
      </rPr>
      <t xml:space="preserve">ます</t>
    </r>
    <r>
      <rPr>
        <b val="true"/>
        <sz val="12"/>
        <rFont val="Arial"/>
        <family val="0"/>
        <charset val="1"/>
      </rPr>
      <t xml:space="preserve">-stem </t>
    </r>
    <r>
      <rPr>
        <b val="true"/>
        <sz val="12"/>
        <rFont val="Noto Sans CJK SC"/>
        <family val="2"/>
      </rPr>
      <t xml:space="preserve">に 行きます </t>
    </r>
    <r>
      <rPr>
        <b val="true"/>
        <sz val="12"/>
        <rFont val="Arial"/>
        <family val="0"/>
        <charset val="1"/>
      </rPr>
      <t xml:space="preserve">/ </t>
    </r>
    <r>
      <rPr>
        <b val="true"/>
        <sz val="12"/>
        <rFont val="Noto Sans CJK SC"/>
        <family val="2"/>
      </rPr>
      <t xml:space="preserve">来ます </t>
    </r>
    <r>
      <rPr>
        <b val="true"/>
        <sz val="12"/>
        <rFont val="Arial"/>
        <family val="0"/>
        <charset val="1"/>
      </rPr>
      <t xml:space="preserve">/ </t>
    </r>
    <r>
      <rPr>
        <b val="true"/>
        <sz val="12"/>
        <rFont val="Noto Sans CJK SC"/>
        <family val="2"/>
      </rPr>
      <t xml:space="preserve">帰ります</t>
    </r>
  </si>
  <si>
    <t xml:space="preserve">Đi/đến/về nơi nào ĐỂ làm gì.</t>
  </si>
  <si>
    <t xml:space="preserve">デパートへ 買い物に 行きます。</t>
  </si>
  <si>
    <t xml:space="preserve">Tôi đi siêu thị để mua sắm.</t>
  </si>
  <si>
    <r>
      <rPr>
        <b val="true"/>
        <sz val="12"/>
        <rFont val="Arial"/>
        <family val="0"/>
        <charset val="1"/>
      </rPr>
      <t xml:space="preserve">N (danh động từ) </t>
    </r>
    <r>
      <rPr>
        <b val="true"/>
        <sz val="12"/>
        <rFont val="Noto Sans CJK SC"/>
        <family val="2"/>
      </rPr>
      <t xml:space="preserve">に 行きます</t>
    </r>
  </si>
  <si>
    <t xml:space="preserve">Đi để làm việc gì đó (với danh từ hành động).</t>
  </si>
  <si>
    <t xml:space="preserve">日本へ 勉強に 来ました。</t>
  </si>
  <si>
    <t xml:space="preserve">Tôi đến Nhật để học.</t>
  </si>
  <si>
    <r>
      <rPr>
        <b val="true"/>
        <sz val="12"/>
        <color rgb="FFFFFFFF"/>
        <rFont val="Arial"/>
        <family val="0"/>
        <charset val="1"/>
      </rPr>
      <t xml:space="preserve">▌ BÀI 14  ·  Thể </t>
    </r>
    <r>
      <rPr>
        <b val="true"/>
        <sz val="12"/>
        <color rgb="FFFFFFFF"/>
        <rFont val="Noto Sans CJK SC"/>
        <family val="2"/>
      </rPr>
      <t xml:space="preserve">て </t>
    </r>
    <r>
      <rPr>
        <b val="true"/>
        <sz val="12"/>
        <color rgb="FFFFFFFF"/>
        <rFont val="Arial"/>
        <family val="0"/>
        <charset val="1"/>
      </rPr>
      <t xml:space="preserve">&amp; Yêu cầu</t>
    </r>
  </si>
  <si>
    <r>
      <rPr>
        <b val="true"/>
        <sz val="12"/>
        <rFont val="Arial"/>
        <family val="0"/>
        <charset val="1"/>
      </rPr>
      <t xml:space="preserve">Cách chia thể </t>
    </r>
    <r>
      <rPr>
        <b val="true"/>
        <sz val="12"/>
        <rFont val="Noto Sans CJK SC"/>
        <family val="2"/>
      </rPr>
      <t xml:space="preserve">て</t>
    </r>
  </si>
  <si>
    <r>
      <rPr>
        <sz val="10"/>
        <rFont val="Arial"/>
        <family val="0"/>
        <charset val="1"/>
      </rPr>
      <t xml:space="preserve">Nhóm I: </t>
    </r>
    <r>
      <rPr>
        <sz val="10"/>
        <rFont val="Noto Sans CJK SC"/>
        <family val="2"/>
      </rPr>
      <t xml:space="preserve">き→いて</t>
    </r>
    <r>
      <rPr>
        <sz val="10"/>
        <rFont val="Arial"/>
        <family val="0"/>
        <charset val="1"/>
      </rPr>
      <t xml:space="preserve">, </t>
    </r>
    <r>
      <rPr>
        <sz val="10"/>
        <rFont val="Noto Sans CJK SC"/>
        <family val="2"/>
      </rPr>
      <t xml:space="preserve">ぎ→いで</t>
    </r>
    <r>
      <rPr>
        <sz val="10"/>
        <rFont val="Arial"/>
        <family val="0"/>
        <charset val="1"/>
      </rPr>
      <t xml:space="preserve">, </t>
    </r>
    <r>
      <rPr>
        <sz val="10"/>
        <rFont val="Noto Sans CJK SC"/>
        <family val="2"/>
      </rPr>
      <t xml:space="preserve">み</t>
    </r>
    <r>
      <rPr>
        <sz val="10"/>
        <rFont val="Arial"/>
        <family val="0"/>
        <charset val="1"/>
      </rPr>
      <t xml:space="preserve">/</t>
    </r>
    <r>
      <rPr>
        <sz val="10"/>
        <rFont val="Noto Sans CJK SC"/>
        <family val="2"/>
      </rPr>
      <t xml:space="preserve">び</t>
    </r>
    <r>
      <rPr>
        <sz val="10"/>
        <rFont val="Arial"/>
        <family val="0"/>
        <charset val="1"/>
      </rPr>
      <t xml:space="preserve">/</t>
    </r>
    <r>
      <rPr>
        <sz val="10"/>
        <rFont val="Noto Sans CJK SC"/>
        <family val="2"/>
      </rPr>
      <t xml:space="preserve">に→んで</t>
    </r>
    <r>
      <rPr>
        <sz val="10"/>
        <rFont val="Arial"/>
        <family val="0"/>
        <charset val="1"/>
      </rPr>
      <t xml:space="preserve">, </t>
    </r>
    <r>
      <rPr>
        <sz val="10"/>
        <rFont val="Noto Sans CJK SC"/>
        <family val="2"/>
      </rPr>
      <t xml:space="preserve">ち</t>
    </r>
    <r>
      <rPr>
        <sz val="10"/>
        <rFont val="Arial"/>
        <family val="0"/>
        <charset val="1"/>
      </rPr>
      <t xml:space="preserve">/</t>
    </r>
    <r>
      <rPr>
        <sz val="10"/>
        <rFont val="Noto Sans CJK SC"/>
        <family val="2"/>
      </rPr>
      <t xml:space="preserve">り</t>
    </r>
    <r>
      <rPr>
        <sz val="10"/>
        <rFont val="Arial"/>
        <family val="0"/>
        <charset val="1"/>
      </rPr>
      <t xml:space="preserve">/</t>
    </r>
    <r>
      <rPr>
        <sz val="10"/>
        <rFont val="Noto Sans CJK SC"/>
        <family val="2"/>
      </rPr>
      <t xml:space="preserve">い→って</t>
    </r>
    <r>
      <rPr>
        <sz val="10"/>
        <rFont val="Arial"/>
        <family val="0"/>
        <charset val="1"/>
      </rPr>
      <t xml:space="preserve">, </t>
    </r>
    <r>
      <rPr>
        <sz val="10"/>
        <rFont val="Noto Sans CJK SC"/>
        <family val="2"/>
      </rPr>
      <t xml:space="preserve">し→して </t>
    </r>
    <r>
      <rPr>
        <sz val="10"/>
        <rFont val="Arial"/>
        <family val="0"/>
        <charset val="1"/>
      </rPr>
      <t xml:space="preserve">(</t>
    </r>
    <r>
      <rPr>
        <sz val="10"/>
        <rFont val="Noto Sans CJK SC"/>
        <family val="2"/>
      </rPr>
      <t xml:space="preserve">行きます→行って </t>
    </r>
    <r>
      <rPr>
        <sz val="10"/>
        <rFont val="Arial"/>
        <family val="0"/>
        <charset val="1"/>
      </rPr>
      <t xml:space="preserve">là ngoại lệ). Nhóm II: bỏ </t>
    </r>
    <r>
      <rPr>
        <sz val="10"/>
        <rFont val="Noto Sans CJK SC"/>
        <family val="2"/>
      </rPr>
      <t xml:space="preserve">ます </t>
    </r>
    <r>
      <rPr>
        <sz val="10"/>
        <rFont val="Arial"/>
        <family val="0"/>
        <charset val="1"/>
      </rPr>
      <t xml:space="preserve">thêm </t>
    </r>
    <r>
      <rPr>
        <sz val="10"/>
        <rFont val="Noto Sans CJK SC"/>
        <family val="2"/>
      </rPr>
      <t xml:space="preserve">て</t>
    </r>
    <r>
      <rPr>
        <sz val="10"/>
        <rFont val="Arial"/>
        <family val="0"/>
        <charset val="1"/>
      </rPr>
      <t xml:space="preserve">. Nhóm III: </t>
    </r>
    <r>
      <rPr>
        <sz val="10"/>
        <rFont val="Noto Sans CJK SC"/>
        <family val="2"/>
      </rPr>
      <t xml:space="preserve">します→して</t>
    </r>
    <r>
      <rPr>
        <sz val="10"/>
        <rFont val="Arial"/>
        <family val="0"/>
        <charset val="1"/>
      </rPr>
      <t xml:space="preserve">, </t>
    </r>
    <r>
      <rPr>
        <sz val="10"/>
        <rFont val="Noto Sans CJK SC"/>
        <family val="2"/>
      </rPr>
      <t xml:space="preserve">来ます→来て</t>
    </r>
    <r>
      <rPr>
        <sz val="10"/>
        <rFont val="Arial"/>
        <family val="0"/>
        <charset val="1"/>
      </rPr>
      <t xml:space="preserve">.</t>
    </r>
  </si>
  <si>
    <r>
      <rPr>
        <sz val="12"/>
        <rFont val="Noto Sans CJK SC"/>
        <family val="2"/>
      </rPr>
      <t xml:space="preserve">書きます → 書いて </t>
    </r>
    <r>
      <rPr>
        <sz val="12"/>
        <rFont val="Arial"/>
        <family val="0"/>
        <charset val="1"/>
      </rPr>
      <t xml:space="preserve">/ </t>
    </r>
    <r>
      <rPr>
        <sz val="12"/>
        <rFont val="Noto Sans CJK SC"/>
        <family val="2"/>
      </rPr>
      <t xml:space="preserve">飲みます → 飲んで</t>
    </r>
  </si>
  <si>
    <t xml:space="preserve">viết → viết rồi / uống → uống rồi</t>
  </si>
  <si>
    <r>
      <rPr>
        <b val="true"/>
        <sz val="12"/>
        <rFont val="Arial"/>
        <family val="0"/>
        <charset val="1"/>
      </rPr>
      <t xml:space="preserve">V </t>
    </r>
    <r>
      <rPr>
        <b val="true"/>
        <sz val="12"/>
        <rFont val="Noto Sans CJK SC"/>
        <family val="2"/>
      </rPr>
      <t xml:space="preserve">て ください</t>
    </r>
  </si>
  <si>
    <t xml:space="preserve">Xin hãy làm ~. Lời nhờ vả hoặc chỉ dẫn.</t>
  </si>
  <si>
    <t xml:space="preserve">ちょっと 待って ください。</t>
  </si>
  <si>
    <t xml:space="preserve">Xin hãy đợi một chút.</t>
  </si>
  <si>
    <r>
      <rPr>
        <b val="true"/>
        <sz val="12"/>
        <rFont val="Arial"/>
        <family val="0"/>
        <charset val="1"/>
      </rPr>
      <t xml:space="preserve">V </t>
    </r>
    <r>
      <rPr>
        <b val="true"/>
        <sz val="12"/>
        <rFont val="Noto Sans CJK SC"/>
        <family val="2"/>
      </rPr>
      <t xml:space="preserve">て います</t>
    </r>
  </si>
  <si>
    <t xml:space="preserve">Đang làm ~ (hành động đang diễn ra).</t>
  </si>
  <si>
    <t xml:space="preserve">今 雨が 降って います。</t>
  </si>
  <si>
    <t xml:space="preserve">Bây giờ trời đang mưa.</t>
  </si>
  <si>
    <r>
      <rPr>
        <b val="true"/>
        <sz val="12"/>
        <rFont val="Arial"/>
        <family val="0"/>
        <charset val="1"/>
      </rPr>
      <t xml:space="preserve">V </t>
    </r>
    <r>
      <rPr>
        <b val="true"/>
        <sz val="12"/>
        <rFont val="Noto Sans CJK SC"/>
        <family val="2"/>
      </rPr>
      <t xml:space="preserve">ましょうか</t>
    </r>
  </si>
  <si>
    <t xml:space="preserve">Để tôi ~ nhé? Đề nghị giúp đỡ.</t>
  </si>
  <si>
    <t xml:space="preserve">荷物を 持ちましょうか。</t>
  </si>
  <si>
    <t xml:space="preserve">Để tôi xách hành lý cho nhé?</t>
  </si>
  <si>
    <t xml:space="preserve">▌ BÀI 15  ·  Cho phép &amp; Cấm đoán</t>
  </si>
  <si>
    <r>
      <rPr>
        <b val="true"/>
        <sz val="12"/>
        <rFont val="Arial"/>
        <family val="0"/>
        <charset val="1"/>
      </rPr>
      <t xml:space="preserve">V </t>
    </r>
    <r>
      <rPr>
        <b val="true"/>
        <sz val="12"/>
        <rFont val="Noto Sans CJK SC"/>
        <family val="2"/>
      </rPr>
      <t xml:space="preserve">て も いいです</t>
    </r>
  </si>
  <si>
    <t xml:space="preserve">Được phép làm ~.</t>
  </si>
  <si>
    <t xml:space="preserve">写真を 撮っても いいですか。</t>
  </si>
  <si>
    <t xml:space="preserve">Tôi chụp ảnh có được không?</t>
  </si>
  <si>
    <r>
      <rPr>
        <b val="true"/>
        <sz val="12"/>
        <rFont val="Arial"/>
        <family val="0"/>
        <charset val="1"/>
      </rPr>
      <t xml:space="preserve">V </t>
    </r>
    <r>
      <rPr>
        <b val="true"/>
        <sz val="12"/>
        <rFont val="Noto Sans CJK SC"/>
        <family val="2"/>
      </rPr>
      <t xml:space="preserve">て は いけません</t>
    </r>
  </si>
  <si>
    <t xml:space="preserve">Không được làm ~ (cấm đoán).</t>
  </si>
  <si>
    <t xml:space="preserve">ここで たばこを 吸っては いけません。</t>
  </si>
  <si>
    <t xml:space="preserve">Không được hút thuốc ở đây.</t>
  </si>
  <si>
    <r>
      <rPr>
        <b val="true"/>
        <sz val="12"/>
        <rFont val="Arial"/>
        <family val="0"/>
        <charset val="1"/>
      </rPr>
      <t xml:space="preserve">V </t>
    </r>
    <r>
      <rPr>
        <b val="true"/>
        <sz val="12"/>
        <rFont val="Noto Sans CJK SC"/>
        <family val="2"/>
      </rPr>
      <t xml:space="preserve">て います </t>
    </r>
    <r>
      <rPr>
        <b val="true"/>
        <sz val="12"/>
        <rFont val="Arial"/>
        <family val="0"/>
        <charset val="1"/>
      </rPr>
      <t xml:space="preserve">(trạng thái)</t>
    </r>
  </si>
  <si>
    <t xml:space="preserve">Diễn tả trạng thái kéo dài, nghề nghiệp, thói quen.</t>
  </si>
  <si>
    <t xml:space="preserve">わたしは 銀行で 働いて います。</t>
  </si>
  <si>
    <t xml:space="preserve">Tôi đang làm việc tại ngân hàng.</t>
  </si>
  <si>
    <r>
      <rPr>
        <b val="true"/>
        <sz val="12"/>
        <rFont val="Noto Sans CJK SC"/>
        <family val="2"/>
      </rPr>
      <t xml:space="preserve">〜を 知って います </t>
    </r>
    <r>
      <rPr>
        <b val="true"/>
        <sz val="12"/>
        <rFont val="Arial"/>
        <family val="0"/>
        <charset val="1"/>
      </rPr>
      <t xml:space="preserve">/ </t>
    </r>
    <r>
      <rPr>
        <b val="true"/>
        <sz val="12"/>
        <rFont val="Noto Sans CJK SC"/>
        <family val="2"/>
      </rPr>
      <t xml:space="preserve">知りません</t>
    </r>
  </si>
  <si>
    <r>
      <rPr>
        <sz val="10"/>
        <rFont val="Arial"/>
        <family val="0"/>
        <charset val="1"/>
      </rPr>
      <t xml:space="preserve">Biết / không biết. Chú ý: phủ định KHÔNG phải </t>
    </r>
    <r>
      <rPr>
        <sz val="10"/>
        <rFont val="Noto Sans CJK SC"/>
        <family val="2"/>
      </rPr>
      <t xml:space="preserve">知って いません</t>
    </r>
    <r>
      <rPr>
        <sz val="10"/>
        <rFont val="Arial"/>
        <family val="0"/>
        <charset val="1"/>
      </rPr>
      <t xml:space="preserve">.</t>
    </r>
  </si>
  <si>
    <t xml:space="preserve">田中さんの 電話番号を 知って いますか。</t>
  </si>
  <si>
    <t xml:space="preserve">Bạn có biết số điện thoại của anh Tanaka không?</t>
  </si>
  <si>
    <r>
      <rPr>
        <b val="true"/>
        <sz val="12"/>
        <color rgb="FFFFFFFF"/>
        <rFont val="Arial"/>
        <family val="0"/>
        <charset val="1"/>
      </rPr>
      <t xml:space="preserve">▌ BÀI 16  ·  Nối câu bằng thể </t>
    </r>
    <r>
      <rPr>
        <b val="true"/>
        <sz val="12"/>
        <color rgb="FFFFFFFF"/>
        <rFont val="Noto Sans CJK SC"/>
        <family val="2"/>
      </rPr>
      <t xml:space="preserve">て</t>
    </r>
  </si>
  <si>
    <r>
      <rPr>
        <b val="true"/>
        <sz val="12"/>
        <rFont val="Arial"/>
        <family val="0"/>
        <charset val="1"/>
      </rPr>
      <t xml:space="preserve">V1 </t>
    </r>
    <r>
      <rPr>
        <b val="true"/>
        <sz val="12"/>
        <rFont val="Noto Sans CJK SC"/>
        <family val="2"/>
      </rPr>
      <t xml:space="preserve">て、</t>
    </r>
    <r>
      <rPr>
        <b val="true"/>
        <sz val="12"/>
        <rFont val="Arial"/>
        <family val="0"/>
        <charset val="1"/>
      </rPr>
      <t xml:space="preserve">V2 </t>
    </r>
    <r>
      <rPr>
        <b val="true"/>
        <sz val="12"/>
        <rFont val="Noto Sans CJK SC"/>
        <family val="2"/>
      </rPr>
      <t xml:space="preserve">て、</t>
    </r>
    <r>
      <rPr>
        <b val="true"/>
        <sz val="12"/>
        <rFont val="Arial"/>
        <family val="0"/>
        <charset val="1"/>
      </rPr>
      <t xml:space="preserve">V3</t>
    </r>
  </si>
  <si>
    <t xml:space="preserve">Làm V1 rồi V2 rồi V3 — nối các hành động theo trình tự thời gian.</t>
  </si>
  <si>
    <t xml:space="preserve">朝 起きて、シャワーを 浴びて、会社へ 行きます。</t>
  </si>
  <si>
    <t xml:space="preserve">Sáng dậy, tắm rồi đi làm.</t>
  </si>
  <si>
    <r>
      <rPr>
        <b val="true"/>
        <sz val="12"/>
        <rFont val="Arial"/>
        <family val="0"/>
        <charset val="1"/>
      </rPr>
      <t xml:space="preserve">V1 </t>
    </r>
    <r>
      <rPr>
        <b val="true"/>
        <sz val="12"/>
        <rFont val="Noto Sans CJK SC"/>
        <family val="2"/>
      </rPr>
      <t xml:space="preserve">て から、</t>
    </r>
    <r>
      <rPr>
        <b val="true"/>
        <sz val="12"/>
        <rFont val="Arial"/>
        <family val="0"/>
        <charset val="1"/>
      </rPr>
      <t xml:space="preserve">V2</t>
    </r>
  </si>
  <si>
    <t xml:space="preserve">Sau khi làm V1 thì làm V2. Nhấn mạnh thứ tự.</t>
  </si>
  <si>
    <t xml:space="preserve">宿題を してから、遊びます。</t>
  </si>
  <si>
    <t xml:space="preserve">Sau khi làm bài tập xong thì tôi chơi.</t>
  </si>
  <si>
    <r>
      <rPr>
        <b val="true"/>
        <sz val="12"/>
        <rFont val="Arial"/>
        <family val="0"/>
        <charset val="1"/>
      </rPr>
      <t xml:space="preserve">N </t>
    </r>
    <r>
      <rPr>
        <b val="true"/>
        <sz val="12"/>
        <rFont val="Noto Sans CJK SC"/>
        <family val="2"/>
      </rPr>
      <t xml:space="preserve">は </t>
    </r>
    <r>
      <rPr>
        <b val="true"/>
        <sz val="12"/>
        <rFont val="Arial"/>
        <family val="0"/>
        <charset val="1"/>
      </rPr>
      <t xml:space="preserve">N </t>
    </r>
    <r>
      <rPr>
        <b val="true"/>
        <sz val="12"/>
        <rFont val="Noto Sans CJK SC"/>
        <family val="2"/>
      </rPr>
      <t xml:space="preserve">が </t>
    </r>
    <r>
      <rPr>
        <b val="true"/>
        <sz val="12"/>
        <rFont val="Arial"/>
        <family val="0"/>
        <charset val="1"/>
      </rPr>
      <t xml:space="preserve">Adj </t>
    </r>
    <r>
      <rPr>
        <b val="true"/>
        <sz val="12"/>
        <rFont val="Noto Sans CJK SC"/>
        <family val="2"/>
      </rPr>
      <t xml:space="preserve">です</t>
    </r>
  </si>
  <si>
    <t xml:space="preserve">Chủ đề N có đặc điểm gì đó. Câu hai tầng chủ ngữ.</t>
  </si>
  <si>
    <t xml:space="preserve">東京は 人が 多いです。</t>
  </si>
  <si>
    <t xml:space="preserve">Tokyo thì đông người.</t>
  </si>
  <si>
    <r>
      <rPr>
        <b val="true"/>
        <sz val="12"/>
        <rFont val="Arial"/>
        <family val="0"/>
        <charset val="1"/>
      </rPr>
      <t xml:space="preserve">Adj </t>
    </r>
    <r>
      <rPr>
        <b val="true"/>
        <sz val="12"/>
        <rFont val="Noto Sans CJK SC"/>
        <family val="2"/>
      </rPr>
      <t xml:space="preserve">て </t>
    </r>
    <r>
      <rPr>
        <b val="true"/>
        <sz val="12"/>
        <rFont val="Arial"/>
        <family val="0"/>
        <charset val="1"/>
      </rPr>
      <t xml:space="preserve">/ </t>
    </r>
    <r>
      <rPr>
        <b val="true"/>
        <sz val="12"/>
        <rFont val="Noto Sans CJK SC"/>
        <family val="2"/>
      </rPr>
      <t xml:space="preserve">で </t>
    </r>
    <r>
      <rPr>
        <b val="true"/>
        <sz val="12"/>
        <rFont val="Arial"/>
        <family val="0"/>
        <charset val="1"/>
      </rPr>
      <t xml:space="preserve">(nối tính từ)</t>
    </r>
  </si>
  <si>
    <r>
      <rPr>
        <sz val="10"/>
        <rFont val="Noto Sans CJK SC"/>
        <family val="2"/>
      </rPr>
      <t xml:space="preserve">い</t>
    </r>
    <r>
      <rPr>
        <sz val="10"/>
        <rFont val="Arial"/>
        <family val="0"/>
        <charset val="1"/>
      </rPr>
      <t xml:space="preserve">-adj: bỏ </t>
    </r>
    <r>
      <rPr>
        <sz val="10"/>
        <rFont val="Noto Sans CJK SC"/>
        <family val="2"/>
      </rPr>
      <t xml:space="preserve">い </t>
    </r>
    <r>
      <rPr>
        <sz val="10"/>
        <rFont val="Arial"/>
        <family val="0"/>
        <charset val="1"/>
      </rPr>
      <t xml:space="preserve">thêm </t>
    </r>
    <r>
      <rPr>
        <sz val="10"/>
        <rFont val="Noto Sans CJK SC"/>
        <family val="2"/>
      </rPr>
      <t xml:space="preserve">くて</t>
    </r>
    <r>
      <rPr>
        <sz val="10"/>
        <rFont val="Arial"/>
        <family val="0"/>
        <charset val="1"/>
      </rPr>
      <t xml:space="preserve">. </t>
    </r>
    <r>
      <rPr>
        <sz val="10"/>
        <rFont val="Noto Sans CJK SC"/>
        <family val="2"/>
      </rPr>
      <t xml:space="preserve">な</t>
    </r>
    <r>
      <rPr>
        <sz val="10"/>
        <rFont val="Arial"/>
        <family val="0"/>
        <charset val="1"/>
      </rPr>
      <t xml:space="preserve">-adj và N: thêm </t>
    </r>
    <r>
      <rPr>
        <sz val="10"/>
        <rFont val="Noto Sans CJK SC"/>
        <family val="2"/>
      </rPr>
      <t xml:space="preserve">で</t>
    </r>
    <r>
      <rPr>
        <sz val="10"/>
        <rFont val="Arial"/>
        <family val="0"/>
        <charset val="1"/>
      </rPr>
      <t xml:space="preserve">.</t>
    </r>
  </si>
  <si>
    <t xml:space="preserve">この 部屋は 広くて、明るいです。</t>
  </si>
  <si>
    <t xml:space="preserve">Phòng này rộng và sáng.</t>
  </si>
  <si>
    <t xml:space="preserve">どうやって〜か</t>
  </si>
  <si>
    <t xml:space="preserve">Làm như thế nào? Hỏi cách thức, lộ trình.</t>
  </si>
  <si>
    <t xml:space="preserve">駅まで どうやって 行きますか。</t>
  </si>
  <si>
    <t xml:space="preserve">Đi đến ga bằng cách nào?</t>
  </si>
  <si>
    <r>
      <rPr>
        <b val="true"/>
        <sz val="12"/>
        <color rgb="FFFFFFFF"/>
        <rFont val="Arial"/>
        <family val="0"/>
        <charset val="1"/>
      </rPr>
      <t xml:space="preserve">▌ BÀI 17  ·  Thể </t>
    </r>
    <r>
      <rPr>
        <b val="true"/>
        <sz val="12"/>
        <color rgb="FFFFFFFF"/>
        <rFont val="Noto Sans CJK SC"/>
        <family val="2"/>
      </rPr>
      <t xml:space="preserve">ない — </t>
    </r>
    <r>
      <rPr>
        <b val="true"/>
        <sz val="12"/>
        <color rgb="FFFFFFFF"/>
        <rFont val="Arial"/>
        <family val="0"/>
        <charset val="1"/>
      </rPr>
      <t xml:space="preserve">Cấm, Bắt buộc, Không cần</t>
    </r>
  </si>
  <si>
    <r>
      <rPr>
        <b val="true"/>
        <sz val="12"/>
        <rFont val="Arial"/>
        <family val="0"/>
        <charset val="1"/>
      </rPr>
      <t xml:space="preserve">Cách chia thể </t>
    </r>
    <r>
      <rPr>
        <b val="true"/>
        <sz val="12"/>
        <rFont val="Noto Sans CJK SC"/>
        <family val="2"/>
      </rPr>
      <t xml:space="preserve">ない</t>
    </r>
  </si>
  <si>
    <r>
      <rPr>
        <sz val="10"/>
        <rFont val="Arial"/>
        <family val="0"/>
        <charset val="1"/>
      </rPr>
      <t xml:space="preserve">Nhóm I: đổi hàng </t>
    </r>
    <r>
      <rPr>
        <sz val="10"/>
        <rFont val="Noto Sans CJK SC"/>
        <family val="2"/>
      </rPr>
      <t xml:space="preserve">い </t>
    </r>
    <r>
      <rPr>
        <sz val="10"/>
        <rFont val="Arial"/>
        <family val="0"/>
        <charset val="1"/>
      </rPr>
      <t xml:space="preserve">sang hàng </t>
    </r>
    <r>
      <rPr>
        <sz val="10"/>
        <rFont val="Noto Sans CJK SC"/>
        <family val="2"/>
      </rPr>
      <t xml:space="preserve">あ </t>
    </r>
    <r>
      <rPr>
        <sz val="10"/>
        <rFont val="Arial"/>
        <family val="0"/>
        <charset val="1"/>
      </rPr>
      <t xml:space="preserve">+ </t>
    </r>
    <r>
      <rPr>
        <sz val="10"/>
        <rFont val="Noto Sans CJK SC"/>
        <family val="2"/>
      </rPr>
      <t xml:space="preserve">ない </t>
    </r>
    <r>
      <rPr>
        <sz val="10"/>
        <rFont val="Arial"/>
        <family val="0"/>
        <charset val="1"/>
      </rPr>
      <t xml:space="preserve">(</t>
    </r>
    <r>
      <rPr>
        <sz val="10"/>
        <rFont val="Noto Sans CJK SC"/>
        <family val="2"/>
      </rPr>
      <t xml:space="preserve">飲みます→飲まない</t>
    </r>
    <r>
      <rPr>
        <sz val="10"/>
        <rFont val="Arial"/>
        <family val="0"/>
        <charset val="1"/>
      </rPr>
      <t xml:space="preserve">). Nhóm II: bỏ </t>
    </r>
    <r>
      <rPr>
        <sz val="10"/>
        <rFont val="Noto Sans CJK SC"/>
        <family val="2"/>
      </rPr>
      <t xml:space="preserve">ます </t>
    </r>
    <r>
      <rPr>
        <sz val="10"/>
        <rFont val="Arial"/>
        <family val="0"/>
        <charset val="1"/>
      </rPr>
      <t xml:space="preserve">thêm </t>
    </r>
    <r>
      <rPr>
        <sz val="10"/>
        <rFont val="Noto Sans CJK SC"/>
        <family val="2"/>
      </rPr>
      <t xml:space="preserve">ない</t>
    </r>
    <r>
      <rPr>
        <sz val="10"/>
        <rFont val="Arial"/>
        <family val="0"/>
        <charset val="1"/>
      </rPr>
      <t xml:space="preserve">. Nhóm III: </t>
    </r>
    <r>
      <rPr>
        <sz val="10"/>
        <rFont val="Noto Sans CJK SC"/>
        <family val="2"/>
      </rPr>
      <t xml:space="preserve">します→しない</t>
    </r>
    <r>
      <rPr>
        <sz val="10"/>
        <rFont val="Arial"/>
        <family val="0"/>
        <charset val="1"/>
      </rPr>
      <t xml:space="preserve">, </t>
    </r>
    <r>
      <rPr>
        <sz val="10"/>
        <rFont val="Noto Sans CJK SC"/>
        <family val="2"/>
      </rPr>
      <t xml:space="preserve">来ます→来ない </t>
    </r>
    <r>
      <rPr>
        <sz val="10"/>
        <rFont val="Arial"/>
        <family val="0"/>
        <charset val="1"/>
      </rPr>
      <t xml:space="preserve">(</t>
    </r>
    <r>
      <rPr>
        <sz val="10"/>
        <rFont val="Noto Sans CJK SC"/>
        <family val="2"/>
      </rPr>
      <t xml:space="preserve">こない</t>
    </r>
    <r>
      <rPr>
        <sz val="10"/>
        <rFont val="Arial"/>
        <family val="0"/>
        <charset val="1"/>
      </rPr>
      <t xml:space="preserve">).</t>
    </r>
  </si>
  <si>
    <t xml:space="preserve">行きます → 行かない</t>
  </si>
  <si>
    <t xml:space="preserve">đi → không đi</t>
  </si>
  <si>
    <r>
      <rPr>
        <b val="true"/>
        <sz val="12"/>
        <rFont val="Arial"/>
        <family val="0"/>
        <charset val="1"/>
      </rPr>
      <t xml:space="preserve">V </t>
    </r>
    <r>
      <rPr>
        <b val="true"/>
        <sz val="12"/>
        <rFont val="Noto Sans CJK SC"/>
        <family val="2"/>
      </rPr>
      <t xml:space="preserve">ない で ください</t>
    </r>
  </si>
  <si>
    <t xml:space="preserve">Xin đừng làm ~.</t>
  </si>
  <si>
    <t xml:space="preserve">ここに 車を 止めないで ください。</t>
  </si>
  <si>
    <t xml:space="preserve">Xin đừng đỗ xe ở đây.</t>
  </si>
  <si>
    <r>
      <rPr>
        <b val="true"/>
        <sz val="12"/>
        <rFont val="Arial"/>
        <family val="0"/>
        <charset val="1"/>
      </rPr>
      <t xml:space="preserve">V </t>
    </r>
    <r>
      <rPr>
        <b val="true"/>
        <sz val="12"/>
        <rFont val="Noto Sans CJK SC"/>
        <family val="2"/>
      </rPr>
      <t xml:space="preserve">なければ なりません</t>
    </r>
  </si>
  <si>
    <r>
      <rPr>
        <sz val="10"/>
        <rFont val="Arial"/>
        <family val="0"/>
        <charset val="1"/>
      </rPr>
      <t xml:space="preserve">Phải làm ~ (bắt buộc). Bỏ </t>
    </r>
    <r>
      <rPr>
        <sz val="10"/>
        <rFont val="Noto Sans CJK SC"/>
        <family val="2"/>
      </rPr>
      <t xml:space="preserve">ない </t>
    </r>
    <r>
      <rPr>
        <sz val="10"/>
        <rFont val="Arial"/>
        <family val="0"/>
        <charset val="1"/>
      </rPr>
      <t xml:space="preserve">thêm </t>
    </r>
    <r>
      <rPr>
        <sz val="10"/>
        <rFont val="Noto Sans CJK SC"/>
        <family val="2"/>
      </rPr>
      <t xml:space="preserve">ければ なりません</t>
    </r>
    <r>
      <rPr>
        <sz val="10"/>
        <rFont val="Arial"/>
        <family val="0"/>
        <charset val="1"/>
      </rPr>
      <t xml:space="preserve">.</t>
    </r>
  </si>
  <si>
    <t xml:space="preserve">毎日 薬を 飲まなければ なりません。</t>
  </si>
  <si>
    <t xml:space="preserve">Tôi phải uống thuốc mỗi ngày.</t>
  </si>
  <si>
    <r>
      <rPr>
        <b val="true"/>
        <sz val="12"/>
        <rFont val="Arial"/>
        <family val="0"/>
        <charset val="1"/>
      </rPr>
      <t xml:space="preserve">V </t>
    </r>
    <r>
      <rPr>
        <b val="true"/>
        <sz val="12"/>
        <rFont val="Noto Sans CJK SC"/>
        <family val="2"/>
      </rPr>
      <t xml:space="preserve">なくても いいです</t>
    </r>
  </si>
  <si>
    <t xml:space="preserve">Không cần phải làm ~.</t>
  </si>
  <si>
    <t xml:space="preserve">あした 来なくても いいです。</t>
  </si>
  <si>
    <t xml:space="preserve">Ngày mai bạn không cần đến cũng được.</t>
  </si>
  <si>
    <r>
      <rPr>
        <b val="true"/>
        <sz val="12"/>
        <rFont val="Noto Sans CJK SC"/>
        <family val="2"/>
      </rPr>
      <t xml:space="preserve">時 まで に </t>
    </r>
    <r>
      <rPr>
        <b val="true"/>
        <sz val="12"/>
        <rFont val="Arial"/>
        <family val="0"/>
        <charset val="1"/>
      </rPr>
      <t xml:space="preserve">V</t>
    </r>
  </si>
  <si>
    <t xml:space="preserve">Phải làm gì trước thời hạn nào.</t>
  </si>
  <si>
    <r>
      <rPr>
        <sz val="12"/>
        <rFont val="Arial"/>
        <family val="0"/>
        <charset val="1"/>
      </rPr>
      <t xml:space="preserve">5</t>
    </r>
    <r>
      <rPr>
        <sz val="12"/>
        <rFont val="Noto Sans CJK SC"/>
        <family val="2"/>
      </rPr>
      <t xml:space="preserve">時までに 帰ります。</t>
    </r>
  </si>
  <si>
    <t xml:space="preserve">Tôi sẽ về trước 5 giờ.</t>
  </si>
  <si>
    <t xml:space="preserve">▌ BÀI 18  ·  Thể từ điển &amp; Khả năng</t>
  </si>
  <si>
    <r>
      <rPr>
        <b val="true"/>
        <sz val="12"/>
        <rFont val="Arial"/>
        <family val="0"/>
        <charset val="1"/>
      </rPr>
      <t xml:space="preserve">Thể từ điển (</t>
    </r>
    <r>
      <rPr>
        <b val="true"/>
        <sz val="12"/>
        <rFont val="Noto Sans CJK SC"/>
        <family val="2"/>
      </rPr>
      <t xml:space="preserve">辞書形</t>
    </r>
    <r>
      <rPr>
        <b val="true"/>
        <sz val="12"/>
        <rFont val="Arial"/>
        <family val="0"/>
        <charset val="1"/>
      </rPr>
      <t xml:space="preserve">)</t>
    </r>
  </si>
  <si>
    <r>
      <rPr>
        <sz val="10"/>
        <rFont val="Arial"/>
        <family val="0"/>
        <charset val="1"/>
      </rPr>
      <t xml:space="preserve">Nhóm I: đổi </t>
    </r>
    <r>
      <rPr>
        <sz val="10"/>
        <rFont val="Noto Sans CJK SC"/>
        <family val="2"/>
      </rPr>
      <t xml:space="preserve">ます</t>
    </r>
    <r>
      <rPr>
        <sz val="10"/>
        <rFont val="Arial"/>
        <family val="0"/>
        <charset val="1"/>
      </rPr>
      <t xml:space="preserve">-stem về hàng </t>
    </r>
    <r>
      <rPr>
        <sz val="10"/>
        <rFont val="Noto Sans CJK SC"/>
        <family val="2"/>
      </rPr>
      <t xml:space="preserve">う </t>
    </r>
    <r>
      <rPr>
        <sz val="10"/>
        <rFont val="Arial"/>
        <family val="0"/>
        <charset val="1"/>
      </rPr>
      <t xml:space="preserve">(</t>
    </r>
    <r>
      <rPr>
        <sz val="10"/>
        <rFont val="Noto Sans CJK SC"/>
        <family val="2"/>
      </rPr>
      <t xml:space="preserve">書きます→書く</t>
    </r>
    <r>
      <rPr>
        <sz val="10"/>
        <rFont val="Arial"/>
        <family val="0"/>
        <charset val="1"/>
      </rPr>
      <t xml:space="preserve">). Nhóm II: bỏ </t>
    </r>
    <r>
      <rPr>
        <sz val="10"/>
        <rFont val="Noto Sans CJK SC"/>
        <family val="2"/>
      </rPr>
      <t xml:space="preserve">ます </t>
    </r>
    <r>
      <rPr>
        <sz val="10"/>
        <rFont val="Arial"/>
        <family val="0"/>
        <charset val="1"/>
      </rPr>
      <t xml:space="preserve">thêm </t>
    </r>
    <r>
      <rPr>
        <sz val="10"/>
        <rFont val="Noto Sans CJK SC"/>
        <family val="2"/>
      </rPr>
      <t xml:space="preserve">る</t>
    </r>
    <r>
      <rPr>
        <sz val="10"/>
        <rFont val="Arial"/>
        <family val="0"/>
        <charset val="1"/>
      </rPr>
      <t xml:space="preserve">. Nhóm III: </t>
    </r>
    <r>
      <rPr>
        <sz val="10"/>
        <rFont val="Noto Sans CJK SC"/>
        <family val="2"/>
      </rPr>
      <t xml:space="preserve">します→する</t>
    </r>
    <r>
      <rPr>
        <sz val="10"/>
        <rFont val="Arial"/>
        <family val="0"/>
        <charset val="1"/>
      </rPr>
      <t xml:space="preserve">, </t>
    </r>
    <r>
      <rPr>
        <sz val="10"/>
        <rFont val="Noto Sans CJK SC"/>
        <family val="2"/>
      </rPr>
      <t xml:space="preserve">来ます→来る </t>
    </r>
    <r>
      <rPr>
        <sz val="10"/>
        <rFont val="Arial"/>
        <family val="0"/>
        <charset val="1"/>
      </rPr>
      <t xml:space="preserve">(</t>
    </r>
    <r>
      <rPr>
        <sz val="10"/>
        <rFont val="Noto Sans CJK SC"/>
        <family val="2"/>
      </rPr>
      <t xml:space="preserve">くる</t>
    </r>
    <r>
      <rPr>
        <sz val="10"/>
        <rFont val="Arial"/>
        <family val="0"/>
        <charset val="1"/>
      </rPr>
      <t xml:space="preserve">).</t>
    </r>
  </si>
  <si>
    <t xml:space="preserve">食べます → 食べる</t>
  </si>
  <si>
    <t xml:space="preserve">ăn (thể lịch sự) → ăn (thể từ điển)</t>
  </si>
  <si>
    <r>
      <rPr>
        <b val="true"/>
        <sz val="12"/>
        <rFont val="Arial"/>
        <family val="0"/>
        <charset val="1"/>
      </rPr>
      <t xml:space="preserve">N </t>
    </r>
    <r>
      <rPr>
        <b val="true"/>
        <sz val="12"/>
        <rFont val="Noto Sans CJK SC"/>
        <family val="2"/>
      </rPr>
      <t xml:space="preserve">が できます</t>
    </r>
  </si>
  <si>
    <t xml:space="preserve">Có thể / biết làm N.</t>
  </si>
  <si>
    <t xml:space="preserve">わたしは 日本語が できます。</t>
  </si>
  <si>
    <t xml:space="preserve">Tôi biết tiếng Nhật.</t>
  </si>
  <si>
    <r>
      <rPr>
        <b val="true"/>
        <sz val="12"/>
        <rFont val="Arial"/>
        <family val="0"/>
        <charset val="1"/>
      </rPr>
      <t xml:space="preserve">V </t>
    </r>
    <r>
      <rPr>
        <b val="true"/>
        <sz val="12"/>
        <rFont val="Noto Sans CJK SC"/>
        <family val="2"/>
      </rPr>
      <t xml:space="preserve">る こと が できます</t>
    </r>
  </si>
  <si>
    <t xml:space="preserve">Có thể làm ~.</t>
  </si>
  <si>
    <t xml:space="preserve">ピアノを 弾く ことが できます。</t>
  </si>
  <si>
    <t xml:space="preserve">Tôi có thể chơi piano.</t>
  </si>
  <si>
    <r>
      <rPr>
        <b val="true"/>
        <sz val="12"/>
        <rFont val="Noto Sans CJK SC"/>
        <family val="2"/>
      </rPr>
      <t xml:space="preserve">わたしの 趣味は </t>
    </r>
    <r>
      <rPr>
        <b val="true"/>
        <sz val="12"/>
        <rFont val="Arial"/>
        <family val="0"/>
        <charset val="1"/>
      </rPr>
      <t xml:space="preserve">V </t>
    </r>
    <r>
      <rPr>
        <b val="true"/>
        <sz val="12"/>
        <rFont val="Noto Sans CJK SC"/>
        <family val="2"/>
      </rPr>
      <t xml:space="preserve">る ことです</t>
    </r>
  </si>
  <si>
    <t xml:space="preserve">Sở thích của tôi là ~.</t>
  </si>
  <si>
    <t xml:space="preserve">わたしの 趣味は 本を 読む ことです。</t>
  </si>
  <si>
    <t xml:space="preserve">Sở thích của tôi là đọc sách.</t>
  </si>
  <si>
    <r>
      <rPr>
        <b val="true"/>
        <sz val="12"/>
        <rFont val="Arial"/>
        <family val="0"/>
        <charset val="1"/>
      </rPr>
      <t xml:space="preserve">V </t>
    </r>
    <r>
      <rPr>
        <b val="true"/>
        <sz val="12"/>
        <rFont val="Noto Sans CJK SC"/>
        <family val="2"/>
      </rPr>
      <t xml:space="preserve">る まえに </t>
    </r>
    <r>
      <rPr>
        <b val="true"/>
        <sz val="12"/>
        <rFont val="Arial"/>
        <family val="0"/>
        <charset val="1"/>
      </rPr>
      <t xml:space="preserve">/ N </t>
    </r>
    <r>
      <rPr>
        <b val="true"/>
        <sz val="12"/>
        <rFont val="Noto Sans CJK SC"/>
        <family val="2"/>
      </rPr>
      <t xml:space="preserve">の まえに </t>
    </r>
    <r>
      <rPr>
        <b val="true"/>
        <sz val="12"/>
        <rFont val="Arial"/>
        <family val="0"/>
        <charset val="1"/>
      </rPr>
      <t xml:space="preserve">/ </t>
    </r>
    <r>
      <rPr>
        <b val="true"/>
        <sz val="12"/>
        <rFont val="Noto Sans CJK SC"/>
        <family val="2"/>
      </rPr>
      <t xml:space="preserve">期間 まえに</t>
    </r>
  </si>
  <si>
    <r>
      <rPr>
        <sz val="10"/>
        <rFont val="Arial"/>
        <family val="0"/>
        <charset val="1"/>
      </rPr>
      <t xml:space="preserve">Trước khi ~. Trước danh từ dùng </t>
    </r>
    <r>
      <rPr>
        <sz val="10"/>
        <rFont val="Noto Sans CJK SC"/>
        <family val="2"/>
      </rPr>
      <t xml:space="preserve">の</t>
    </r>
    <r>
      <rPr>
        <sz val="10"/>
        <rFont val="Arial"/>
        <family val="0"/>
        <charset val="1"/>
      </rPr>
      <t xml:space="preserve">.</t>
    </r>
  </si>
  <si>
    <t xml:space="preserve">寝る まえに 歯を 磨きます。</t>
  </si>
  <si>
    <t xml:space="preserve">Trước khi ngủ tôi đánh răng.</t>
  </si>
  <si>
    <r>
      <rPr>
        <b val="true"/>
        <sz val="12"/>
        <color rgb="FFFFFFFF"/>
        <rFont val="Arial"/>
        <family val="0"/>
        <charset val="1"/>
      </rPr>
      <t xml:space="preserve">▌ BÀI 19  ·  Thể </t>
    </r>
    <r>
      <rPr>
        <b val="true"/>
        <sz val="12"/>
        <color rgb="FFFFFFFF"/>
        <rFont val="Noto Sans CJK SC"/>
        <family val="2"/>
      </rPr>
      <t xml:space="preserve">た — </t>
    </r>
    <r>
      <rPr>
        <b val="true"/>
        <sz val="12"/>
        <color rgb="FFFFFFFF"/>
        <rFont val="Arial"/>
        <family val="0"/>
        <charset val="1"/>
      </rPr>
      <t xml:space="preserve">Kinh nghiệm &amp; Liệt kê</t>
    </r>
  </si>
  <si>
    <r>
      <rPr>
        <b val="true"/>
        <sz val="12"/>
        <rFont val="Arial"/>
        <family val="0"/>
        <charset val="1"/>
      </rPr>
      <t xml:space="preserve">Thể </t>
    </r>
    <r>
      <rPr>
        <b val="true"/>
        <sz val="12"/>
        <rFont val="Noto Sans CJK SC"/>
        <family val="2"/>
      </rPr>
      <t xml:space="preserve">た </t>
    </r>
    <r>
      <rPr>
        <b val="true"/>
        <sz val="12"/>
        <rFont val="Arial"/>
        <family val="0"/>
        <charset val="1"/>
      </rPr>
      <t xml:space="preserve">(quá khứ thân mật)</t>
    </r>
  </si>
  <si>
    <r>
      <rPr>
        <sz val="10"/>
        <rFont val="Arial"/>
        <family val="0"/>
        <charset val="1"/>
      </rPr>
      <t xml:space="preserve">Chia giống thể </t>
    </r>
    <r>
      <rPr>
        <sz val="10"/>
        <rFont val="Noto Sans CJK SC"/>
        <family val="2"/>
      </rPr>
      <t xml:space="preserve">て</t>
    </r>
    <r>
      <rPr>
        <sz val="10"/>
        <rFont val="Arial"/>
        <family val="0"/>
        <charset val="1"/>
      </rPr>
      <t xml:space="preserve">, chỉ đổi </t>
    </r>
    <r>
      <rPr>
        <sz val="10"/>
        <rFont val="Noto Sans CJK SC"/>
        <family val="2"/>
      </rPr>
      <t xml:space="preserve">て→た</t>
    </r>
    <r>
      <rPr>
        <sz val="10"/>
        <rFont val="Arial"/>
        <family val="0"/>
        <charset val="1"/>
      </rPr>
      <t xml:space="preserve">, </t>
    </r>
    <r>
      <rPr>
        <sz val="10"/>
        <rFont val="Noto Sans CJK SC"/>
        <family val="2"/>
      </rPr>
      <t xml:space="preserve">で→だ</t>
    </r>
    <r>
      <rPr>
        <sz val="10"/>
        <rFont val="Arial"/>
        <family val="0"/>
        <charset val="1"/>
      </rPr>
      <t xml:space="preserve">.</t>
    </r>
  </si>
  <si>
    <t xml:space="preserve">行って → 行った</t>
  </si>
  <si>
    <t xml:space="preserve">đã đi</t>
  </si>
  <si>
    <r>
      <rPr>
        <b val="true"/>
        <sz val="12"/>
        <rFont val="Arial"/>
        <family val="0"/>
        <charset val="1"/>
      </rPr>
      <t xml:space="preserve">V </t>
    </r>
    <r>
      <rPr>
        <b val="true"/>
        <sz val="12"/>
        <rFont val="Noto Sans CJK SC"/>
        <family val="2"/>
      </rPr>
      <t xml:space="preserve">た こと が あります</t>
    </r>
  </si>
  <si>
    <t xml:space="preserve">Đã từng làm ~ (kinh nghiệm).</t>
  </si>
  <si>
    <t xml:space="preserve">日本へ 行った ことが あります。</t>
  </si>
  <si>
    <t xml:space="preserve">Tôi đã từng đi Nhật.</t>
  </si>
  <si>
    <r>
      <rPr>
        <b val="true"/>
        <sz val="12"/>
        <rFont val="Arial"/>
        <family val="0"/>
        <charset val="1"/>
      </rPr>
      <t xml:space="preserve">V </t>
    </r>
    <r>
      <rPr>
        <b val="true"/>
        <sz val="12"/>
        <rFont val="Noto Sans CJK SC"/>
        <family val="2"/>
      </rPr>
      <t xml:space="preserve">たり </t>
    </r>
    <r>
      <rPr>
        <b val="true"/>
        <sz val="12"/>
        <rFont val="Arial"/>
        <family val="0"/>
        <charset val="1"/>
      </rPr>
      <t xml:space="preserve">V </t>
    </r>
    <r>
      <rPr>
        <b val="true"/>
        <sz val="12"/>
        <rFont val="Noto Sans CJK SC"/>
        <family val="2"/>
      </rPr>
      <t xml:space="preserve">たり します</t>
    </r>
  </si>
  <si>
    <t xml:space="preserve">Khi thì làm ~, khi thì làm ~ (liệt kê không đầy đủ).</t>
  </si>
  <si>
    <t xml:space="preserve">日曜日は 本を 読んだり、映画を 見たり します。</t>
  </si>
  <si>
    <t xml:space="preserve">Chủ Nhật tôi đọc sách, xem phim...</t>
  </si>
  <si>
    <r>
      <rPr>
        <b val="true"/>
        <sz val="12"/>
        <rFont val="Arial"/>
        <family val="0"/>
        <charset val="1"/>
      </rPr>
      <t xml:space="preserve">Adj </t>
    </r>
    <r>
      <rPr>
        <b val="true"/>
        <sz val="12"/>
        <rFont val="Noto Sans CJK SC"/>
        <family val="2"/>
      </rPr>
      <t xml:space="preserve">く なります </t>
    </r>
    <r>
      <rPr>
        <b val="true"/>
        <sz val="12"/>
        <rFont val="Arial"/>
        <family val="0"/>
        <charset val="1"/>
      </rPr>
      <t xml:space="preserve">/ </t>
    </r>
    <r>
      <rPr>
        <b val="true"/>
        <sz val="12"/>
        <rFont val="Noto Sans CJK SC"/>
        <family val="2"/>
      </rPr>
      <t xml:space="preserve">に なります</t>
    </r>
  </si>
  <si>
    <r>
      <rPr>
        <sz val="10"/>
        <rFont val="Arial"/>
        <family val="0"/>
        <charset val="1"/>
      </rPr>
      <t xml:space="preserve">Trở nên ~. </t>
    </r>
    <r>
      <rPr>
        <sz val="10"/>
        <rFont val="Noto Sans CJK SC"/>
        <family val="2"/>
      </rPr>
      <t xml:space="preserve">い</t>
    </r>
    <r>
      <rPr>
        <sz val="10"/>
        <rFont val="Arial"/>
        <family val="0"/>
        <charset val="1"/>
      </rPr>
      <t xml:space="preserve">-adj: </t>
    </r>
    <r>
      <rPr>
        <sz val="10"/>
        <rFont val="Noto Sans CJK SC"/>
        <family val="2"/>
      </rPr>
      <t xml:space="preserve">〜く</t>
    </r>
    <r>
      <rPr>
        <sz val="10"/>
        <rFont val="Arial"/>
        <family val="0"/>
        <charset val="1"/>
      </rPr>
      <t xml:space="preserve">. </t>
    </r>
    <r>
      <rPr>
        <sz val="10"/>
        <rFont val="Noto Sans CJK SC"/>
        <family val="2"/>
      </rPr>
      <t xml:space="preserve">な</t>
    </r>
    <r>
      <rPr>
        <sz val="10"/>
        <rFont val="Arial"/>
        <family val="0"/>
        <charset val="1"/>
      </rPr>
      <t xml:space="preserve">-adj và N: </t>
    </r>
    <r>
      <rPr>
        <sz val="10"/>
        <rFont val="Noto Sans CJK SC"/>
        <family val="2"/>
      </rPr>
      <t xml:space="preserve">〜に</t>
    </r>
    <r>
      <rPr>
        <sz val="10"/>
        <rFont val="Arial"/>
        <family val="0"/>
        <charset val="1"/>
      </rPr>
      <t xml:space="preserve">.</t>
    </r>
  </si>
  <si>
    <t xml:space="preserve">寒く なりました。</t>
  </si>
  <si>
    <t xml:space="preserve">Trời đã trở lạnh.</t>
  </si>
  <si>
    <r>
      <rPr>
        <b val="true"/>
        <sz val="12"/>
        <color rgb="FFFFFFFF"/>
        <rFont val="Arial"/>
        <family val="0"/>
        <charset val="1"/>
      </rPr>
      <t xml:space="preserve">▌ BÀI 20  ·  Thể thông thường (</t>
    </r>
    <r>
      <rPr>
        <b val="true"/>
        <sz val="12"/>
        <color rgb="FFFFFFFF"/>
        <rFont val="Noto Sans CJK SC"/>
        <family val="2"/>
      </rPr>
      <t xml:space="preserve">普通形</t>
    </r>
    <r>
      <rPr>
        <b val="true"/>
        <sz val="12"/>
        <color rgb="FFFFFFFF"/>
        <rFont val="Arial"/>
        <family val="0"/>
        <charset val="1"/>
      </rPr>
      <t xml:space="preserve">)</t>
    </r>
  </si>
  <si>
    <t xml:space="preserve">Thể thông thường của động từ</t>
  </si>
  <si>
    <r>
      <rPr>
        <sz val="10"/>
        <rFont val="Noto Sans CJK SC"/>
        <family val="2"/>
      </rPr>
      <t xml:space="preserve">です・ます → </t>
    </r>
    <r>
      <rPr>
        <sz val="10"/>
        <rFont val="Arial"/>
        <family val="0"/>
        <charset val="1"/>
      </rPr>
      <t xml:space="preserve">thể từ điển / </t>
    </r>
    <r>
      <rPr>
        <sz val="10"/>
        <rFont val="Noto Sans CJK SC"/>
        <family val="2"/>
      </rPr>
      <t xml:space="preserve">ない </t>
    </r>
    <r>
      <rPr>
        <sz val="10"/>
        <rFont val="Arial"/>
        <family val="0"/>
        <charset val="1"/>
      </rPr>
      <t xml:space="preserve">/ </t>
    </r>
    <r>
      <rPr>
        <sz val="10"/>
        <rFont val="Noto Sans CJK SC"/>
        <family val="2"/>
      </rPr>
      <t xml:space="preserve">た </t>
    </r>
    <r>
      <rPr>
        <sz val="10"/>
        <rFont val="Arial"/>
        <family val="0"/>
        <charset val="1"/>
      </rPr>
      <t xml:space="preserve">/ </t>
    </r>
    <r>
      <rPr>
        <sz val="10"/>
        <rFont val="Noto Sans CJK SC"/>
        <family val="2"/>
      </rPr>
      <t xml:space="preserve">なかった</t>
    </r>
    <r>
      <rPr>
        <sz val="10"/>
        <rFont val="Arial"/>
        <family val="0"/>
        <charset val="1"/>
      </rPr>
      <t xml:space="preserve">. Dùng với bạn bè, người thân.</t>
    </r>
  </si>
  <si>
    <t xml:space="preserve">あした 東京へ 行く。</t>
  </si>
  <si>
    <t xml:space="preserve">Mai tớ đi Tokyo.</t>
  </si>
  <si>
    <t xml:space="preserve">Thể thông thường của tính từ và danh từ</t>
  </si>
  <si>
    <r>
      <rPr>
        <sz val="10"/>
        <rFont val="Noto Sans CJK SC"/>
        <family val="2"/>
      </rPr>
      <t xml:space="preserve">い</t>
    </r>
    <r>
      <rPr>
        <sz val="10"/>
        <rFont val="Arial"/>
        <family val="0"/>
        <charset val="1"/>
      </rPr>
      <t xml:space="preserve">-adj: </t>
    </r>
    <r>
      <rPr>
        <sz val="10"/>
        <rFont val="Noto Sans CJK SC"/>
        <family val="2"/>
      </rPr>
      <t xml:space="preserve">高い </t>
    </r>
    <r>
      <rPr>
        <sz val="10"/>
        <rFont val="Arial"/>
        <family val="0"/>
        <charset val="1"/>
      </rPr>
      <t xml:space="preserve">/ </t>
    </r>
    <r>
      <rPr>
        <sz val="10"/>
        <rFont val="Noto Sans CJK SC"/>
        <family val="2"/>
      </rPr>
      <t xml:space="preserve">高くない </t>
    </r>
    <r>
      <rPr>
        <sz val="10"/>
        <rFont val="Arial"/>
        <family val="0"/>
        <charset val="1"/>
      </rPr>
      <t xml:space="preserve">/ </t>
    </r>
    <r>
      <rPr>
        <sz val="10"/>
        <rFont val="Noto Sans CJK SC"/>
        <family val="2"/>
      </rPr>
      <t xml:space="preserve">高かった</t>
    </r>
    <r>
      <rPr>
        <sz val="10"/>
        <rFont val="Arial"/>
        <family val="0"/>
        <charset val="1"/>
      </rPr>
      <t xml:space="preserve">. </t>
    </r>
    <r>
      <rPr>
        <sz val="10"/>
        <rFont val="Noto Sans CJK SC"/>
        <family val="2"/>
      </rPr>
      <t xml:space="preserve">な</t>
    </r>
    <r>
      <rPr>
        <sz val="10"/>
        <rFont val="Arial"/>
        <family val="0"/>
        <charset val="1"/>
      </rPr>
      <t xml:space="preserve">-adj &amp; N: </t>
    </r>
    <r>
      <rPr>
        <sz val="10"/>
        <rFont val="Noto Sans CJK SC"/>
        <family val="2"/>
      </rPr>
      <t xml:space="preserve">静かだ </t>
    </r>
    <r>
      <rPr>
        <sz val="10"/>
        <rFont val="Arial"/>
        <family val="0"/>
        <charset val="1"/>
      </rPr>
      <t xml:space="preserve">/ </t>
    </r>
    <r>
      <rPr>
        <sz val="10"/>
        <rFont val="Noto Sans CJK SC"/>
        <family val="2"/>
      </rPr>
      <t xml:space="preserve">静かじゃない </t>
    </r>
    <r>
      <rPr>
        <sz val="10"/>
        <rFont val="Arial"/>
        <family val="0"/>
        <charset val="1"/>
      </rPr>
      <t xml:space="preserve">/ </t>
    </r>
    <r>
      <rPr>
        <sz val="10"/>
        <rFont val="Noto Sans CJK SC"/>
        <family val="2"/>
      </rPr>
      <t xml:space="preserve">静かだった</t>
    </r>
    <r>
      <rPr>
        <sz val="10"/>
        <rFont val="Arial"/>
        <family val="0"/>
        <charset val="1"/>
      </rPr>
      <t xml:space="preserve">.</t>
    </r>
  </si>
  <si>
    <t xml:space="preserve">この 店は 安い。</t>
  </si>
  <si>
    <t xml:space="preserve">Quán này rẻ.</t>
  </si>
  <si>
    <t xml:space="preserve">Câu hỏi thân mật</t>
  </si>
  <si>
    <r>
      <rPr>
        <sz val="10"/>
        <rFont val="Arial"/>
        <family val="0"/>
        <charset val="1"/>
      </rPr>
      <t xml:space="preserve">Bỏ </t>
    </r>
    <r>
      <rPr>
        <sz val="10"/>
        <rFont val="Noto Sans CJK SC"/>
        <family val="2"/>
      </rPr>
      <t xml:space="preserve">か</t>
    </r>
    <r>
      <rPr>
        <sz val="10"/>
        <rFont val="Arial"/>
        <family val="0"/>
        <charset val="1"/>
      </rPr>
      <t xml:space="preserve">, lên giọng cuối câu. Với </t>
    </r>
    <r>
      <rPr>
        <sz val="10"/>
        <rFont val="Noto Sans CJK SC"/>
        <family val="2"/>
      </rPr>
      <t xml:space="preserve">な</t>
    </r>
    <r>
      <rPr>
        <sz val="10"/>
        <rFont val="Arial"/>
        <family val="0"/>
        <charset val="1"/>
      </rPr>
      <t xml:space="preserve">-adj và N thì bỏ luôn </t>
    </r>
    <r>
      <rPr>
        <sz val="10"/>
        <rFont val="Noto Sans CJK SC"/>
        <family val="2"/>
      </rPr>
      <t xml:space="preserve">だ</t>
    </r>
    <r>
      <rPr>
        <sz val="10"/>
        <rFont val="Arial"/>
        <family val="0"/>
        <charset val="1"/>
      </rPr>
      <t xml:space="preserve">.</t>
    </r>
  </si>
  <si>
    <t xml:space="preserve">コーヒーを 飲む？</t>
  </si>
  <si>
    <t xml:space="preserve">Uống cà phê không?</t>
  </si>
  <si>
    <t xml:space="preserve">Lược bỏ trợ từ</t>
  </si>
  <si>
    <r>
      <rPr>
        <sz val="10"/>
        <rFont val="Arial"/>
        <family val="0"/>
        <charset val="1"/>
      </rPr>
      <t xml:space="preserve">Trong hội thoại thân mật, </t>
    </r>
    <r>
      <rPr>
        <sz val="10"/>
        <rFont val="Noto Sans CJK SC"/>
        <family val="2"/>
      </rPr>
      <t xml:space="preserve">は・が・を </t>
    </r>
    <r>
      <rPr>
        <sz val="10"/>
        <rFont val="Arial"/>
        <family val="0"/>
        <charset val="1"/>
      </rPr>
      <t xml:space="preserve">thường được lược bỏ.</t>
    </r>
  </si>
  <si>
    <t xml:space="preserve">ごはん、食べた？</t>
  </si>
  <si>
    <t xml:space="preserve">Ăn cơm chưa?</t>
  </si>
  <si>
    <r>
      <rPr>
        <b val="true"/>
        <sz val="12"/>
        <color rgb="FFFFFFFF"/>
        <rFont val="Arial"/>
        <family val="0"/>
        <charset val="1"/>
      </rPr>
      <t xml:space="preserve">▌ BÀI 21  ·  Ý kiến — </t>
    </r>
    <r>
      <rPr>
        <b val="true"/>
        <sz val="12"/>
        <color rgb="FFFFFFFF"/>
        <rFont val="Noto Sans CJK SC"/>
        <family val="2"/>
      </rPr>
      <t xml:space="preserve">と 思います </t>
    </r>
    <r>
      <rPr>
        <b val="true"/>
        <sz val="12"/>
        <color rgb="FFFFFFFF"/>
        <rFont val="Arial"/>
        <family val="0"/>
        <charset val="1"/>
      </rPr>
      <t xml:space="preserve">/ </t>
    </r>
    <r>
      <rPr>
        <b val="true"/>
        <sz val="12"/>
        <color rgb="FFFFFFFF"/>
        <rFont val="Noto Sans CJK SC"/>
        <family val="2"/>
      </rPr>
      <t xml:space="preserve">と 言います</t>
    </r>
  </si>
  <si>
    <t xml:space="preserve">普通形 と 思います</t>
  </si>
  <si>
    <r>
      <rPr>
        <sz val="10"/>
        <rFont val="Arial"/>
        <family val="0"/>
        <charset val="1"/>
      </rPr>
      <t xml:space="preserve">Tôi nghĩ rằng ~. Trước </t>
    </r>
    <r>
      <rPr>
        <sz val="10"/>
        <rFont val="Noto Sans CJK SC"/>
        <family val="2"/>
      </rPr>
      <t xml:space="preserve">思います </t>
    </r>
    <r>
      <rPr>
        <sz val="10"/>
        <rFont val="Arial"/>
        <family val="0"/>
        <charset val="1"/>
      </rPr>
      <t xml:space="preserve">luôn dùng thể thông thường.</t>
    </r>
  </si>
  <si>
    <t xml:space="preserve">田中さんは もう 帰ったと 思います。</t>
  </si>
  <si>
    <t xml:space="preserve">Tôi nghĩ anh Tanaka đã về rồi.</t>
  </si>
  <si>
    <t xml:space="preserve">普通形 と 言います</t>
  </si>
  <si>
    <t xml:space="preserve">Nói rằng ~. Trích dẫn gián tiếp.</t>
  </si>
  <si>
    <t xml:space="preserve">山田さんは あした 来ると 言いました。</t>
  </si>
  <si>
    <t xml:space="preserve">Anh Yamada nói rằng mai sẽ đến.</t>
  </si>
  <si>
    <t xml:space="preserve">普通形 でしょう？</t>
  </si>
  <si>
    <t xml:space="preserve">~ đúng không? Xác nhận thông tin, lên giọng cuối câu.</t>
  </si>
  <si>
    <t xml:space="preserve">あした 雨が 降るでしょう。</t>
  </si>
  <si>
    <t xml:space="preserve">Chắc ngày mai trời sẽ mưa.</t>
  </si>
  <si>
    <r>
      <rPr>
        <b val="true"/>
        <sz val="12"/>
        <rFont val="Arial"/>
        <family val="0"/>
        <charset val="1"/>
      </rPr>
      <t xml:space="preserve">N / </t>
    </r>
    <r>
      <rPr>
        <b val="true"/>
        <sz val="12"/>
        <rFont val="Noto Sans CJK SC"/>
        <family val="2"/>
      </rPr>
      <t xml:space="preserve">場所 で</t>
    </r>
  </si>
  <si>
    <r>
      <rPr>
        <sz val="10"/>
        <rFont val="Noto Sans CJK SC"/>
        <family val="2"/>
      </rPr>
      <t xml:space="preserve">で </t>
    </r>
    <r>
      <rPr>
        <sz val="10"/>
        <rFont val="Arial"/>
        <family val="0"/>
        <charset val="1"/>
      </rPr>
      <t xml:space="preserve">cũng chỉ phạm vi, hoàn cảnh diễn ra sự việc.</t>
    </r>
  </si>
  <si>
    <t xml:space="preserve">会議で 意見を 言います。</t>
  </si>
  <si>
    <t xml:space="preserve">Tôi phát biểu ý kiến trong cuộc họp.</t>
  </si>
  <si>
    <t xml:space="preserve">▌ BÀI 22  ·  Mệnh đề bổ nghĩa danh từ</t>
  </si>
  <si>
    <r>
      <rPr>
        <b val="true"/>
        <sz val="12"/>
        <rFont val="Noto Sans CJK SC"/>
        <family val="2"/>
      </rPr>
      <t xml:space="preserve">普通形 </t>
    </r>
    <r>
      <rPr>
        <b val="true"/>
        <sz val="12"/>
        <rFont val="Arial"/>
        <family val="0"/>
        <charset val="1"/>
      </rPr>
      <t xml:space="preserve">+ N</t>
    </r>
  </si>
  <si>
    <t xml:space="preserve">Dùng cả một mệnh đề để bổ nghĩa cho danh từ. Đây là nền tảng của mọi câu dài.</t>
  </si>
  <si>
    <t xml:space="preserve">これは 田中さんが 作った ケーキです。</t>
  </si>
  <si>
    <t xml:space="preserve">Đây là chiếc bánh mà anh Tanaka đã làm.</t>
  </si>
  <si>
    <r>
      <rPr>
        <b val="true"/>
        <sz val="12"/>
        <rFont val="Arial"/>
        <family val="0"/>
        <charset val="1"/>
      </rPr>
      <t xml:space="preserve">Trong mệnh đề bổ nghĩa, </t>
    </r>
    <r>
      <rPr>
        <b val="true"/>
        <sz val="12"/>
        <rFont val="Noto Sans CJK SC"/>
        <family val="2"/>
      </rPr>
      <t xml:space="preserve">が </t>
    </r>
    <r>
      <rPr>
        <b val="true"/>
        <sz val="12"/>
        <rFont val="Arial"/>
        <family val="0"/>
        <charset val="1"/>
      </rPr>
      <t xml:space="preserve">thay cho </t>
    </r>
    <r>
      <rPr>
        <b val="true"/>
        <sz val="12"/>
        <rFont val="Noto Sans CJK SC"/>
        <family val="2"/>
      </rPr>
      <t xml:space="preserve">は</t>
    </r>
  </si>
  <si>
    <r>
      <rPr>
        <sz val="10"/>
        <rFont val="Arial"/>
        <family val="0"/>
        <charset val="1"/>
      </rPr>
      <t xml:space="preserve">Chủ ngữ của mệnh đề phụ luôn dùng </t>
    </r>
    <r>
      <rPr>
        <sz val="10"/>
        <rFont val="Noto Sans CJK SC"/>
        <family val="2"/>
      </rPr>
      <t xml:space="preserve">が</t>
    </r>
    <r>
      <rPr>
        <sz val="10"/>
        <rFont val="Arial"/>
        <family val="0"/>
        <charset val="1"/>
      </rPr>
      <t xml:space="preserve">.</t>
    </r>
  </si>
  <si>
    <t xml:space="preserve">わたしが 住んで いる 町は 静かです。</t>
  </si>
  <si>
    <t xml:space="preserve">Thị trấn tôi đang sống rất yên tĩnh.</t>
  </si>
  <si>
    <r>
      <rPr>
        <b val="true"/>
        <sz val="12"/>
        <rFont val="Arial"/>
        <family val="0"/>
        <charset val="1"/>
      </rPr>
      <t xml:space="preserve">V </t>
    </r>
    <r>
      <rPr>
        <b val="true"/>
        <sz val="12"/>
        <rFont val="Noto Sans CJK SC"/>
        <family val="2"/>
      </rPr>
      <t xml:space="preserve">る 時間 </t>
    </r>
    <r>
      <rPr>
        <b val="true"/>
        <sz val="12"/>
        <rFont val="Arial"/>
        <family val="0"/>
        <charset val="1"/>
      </rPr>
      <t xml:space="preserve">/ </t>
    </r>
    <r>
      <rPr>
        <b val="true"/>
        <sz val="12"/>
        <rFont val="Noto Sans CJK SC"/>
        <family val="2"/>
      </rPr>
      <t xml:space="preserve">約束 </t>
    </r>
    <r>
      <rPr>
        <b val="true"/>
        <sz val="12"/>
        <rFont val="Arial"/>
        <family val="0"/>
        <charset val="1"/>
      </rPr>
      <t xml:space="preserve">/ </t>
    </r>
    <r>
      <rPr>
        <b val="true"/>
        <sz val="12"/>
        <rFont val="Noto Sans CJK SC"/>
        <family val="2"/>
      </rPr>
      <t xml:space="preserve">用事 が あります</t>
    </r>
  </si>
  <si>
    <t xml:space="preserve">Có thời gian / lời hẹn / việc bận để làm gì.</t>
  </si>
  <si>
    <t xml:space="preserve">本を 読む 時間が ありません。</t>
  </si>
  <si>
    <t xml:space="preserve">Tôi không có thời gian đọc sách.</t>
  </si>
  <si>
    <r>
      <rPr>
        <b val="true"/>
        <sz val="12"/>
        <color rgb="FFFFFFFF"/>
        <rFont val="Arial"/>
        <family val="0"/>
        <charset val="1"/>
      </rPr>
      <t xml:space="preserve">▌ BÀI 23  ·  </t>
    </r>
    <r>
      <rPr>
        <b val="true"/>
        <sz val="12"/>
        <color rgb="FFFFFFFF"/>
        <rFont val="Noto Sans CJK SC"/>
        <family val="2"/>
      </rPr>
      <t xml:space="preserve">とき </t>
    </r>
    <r>
      <rPr>
        <b val="true"/>
        <sz val="12"/>
        <color rgb="FFFFFFFF"/>
        <rFont val="Arial"/>
        <family val="0"/>
        <charset val="1"/>
      </rPr>
      <t xml:space="preserve">&amp; Điều kiện </t>
    </r>
    <r>
      <rPr>
        <b val="true"/>
        <sz val="12"/>
        <color rgb="FFFFFFFF"/>
        <rFont val="Noto Sans CJK SC"/>
        <family val="2"/>
      </rPr>
      <t xml:space="preserve">と</t>
    </r>
  </si>
  <si>
    <r>
      <rPr>
        <b val="true"/>
        <sz val="12"/>
        <rFont val="Noto Sans CJK SC"/>
        <family val="2"/>
      </rPr>
      <t xml:space="preserve">普通形 </t>
    </r>
    <r>
      <rPr>
        <b val="true"/>
        <sz val="12"/>
        <rFont val="Arial"/>
        <family val="0"/>
        <charset val="1"/>
      </rPr>
      <t xml:space="preserve">+ </t>
    </r>
    <r>
      <rPr>
        <b val="true"/>
        <sz val="12"/>
        <rFont val="Noto Sans CJK SC"/>
        <family val="2"/>
      </rPr>
      <t xml:space="preserve">とき、〜</t>
    </r>
  </si>
  <si>
    <r>
      <rPr>
        <sz val="10"/>
        <rFont val="Arial"/>
        <family val="0"/>
        <charset val="1"/>
      </rPr>
      <t xml:space="preserve">Khi ~ thì ~. Thì của mệnh đề </t>
    </r>
    <r>
      <rPr>
        <sz val="10"/>
        <rFont val="Noto Sans CJK SC"/>
        <family val="2"/>
      </rPr>
      <t xml:space="preserve">とき </t>
    </r>
    <r>
      <rPr>
        <sz val="10"/>
        <rFont val="Arial"/>
        <family val="0"/>
        <charset val="1"/>
      </rPr>
      <t xml:space="preserve">quyết định việc đó xảy ra trước hay sau.</t>
    </r>
  </si>
  <si>
    <t xml:space="preserve">日本へ 行く とき、カメラを 買いました。</t>
  </si>
  <si>
    <t xml:space="preserve">Khi (chuẩn bị) đi Nhật, tôi đã mua máy ảnh.</t>
  </si>
  <si>
    <r>
      <rPr>
        <b val="true"/>
        <sz val="12"/>
        <rFont val="Arial"/>
        <family val="0"/>
        <charset val="1"/>
      </rPr>
      <t xml:space="preserve">N </t>
    </r>
    <r>
      <rPr>
        <b val="true"/>
        <sz val="12"/>
        <rFont val="Noto Sans CJK SC"/>
        <family val="2"/>
      </rPr>
      <t xml:space="preserve">の とき </t>
    </r>
    <r>
      <rPr>
        <b val="true"/>
        <sz val="12"/>
        <rFont val="Arial"/>
        <family val="0"/>
        <charset val="1"/>
      </rPr>
      <t xml:space="preserve">/ Adj </t>
    </r>
    <r>
      <rPr>
        <b val="true"/>
        <sz val="12"/>
        <rFont val="Noto Sans CJK SC"/>
        <family val="2"/>
      </rPr>
      <t xml:space="preserve">な とき </t>
    </r>
    <r>
      <rPr>
        <b val="true"/>
        <sz val="12"/>
        <rFont val="Arial"/>
        <family val="0"/>
        <charset val="1"/>
      </rPr>
      <t xml:space="preserve">/ Adj </t>
    </r>
    <r>
      <rPr>
        <b val="true"/>
        <sz val="12"/>
        <rFont val="Noto Sans CJK SC"/>
        <family val="2"/>
      </rPr>
      <t xml:space="preserve">い とき</t>
    </r>
  </si>
  <si>
    <r>
      <rPr>
        <sz val="10"/>
        <rFont val="Arial"/>
        <family val="0"/>
        <charset val="1"/>
      </rPr>
      <t xml:space="preserve">Khi là ~. Danh từ thêm </t>
    </r>
    <r>
      <rPr>
        <sz val="10"/>
        <rFont val="Noto Sans CJK SC"/>
        <family val="2"/>
      </rPr>
      <t xml:space="preserve">の</t>
    </r>
    <r>
      <rPr>
        <sz val="10"/>
        <rFont val="Arial"/>
        <family val="0"/>
        <charset val="1"/>
      </rPr>
      <t xml:space="preserve">, </t>
    </r>
    <r>
      <rPr>
        <sz val="10"/>
        <rFont val="Noto Sans CJK SC"/>
        <family val="2"/>
      </rPr>
      <t xml:space="preserve">な</t>
    </r>
    <r>
      <rPr>
        <sz val="10"/>
        <rFont val="Arial"/>
        <family val="0"/>
        <charset val="1"/>
      </rPr>
      <t xml:space="preserve">-adj thêm </t>
    </r>
    <r>
      <rPr>
        <sz val="10"/>
        <rFont val="Noto Sans CJK SC"/>
        <family val="2"/>
      </rPr>
      <t xml:space="preserve">な</t>
    </r>
    <r>
      <rPr>
        <sz val="10"/>
        <rFont val="Arial"/>
        <family val="0"/>
        <charset val="1"/>
      </rPr>
      <t xml:space="preserve">.</t>
    </r>
  </si>
  <si>
    <t xml:space="preserve">子どもの とき、よく 川で 泳ぎました。</t>
  </si>
  <si>
    <t xml:space="preserve">Hồi bé tôi hay bơi ở sông.</t>
  </si>
  <si>
    <r>
      <rPr>
        <b val="true"/>
        <sz val="12"/>
        <rFont val="Arial"/>
        <family val="0"/>
        <charset val="1"/>
      </rPr>
      <t xml:space="preserve">V </t>
    </r>
    <r>
      <rPr>
        <b val="true"/>
        <sz val="12"/>
        <rFont val="Noto Sans CJK SC"/>
        <family val="2"/>
      </rPr>
      <t xml:space="preserve">る と、〜</t>
    </r>
  </si>
  <si>
    <t xml:space="preserve">Cứ ~ thì ~. Diễn tả quy luật tự nhiên, kết quả tất yếu. Vế sau KHÔNG dùng ý chí, mệnh lệnh.</t>
  </si>
  <si>
    <t xml:space="preserve">この ボタンを 押すと、切符が 出ます。</t>
  </si>
  <si>
    <t xml:space="preserve">Cứ ấn nút này thì vé sẽ ra.</t>
  </si>
  <si>
    <r>
      <rPr>
        <b val="true"/>
        <sz val="12"/>
        <color rgb="FFFFFFFF"/>
        <rFont val="Arial"/>
        <family val="0"/>
        <charset val="1"/>
      </rPr>
      <t xml:space="preserve">▌ BÀI 24  ·  Cho &amp; Nhận nâng cao — </t>
    </r>
    <r>
      <rPr>
        <b val="true"/>
        <sz val="12"/>
        <color rgb="FFFFFFFF"/>
        <rFont val="Noto Sans CJK SC"/>
        <family val="2"/>
      </rPr>
      <t xml:space="preserve">てあげる </t>
    </r>
    <r>
      <rPr>
        <b val="true"/>
        <sz val="12"/>
        <color rgb="FFFFFFFF"/>
        <rFont val="Arial"/>
        <family val="0"/>
        <charset val="1"/>
      </rPr>
      <t xml:space="preserve">/ </t>
    </r>
    <r>
      <rPr>
        <b val="true"/>
        <sz val="12"/>
        <color rgb="FFFFFFFF"/>
        <rFont val="Noto Sans CJK SC"/>
        <family val="2"/>
      </rPr>
      <t xml:space="preserve">てもらう </t>
    </r>
    <r>
      <rPr>
        <b val="true"/>
        <sz val="12"/>
        <color rgb="FFFFFFFF"/>
        <rFont val="Arial"/>
        <family val="0"/>
        <charset val="1"/>
      </rPr>
      <t xml:space="preserve">/ </t>
    </r>
    <r>
      <rPr>
        <b val="true"/>
        <sz val="12"/>
        <color rgb="FFFFFFFF"/>
        <rFont val="Noto Sans CJK SC"/>
        <family val="2"/>
      </rPr>
      <t xml:space="preserve">てくれる</t>
    </r>
  </si>
  <si>
    <r>
      <rPr>
        <b val="true"/>
        <sz val="12"/>
        <rFont val="Arial"/>
        <family val="0"/>
        <charset val="1"/>
      </rPr>
      <t xml:space="preserve">N </t>
    </r>
    <r>
      <rPr>
        <b val="true"/>
        <sz val="12"/>
        <rFont val="Noto Sans CJK SC"/>
        <family val="2"/>
      </rPr>
      <t xml:space="preserve">を くれます</t>
    </r>
  </si>
  <si>
    <t xml:space="preserve">Ai đó cho TÔI (hoặc người trong nhóm tôi). Chủ ngữ là người cho.</t>
  </si>
  <si>
    <t xml:space="preserve">山田さんは わたしに 花を くれました。</t>
  </si>
  <si>
    <t xml:space="preserve">Anh Yamada đã tặng hoa cho tôi.</t>
  </si>
  <si>
    <r>
      <rPr>
        <b val="true"/>
        <sz val="12"/>
        <rFont val="Arial"/>
        <family val="0"/>
        <charset val="1"/>
      </rPr>
      <t xml:space="preserve">V </t>
    </r>
    <r>
      <rPr>
        <b val="true"/>
        <sz val="12"/>
        <rFont val="Noto Sans CJK SC"/>
        <family val="2"/>
      </rPr>
      <t xml:space="preserve">て あげます</t>
    </r>
  </si>
  <si>
    <t xml:space="preserve">Làm gì đó GIÚP người khác. Cẩn thận: nghe có vẻ ban ơn, tránh dùng với cấp trên.</t>
  </si>
  <si>
    <t xml:space="preserve">友だちに 本を 貸して あげました。</t>
  </si>
  <si>
    <t xml:space="preserve">Tôi đã cho bạn mượn sách.</t>
  </si>
  <si>
    <r>
      <rPr>
        <b val="true"/>
        <sz val="12"/>
        <rFont val="Arial"/>
        <family val="0"/>
        <charset val="1"/>
      </rPr>
      <t xml:space="preserve">V </t>
    </r>
    <r>
      <rPr>
        <b val="true"/>
        <sz val="12"/>
        <rFont val="Noto Sans CJK SC"/>
        <family val="2"/>
      </rPr>
      <t xml:space="preserve">て もらいます</t>
    </r>
  </si>
  <si>
    <t xml:space="preserve">Được ai đó làm gì cho. Chủ ngữ là người nhận ơn.</t>
  </si>
  <si>
    <t xml:space="preserve">田中さんに 日本語を 教えて もらいました。</t>
  </si>
  <si>
    <t xml:space="preserve">Tôi được anh Tanaka dạy tiếng Nhật.</t>
  </si>
  <si>
    <r>
      <rPr>
        <b val="true"/>
        <sz val="12"/>
        <rFont val="Arial"/>
        <family val="0"/>
        <charset val="1"/>
      </rPr>
      <t xml:space="preserve">V </t>
    </r>
    <r>
      <rPr>
        <b val="true"/>
        <sz val="12"/>
        <rFont val="Noto Sans CJK SC"/>
        <family val="2"/>
      </rPr>
      <t xml:space="preserve">て くれます</t>
    </r>
  </si>
  <si>
    <t xml:space="preserve">Ai đó làm gì cho TÔI. Sắc thái biết ơn tự nhiên nhất.</t>
  </si>
  <si>
    <t xml:space="preserve">母が セーターを 送って くれました。</t>
  </si>
  <si>
    <t xml:space="preserve">Mẹ đã gửi áo len cho tôi.</t>
  </si>
  <si>
    <r>
      <rPr>
        <b val="true"/>
        <sz val="12"/>
        <color rgb="FFFFFFFF"/>
        <rFont val="Arial"/>
        <family val="0"/>
        <charset val="1"/>
      </rPr>
      <t xml:space="preserve">▌ BÀI 25  ·  Giả định — </t>
    </r>
    <r>
      <rPr>
        <b val="true"/>
        <sz val="12"/>
        <color rgb="FFFFFFFF"/>
        <rFont val="Noto Sans CJK SC"/>
        <family val="2"/>
      </rPr>
      <t xml:space="preserve">たら </t>
    </r>
    <r>
      <rPr>
        <b val="true"/>
        <sz val="12"/>
        <color rgb="FFFFFFFF"/>
        <rFont val="Arial"/>
        <family val="0"/>
        <charset val="1"/>
      </rPr>
      <t xml:space="preserve">&amp; </t>
    </r>
    <r>
      <rPr>
        <b val="true"/>
        <sz val="12"/>
        <color rgb="FFFFFFFF"/>
        <rFont val="Noto Sans CJK SC"/>
        <family val="2"/>
      </rPr>
      <t xml:space="preserve">ても</t>
    </r>
  </si>
  <si>
    <r>
      <rPr>
        <b val="true"/>
        <sz val="12"/>
        <rFont val="Noto Sans CJK SC"/>
        <family val="2"/>
      </rPr>
      <t xml:space="preserve">普通形 た </t>
    </r>
    <r>
      <rPr>
        <b val="true"/>
        <sz val="12"/>
        <rFont val="Arial"/>
        <family val="0"/>
        <charset val="1"/>
      </rPr>
      <t xml:space="preserve">+ </t>
    </r>
    <r>
      <rPr>
        <b val="true"/>
        <sz val="12"/>
        <rFont val="Noto Sans CJK SC"/>
        <family val="2"/>
      </rPr>
      <t xml:space="preserve">ら、〜</t>
    </r>
  </si>
  <si>
    <t xml:space="preserve">Nếu ~ thì ~. Điều kiện linh hoạt nhất, dùng được với cả ý chí, mệnh lệnh, rủ rê.</t>
  </si>
  <si>
    <t xml:space="preserve">雨が 降ったら、行きません。</t>
  </si>
  <si>
    <t xml:space="preserve">Nếu trời mưa thì tôi không đi.</t>
  </si>
  <si>
    <r>
      <rPr>
        <b val="true"/>
        <sz val="12"/>
        <rFont val="Arial"/>
        <family val="0"/>
        <charset val="1"/>
      </rPr>
      <t xml:space="preserve">V </t>
    </r>
    <r>
      <rPr>
        <b val="true"/>
        <sz val="12"/>
        <rFont val="Noto Sans CJK SC"/>
        <family val="2"/>
      </rPr>
      <t xml:space="preserve">て も、〜</t>
    </r>
  </si>
  <si>
    <t xml:space="preserve">Dù ~ thì vẫn ~. Vế sau đi ngược lại mong đợi.</t>
  </si>
  <si>
    <t xml:space="preserve">雨が 降っても、行きます。</t>
  </si>
  <si>
    <t xml:space="preserve">Dù trời mưa tôi vẫn đi.</t>
  </si>
  <si>
    <t xml:space="preserve">もし 〜 たら</t>
  </si>
  <si>
    <r>
      <rPr>
        <sz val="10"/>
        <rFont val="Noto Sans CJK SC"/>
        <family val="2"/>
      </rPr>
      <t xml:space="preserve">もし </t>
    </r>
    <r>
      <rPr>
        <sz val="10"/>
        <rFont val="Arial"/>
        <family val="0"/>
        <charset val="1"/>
      </rPr>
      <t xml:space="preserve">đứng đầu câu nhấn mạnh đây là giả định.</t>
    </r>
  </si>
  <si>
    <r>
      <rPr>
        <sz val="12"/>
        <rFont val="Noto Sans CJK SC"/>
        <family val="2"/>
      </rPr>
      <t xml:space="preserve">もし </t>
    </r>
    <r>
      <rPr>
        <sz val="12"/>
        <rFont val="Arial"/>
        <family val="0"/>
        <charset val="1"/>
      </rPr>
      <t xml:space="preserve">1</t>
    </r>
    <r>
      <rPr>
        <sz val="12"/>
        <rFont val="Noto Sans CJK SC"/>
        <family val="2"/>
      </rPr>
      <t xml:space="preserve">億円 あったら、家を 買います。</t>
    </r>
  </si>
  <si>
    <t xml:space="preserve">Nếu có 100 triệu yên, tôi sẽ mua nhà.</t>
  </si>
  <si>
    <t xml:space="preserve">いくら 〜 ても</t>
  </si>
  <si>
    <t xml:space="preserve">Dù ~ đến mấy đi nữa cũng ~.</t>
  </si>
  <si>
    <t xml:space="preserve">いくら 考えても、わかりません。</t>
  </si>
  <si>
    <t xml:space="preserve">Dù nghĩ thế nào tôi cũng không hiểu.</t>
  </si>
  <si>
    <t xml:space="preserve">350 TỪ VỰNG TRỌNG TÂM THEO MINNA BÀI 1–25 — mỗi từ kèm một mẹo nhớ</t>
  </si>
  <si>
    <r>
      <rPr>
        <i val="true"/>
        <sz val="10"/>
        <color rgb="FF1F3864"/>
        <rFont val="Arial"/>
        <family val="0"/>
        <charset val="1"/>
      </rPr>
      <t xml:space="preserve">Ưu tiên số 1 là ÂM HÁN VIỆT: </t>
    </r>
    <r>
      <rPr>
        <i val="true"/>
        <sz val="10"/>
        <color rgb="FF1F3864"/>
        <rFont val="Noto Sans CJK SC"/>
        <family val="2"/>
      </rPr>
      <t xml:space="preserve">先生 </t>
    </r>
    <r>
      <rPr>
        <i val="true"/>
        <sz val="10"/>
        <color rgb="FF1F3864"/>
        <rFont val="Arial"/>
        <family val="0"/>
        <charset val="1"/>
      </rPr>
      <t xml:space="preserve">TIÊN SINH, </t>
    </r>
    <r>
      <rPr>
        <i val="true"/>
        <sz val="10"/>
        <color rgb="FF1F3864"/>
        <rFont val="Noto Sans CJK SC"/>
        <family val="2"/>
      </rPr>
      <t xml:space="preserve">会社員 </t>
    </r>
    <r>
      <rPr>
        <i val="true"/>
        <sz val="10"/>
        <color rgb="FF1F3864"/>
        <rFont val="Arial"/>
        <family val="0"/>
        <charset val="1"/>
      </rPr>
      <t xml:space="preserve">HỘI XÃ VIÊN, </t>
    </r>
    <r>
      <rPr>
        <i val="true"/>
        <sz val="10"/>
        <color rgb="FF1F3864"/>
        <rFont val="Noto Sans CJK SC"/>
        <family val="2"/>
      </rPr>
      <t xml:space="preserve">図書館 </t>
    </r>
    <r>
      <rPr>
        <i val="true"/>
        <sz val="10"/>
        <color rgb="FF1F3864"/>
        <rFont val="Arial"/>
        <family val="0"/>
        <charset val="1"/>
      </rPr>
      <t xml:space="preserve">ĐỒ THƯ QUÁN. Với từ thuần kana thì dùng liên tưởng âm thanh hoặc hình ảnh. Học xong mỗi ngày nhớ đối chiếu thêm mục </t>
    </r>
    <r>
      <rPr>
        <i val="true"/>
        <sz val="10"/>
        <color rgb="FF1F3864"/>
        <rFont val="Noto Sans CJK SC"/>
        <family val="2"/>
      </rPr>
      <t xml:space="preserve">語彙 </t>
    </r>
    <r>
      <rPr>
        <i val="true"/>
        <sz val="10"/>
        <color rgb="FF1F3864"/>
        <rFont val="Arial"/>
        <family val="0"/>
        <charset val="1"/>
      </rPr>
      <t xml:space="preserve">của bài đó trong sách Minna.</t>
    </r>
  </si>
  <si>
    <t xml:space="preserve">Từ (kana)</t>
  </si>
  <si>
    <t xml:space="preserve">Nghĩa tiếng Việt</t>
  </si>
  <si>
    <t xml:space="preserve">💡 Mẹo nhớ</t>
  </si>
  <si>
    <t xml:space="preserve">Câu ví dụ bạn tự đặt</t>
  </si>
  <si>
    <t xml:space="preserve">▌ BÀI 1  ·  Chào hỏi &amp; Giới thiệu bản thân  (14 từ)</t>
  </si>
  <si>
    <t xml:space="preserve">わたし</t>
  </si>
  <si>
    <t xml:space="preserve">私</t>
  </si>
  <si>
    <t xml:space="preserve">Tôi</t>
  </si>
  <si>
    <r>
      <rPr>
        <sz val="10"/>
        <rFont val="Arial"/>
        <family val="0"/>
        <charset val="1"/>
      </rPr>
      <t xml:space="preserve">Kanji </t>
    </r>
    <r>
      <rPr>
        <sz val="10"/>
        <rFont val="Noto Sans CJK SC"/>
        <family val="2"/>
      </rPr>
      <t xml:space="preserve">私 </t>
    </r>
    <r>
      <rPr>
        <sz val="10"/>
        <rFont val="Arial"/>
        <family val="0"/>
        <charset val="1"/>
      </rPr>
      <t xml:space="preserve">= </t>
    </r>
    <r>
      <rPr>
        <sz val="10"/>
        <rFont val="Noto Sans CJK SC"/>
        <family val="2"/>
      </rPr>
      <t xml:space="preserve">禾 </t>
    </r>
    <r>
      <rPr>
        <sz val="10"/>
        <rFont val="Arial"/>
        <family val="0"/>
        <charset val="1"/>
      </rPr>
      <t xml:space="preserve">(lúa) + </t>
    </r>
    <r>
      <rPr>
        <sz val="10"/>
        <rFont val="Noto Sans CJK SC"/>
        <family val="2"/>
      </rPr>
      <t xml:space="preserve">ム </t>
    </r>
    <r>
      <rPr>
        <sz val="10"/>
        <rFont val="Arial"/>
        <family val="0"/>
        <charset val="1"/>
      </rPr>
      <t xml:space="preserve">(riêng) → phần lúa riêng của mình = TÔI.</t>
    </r>
  </si>
  <si>
    <t xml:space="preserve">あなた</t>
  </si>
  <si>
    <t xml:space="preserve">Bạn, anh/chị</t>
  </si>
  <si>
    <t xml:space="preserve">A-NA-TA nghe gần như 'anh ta' — người đối diện mình.</t>
  </si>
  <si>
    <t xml:space="preserve">せんせい</t>
  </si>
  <si>
    <t xml:space="preserve">先生</t>
  </si>
  <si>
    <t xml:space="preserve">Giáo viên</t>
  </si>
  <si>
    <t xml:space="preserve">Âm Hán Việt TIÊN SINH = người sinh ra trước, đi trước ta → thầy cô.</t>
  </si>
  <si>
    <t xml:space="preserve">がくせい</t>
  </si>
  <si>
    <t xml:space="preserve">学生</t>
  </si>
  <si>
    <t xml:space="preserve">Học sinh, sinh viên</t>
  </si>
  <si>
    <r>
      <rPr>
        <sz val="10"/>
        <rFont val="Arial"/>
        <family val="0"/>
        <charset val="1"/>
      </rPr>
      <t xml:space="preserve">HỌC SINH — </t>
    </r>
    <r>
      <rPr>
        <sz val="10"/>
        <rFont val="Noto Sans CJK SC"/>
        <family val="2"/>
      </rPr>
      <t xml:space="preserve">学 </t>
    </r>
    <r>
      <rPr>
        <sz val="10"/>
        <rFont val="Arial"/>
        <family val="0"/>
        <charset val="1"/>
      </rPr>
      <t xml:space="preserve">(học) + </t>
    </r>
    <r>
      <rPr>
        <sz val="10"/>
        <rFont val="Noto Sans CJK SC"/>
        <family val="2"/>
      </rPr>
      <t xml:space="preserve">生 </t>
    </r>
    <r>
      <rPr>
        <sz val="10"/>
        <rFont val="Arial"/>
        <family val="0"/>
        <charset val="1"/>
      </rPr>
      <t xml:space="preserve">(sinh). Đọc thẳng âm Hán Việt là ra.</t>
    </r>
  </si>
  <si>
    <t xml:space="preserve">かいしゃいん</t>
  </si>
  <si>
    <t xml:space="preserve">会社員</t>
  </si>
  <si>
    <t xml:space="preserve">Nhân viên công ty</t>
  </si>
  <si>
    <r>
      <rPr>
        <sz val="10"/>
        <rFont val="Arial"/>
        <family val="0"/>
        <charset val="1"/>
      </rPr>
      <t xml:space="preserve">HỘI XÃ VIÊN = </t>
    </r>
    <r>
      <rPr>
        <sz val="10"/>
        <rFont val="Noto Sans CJK SC"/>
        <family val="2"/>
      </rPr>
      <t xml:space="preserve">会 </t>
    </r>
    <r>
      <rPr>
        <sz val="10"/>
        <rFont val="Arial"/>
        <family val="0"/>
        <charset val="1"/>
      </rPr>
      <t xml:space="preserve">(hội) + </t>
    </r>
    <r>
      <rPr>
        <sz val="10"/>
        <rFont val="Noto Sans CJK SC"/>
        <family val="2"/>
      </rPr>
      <t xml:space="preserve">社 </t>
    </r>
    <r>
      <rPr>
        <sz val="10"/>
        <rFont val="Arial"/>
        <family val="0"/>
        <charset val="1"/>
      </rPr>
      <t xml:space="preserve">(xã) + </t>
    </r>
    <r>
      <rPr>
        <sz val="10"/>
        <rFont val="Noto Sans CJK SC"/>
        <family val="2"/>
      </rPr>
      <t xml:space="preserve">員 </t>
    </r>
    <r>
      <rPr>
        <sz val="10"/>
        <rFont val="Arial"/>
        <family val="0"/>
        <charset val="1"/>
      </rPr>
      <t xml:space="preserve">(viên).</t>
    </r>
  </si>
  <si>
    <t xml:space="preserve">いしゃ</t>
  </si>
  <si>
    <t xml:space="preserve">医者</t>
  </si>
  <si>
    <t xml:space="preserve">Bác sĩ</t>
  </si>
  <si>
    <r>
      <rPr>
        <sz val="10"/>
        <rFont val="Arial"/>
        <family val="0"/>
        <charset val="1"/>
      </rPr>
      <t xml:space="preserve">Y GIẢ = người làm nghề y. </t>
    </r>
    <r>
      <rPr>
        <sz val="10"/>
        <rFont val="Noto Sans CJK SC"/>
        <family val="2"/>
      </rPr>
      <t xml:space="preserve">者 </t>
    </r>
    <r>
      <rPr>
        <sz val="10"/>
        <rFont val="Arial"/>
        <family val="0"/>
        <charset val="1"/>
      </rPr>
      <t xml:space="preserve">(giả) = người, gặp lại ở </t>
    </r>
    <r>
      <rPr>
        <sz val="10"/>
        <rFont val="Noto Sans CJK SC"/>
        <family val="2"/>
      </rPr>
      <t xml:space="preserve">学者</t>
    </r>
    <r>
      <rPr>
        <sz val="10"/>
        <rFont val="Arial"/>
        <family val="0"/>
        <charset val="1"/>
      </rPr>
      <t xml:space="preserve">, </t>
    </r>
    <r>
      <rPr>
        <sz val="10"/>
        <rFont val="Noto Sans CJK SC"/>
        <family val="2"/>
      </rPr>
      <t xml:space="preserve">記者</t>
    </r>
    <r>
      <rPr>
        <sz val="10"/>
        <rFont val="Arial"/>
        <family val="0"/>
        <charset val="1"/>
      </rPr>
      <t xml:space="preserve">.</t>
    </r>
  </si>
  <si>
    <t xml:space="preserve">ぎんこういん</t>
  </si>
  <si>
    <t xml:space="preserve">銀行員</t>
  </si>
  <si>
    <t xml:space="preserve">Nhân viên ngân hàng</t>
  </si>
  <si>
    <r>
      <rPr>
        <sz val="10"/>
        <rFont val="Arial"/>
        <family val="0"/>
        <charset val="1"/>
      </rPr>
      <t xml:space="preserve">NGÂN HÀNH VIÊN. </t>
    </r>
    <r>
      <rPr>
        <sz val="10"/>
        <rFont val="Noto Sans CJK SC"/>
        <family val="2"/>
      </rPr>
      <t xml:space="preserve">銀行 </t>
    </r>
    <r>
      <rPr>
        <sz val="10"/>
        <rFont val="Arial"/>
        <family val="0"/>
        <charset val="1"/>
      </rPr>
      <t xml:space="preserve">= ngân hàng, thêm </t>
    </r>
    <r>
      <rPr>
        <sz val="10"/>
        <rFont val="Noto Sans CJK SC"/>
        <family val="2"/>
      </rPr>
      <t xml:space="preserve">員 </t>
    </r>
    <r>
      <rPr>
        <sz val="10"/>
        <rFont val="Arial"/>
        <family val="0"/>
        <charset val="1"/>
      </rPr>
      <t xml:space="preserve">thành người làm ở đó.</t>
    </r>
  </si>
  <si>
    <t xml:space="preserve">だいがく</t>
  </si>
  <si>
    <t xml:space="preserve">大学</t>
  </si>
  <si>
    <t xml:space="preserve">Đại học</t>
  </si>
  <si>
    <t xml:space="preserve">ĐẠI HỌC — chuẩn âm Hán Việt, không cần mẹo gì thêm.</t>
  </si>
  <si>
    <t xml:space="preserve">なまえ</t>
  </si>
  <si>
    <t xml:space="preserve">名前</t>
  </si>
  <si>
    <t xml:space="preserve">Tên</t>
  </si>
  <si>
    <r>
      <rPr>
        <sz val="10"/>
        <rFont val="Arial"/>
        <family val="0"/>
        <charset val="1"/>
      </rPr>
      <t xml:space="preserve">DANH TIỀN = cái danh đặt phía trước. Nhớ </t>
    </r>
    <r>
      <rPr>
        <sz val="10"/>
        <rFont val="Noto Sans CJK SC"/>
        <family val="2"/>
      </rPr>
      <t xml:space="preserve">名 </t>
    </r>
    <r>
      <rPr>
        <sz val="10"/>
        <rFont val="Arial"/>
        <family val="0"/>
        <charset val="1"/>
      </rPr>
      <t xml:space="preserve">(danh) + </t>
    </r>
    <r>
      <rPr>
        <sz val="10"/>
        <rFont val="Noto Sans CJK SC"/>
        <family val="2"/>
      </rPr>
      <t xml:space="preserve">前 </t>
    </r>
    <r>
      <rPr>
        <sz val="10"/>
        <rFont val="Arial"/>
        <family val="0"/>
        <charset val="1"/>
      </rPr>
      <t xml:space="preserve">(tiền/trước).</t>
    </r>
  </si>
  <si>
    <r>
      <rPr>
        <b val="true"/>
        <sz val="12"/>
        <rFont val="Noto Sans CJK SC"/>
        <family val="2"/>
      </rPr>
      <t xml:space="preserve">だれ </t>
    </r>
    <r>
      <rPr>
        <b val="true"/>
        <sz val="12"/>
        <rFont val="Arial"/>
        <family val="0"/>
        <charset val="1"/>
      </rPr>
      <t xml:space="preserve">/ </t>
    </r>
    <r>
      <rPr>
        <b val="true"/>
        <sz val="12"/>
        <rFont val="Noto Sans CJK SC"/>
        <family val="2"/>
      </rPr>
      <t xml:space="preserve">どなた</t>
    </r>
  </si>
  <si>
    <r>
      <rPr>
        <sz val="10"/>
        <rFont val="Arial"/>
        <family val="0"/>
        <charset val="1"/>
      </rPr>
      <t xml:space="preserve">Ai (</t>
    </r>
    <r>
      <rPr>
        <sz val="10"/>
        <rFont val="Noto Sans CJK SC"/>
        <family val="2"/>
      </rPr>
      <t xml:space="preserve">どなた </t>
    </r>
    <r>
      <rPr>
        <sz val="10"/>
        <rFont val="Arial"/>
        <family val="0"/>
        <charset val="1"/>
      </rPr>
      <t xml:space="preserve">lịch sự hơn)</t>
    </r>
  </si>
  <si>
    <r>
      <rPr>
        <sz val="10"/>
        <rFont val="Arial"/>
        <family val="0"/>
        <charset val="1"/>
      </rPr>
      <t xml:space="preserve">DA-RE: 'Đá rê' bóng cho AI? </t>
    </r>
    <r>
      <rPr>
        <sz val="10"/>
        <rFont val="Noto Sans CJK SC"/>
        <family val="2"/>
      </rPr>
      <t xml:space="preserve">どなた </t>
    </r>
    <r>
      <rPr>
        <sz val="10"/>
        <rFont val="Arial"/>
        <family val="0"/>
        <charset val="1"/>
      </rPr>
      <t xml:space="preserve">dùng khi hỏi người trên.</t>
    </r>
  </si>
  <si>
    <t xml:space="preserve">〜さん</t>
  </si>
  <si>
    <t xml:space="preserve">Hậu tố lịch sự sau tên người</t>
  </si>
  <si>
    <r>
      <rPr>
        <sz val="10"/>
        <rFont val="Arial"/>
        <family val="0"/>
        <charset val="1"/>
      </rPr>
      <t xml:space="preserve">Không bao giờ dùng </t>
    </r>
    <r>
      <rPr>
        <sz val="10"/>
        <rFont val="Noto Sans CJK SC"/>
        <family val="2"/>
      </rPr>
      <t xml:space="preserve">さん </t>
    </r>
    <r>
      <rPr>
        <sz val="10"/>
        <rFont val="Arial"/>
        <family val="0"/>
        <charset val="1"/>
      </rPr>
      <t xml:space="preserve">cho chính mình.</t>
    </r>
  </si>
  <si>
    <t xml:space="preserve">〜じん</t>
  </si>
  <si>
    <t xml:space="preserve">〜人</t>
  </si>
  <si>
    <t xml:space="preserve">Người nước ~</t>
  </si>
  <si>
    <r>
      <rPr>
        <sz val="10"/>
        <rFont val="Noto Sans CJK SC"/>
        <family val="2"/>
      </rPr>
      <t xml:space="preserve">ベトナム人 </t>
    </r>
    <r>
      <rPr>
        <sz val="10"/>
        <rFont val="Arial"/>
        <family val="0"/>
        <charset val="1"/>
      </rPr>
      <t xml:space="preserve">= người Việt. </t>
    </r>
    <r>
      <rPr>
        <sz val="10"/>
        <rFont val="Noto Sans CJK SC"/>
        <family val="2"/>
      </rPr>
      <t xml:space="preserve">人 </t>
    </r>
    <r>
      <rPr>
        <sz val="10"/>
        <rFont val="Arial"/>
        <family val="0"/>
        <charset val="1"/>
      </rPr>
      <t xml:space="preserve">đọc </t>
    </r>
    <r>
      <rPr>
        <sz val="10"/>
        <rFont val="Noto Sans CJK SC"/>
        <family val="2"/>
      </rPr>
      <t xml:space="preserve">じん </t>
    </r>
    <r>
      <rPr>
        <sz val="10"/>
        <rFont val="Arial"/>
        <family val="0"/>
        <charset val="1"/>
      </rPr>
      <t xml:space="preserve">khi đứng sau tên nước.</t>
    </r>
  </si>
  <si>
    <t xml:space="preserve">はじめまして</t>
  </si>
  <si>
    <t xml:space="preserve">Rất hân hạnh được gặp</t>
  </si>
  <si>
    <t xml:space="preserve">Chỉ nói MỘT LẦN duy nhất khi gặp lần đầu.</t>
  </si>
  <si>
    <t xml:space="preserve">どうぞ よろしく</t>
  </si>
  <si>
    <t xml:space="preserve">Mong được giúp đỡ</t>
  </si>
  <si>
    <r>
      <rPr>
        <sz val="10"/>
        <rFont val="Arial"/>
        <family val="0"/>
        <charset val="1"/>
      </rPr>
      <t xml:space="preserve">Câu chốt sau khi giới thiệu tên. Lịch sự hơn: </t>
    </r>
    <r>
      <rPr>
        <sz val="10"/>
        <rFont val="Noto Sans CJK SC"/>
        <family val="2"/>
      </rPr>
      <t xml:space="preserve">よろしく おねがいします。</t>
    </r>
  </si>
  <si>
    <r>
      <rPr>
        <b val="true"/>
        <sz val="12"/>
        <color rgb="FFFFFFFF"/>
        <rFont val="Arial"/>
        <family val="0"/>
        <charset val="1"/>
      </rPr>
      <t xml:space="preserve">▌ BÀI 2  ·  </t>
    </r>
    <r>
      <rPr>
        <b val="true"/>
        <sz val="12"/>
        <color rgb="FFFFFFFF"/>
        <rFont val="Noto Sans CJK SC"/>
        <family val="2"/>
      </rPr>
      <t xml:space="preserve">これ・それ・あれ — </t>
    </r>
    <r>
      <rPr>
        <b val="true"/>
        <sz val="12"/>
        <color rgb="FFFFFFFF"/>
        <rFont val="Arial"/>
        <family val="0"/>
        <charset val="1"/>
      </rPr>
      <t xml:space="preserve">Chỉ đồ vật  (14 từ)</t>
    </r>
  </si>
  <si>
    <t xml:space="preserve">ほん</t>
  </si>
  <si>
    <t xml:space="preserve">Sách</t>
  </si>
  <si>
    <r>
      <rPr>
        <sz val="10"/>
        <rFont val="Noto Sans CJK SC"/>
        <family val="2"/>
      </rPr>
      <t xml:space="preserve">本 </t>
    </r>
    <r>
      <rPr>
        <sz val="10"/>
        <rFont val="Arial"/>
        <family val="0"/>
        <charset val="1"/>
      </rPr>
      <t xml:space="preserve">= gốc cây (</t>
    </r>
    <r>
      <rPr>
        <sz val="10"/>
        <rFont val="Noto Sans CJK SC"/>
        <family val="2"/>
      </rPr>
      <t xml:space="preserve">木 </t>
    </r>
    <r>
      <rPr>
        <sz val="10"/>
        <rFont val="Arial"/>
        <family val="0"/>
        <charset val="1"/>
      </rPr>
      <t xml:space="preserve">thêm vạch ở rễ) → gốc tri thức → SÁCH.</t>
    </r>
  </si>
  <si>
    <t xml:space="preserve">じしょ</t>
  </si>
  <si>
    <t xml:space="preserve">辞書</t>
  </si>
  <si>
    <t xml:space="preserve">Từ điển</t>
  </si>
  <si>
    <r>
      <rPr>
        <sz val="10"/>
        <rFont val="Arial"/>
        <family val="0"/>
        <charset val="1"/>
      </rPr>
      <t xml:space="preserve">TỪ THƯ = sách chứa từ. </t>
    </r>
    <r>
      <rPr>
        <sz val="10"/>
        <rFont val="Noto Sans CJK SC"/>
        <family val="2"/>
      </rPr>
      <t xml:space="preserve">書 </t>
    </r>
    <r>
      <rPr>
        <sz val="10"/>
        <rFont val="Arial"/>
        <family val="0"/>
        <charset val="1"/>
      </rPr>
      <t xml:space="preserve">(thư) = viết/sách.</t>
    </r>
  </si>
  <si>
    <t xml:space="preserve">ざっし</t>
  </si>
  <si>
    <t xml:space="preserve">雑誌</t>
  </si>
  <si>
    <t xml:space="preserve">Tạp chí</t>
  </si>
  <si>
    <t xml:space="preserve">TẠP CHÍ — âm Hán Việt gần như y hệt tiếng Việt.</t>
  </si>
  <si>
    <t xml:space="preserve">しんぶん</t>
  </si>
  <si>
    <t xml:space="preserve">新聞</t>
  </si>
  <si>
    <t xml:space="preserve">Báo</t>
  </si>
  <si>
    <r>
      <rPr>
        <sz val="10"/>
        <rFont val="Arial"/>
        <family val="0"/>
        <charset val="1"/>
      </rPr>
      <t xml:space="preserve">TÂN VĂN = tin mới nghe được. </t>
    </r>
    <r>
      <rPr>
        <sz val="10"/>
        <rFont val="Noto Sans CJK SC"/>
        <family val="2"/>
      </rPr>
      <t xml:space="preserve">新 </t>
    </r>
    <r>
      <rPr>
        <sz val="10"/>
        <rFont val="Arial"/>
        <family val="0"/>
        <charset val="1"/>
      </rPr>
      <t xml:space="preserve">(mới) + </t>
    </r>
    <r>
      <rPr>
        <sz val="10"/>
        <rFont val="Noto Sans CJK SC"/>
        <family val="2"/>
      </rPr>
      <t xml:space="preserve">聞 </t>
    </r>
    <r>
      <rPr>
        <sz val="10"/>
        <rFont val="Arial"/>
        <family val="0"/>
        <charset val="1"/>
      </rPr>
      <t xml:space="preserve">(nghe).</t>
    </r>
  </si>
  <si>
    <t xml:space="preserve">てちょう</t>
  </si>
  <si>
    <t xml:space="preserve">手帳</t>
  </si>
  <si>
    <t xml:space="preserve">Sổ tay</t>
  </si>
  <si>
    <r>
      <rPr>
        <sz val="10"/>
        <rFont val="Arial"/>
        <family val="0"/>
        <charset val="1"/>
      </rPr>
      <t xml:space="preserve">THỦ TRƯỚNG = cuốn sổ cầm trên TAY (</t>
    </r>
    <r>
      <rPr>
        <sz val="10"/>
        <rFont val="Noto Sans CJK SC"/>
        <family val="2"/>
      </rPr>
      <t xml:space="preserve">手</t>
    </r>
    <r>
      <rPr>
        <sz val="10"/>
        <rFont val="Arial"/>
        <family val="0"/>
        <charset val="1"/>
      </rPr>
      <t xml:space="preserve">).</t>
    </r>
  </si>
  <si>
    <t xml:space="preserve">めいし</t>
  </si>
  <si>
    <t xml:space="preserve">名刺</t>
  </si>
  <si>
    <t xml:space="preserve">Danh thiếp</t>
  </si>
  <si>
    <r>
      <rPr>
        <sz val="10"/>
        <rFont val="Arial"/>
        <family val="0"/>
        <charset val="1"/>
      </rPr>
      <t xml:space="preserve">DANH THÍCH = tấm ghi tên. </t>
    </r>
    <r>
      <rPr>
        <sz val="10"/>
        <rFont val="Noto Sans CJK SC"/>
        <family val="2"/>
      </rPr>
      <t xml:space="preserve">名 </t>
    </r>
    <r>
      <rPr>
        <sz val="10"/>
        <rFont val="Arial"/>
        <family val="0"/>
        <charset val="1"/>
      </rPr>
      <t xml:space="preserve">(danh) đã học ở </t>
    </r>
    <r>
      <rPr>
        <sz val="10"/>
        <rFont val="Noto Sans CJK SC"/>
        <family val="2"/>
      </rPr>
      <t xml:space="preserve">名前</t>
    </r>
    <r>
      <rPr>
        <sz val="10"/>
        <rFont val="Arial"/>
        <family val="0"/>
        <charset val="1"/>
      </rPr>
      <t xml:space="preserve">.</t>
    </r>
  </si>
  <si>
    <t xml:space="preserve">かぎ</t>
  </si>
  <si>
    <t xml:space="preserve">鍵</t>
  </si>
  <si>
    <t xml:space="preserve">Chìa khóa</t>
  </si>
  <si>
    <t xml:space="preserve">KA-GI: 'cà ghi' — cắm chìa vào ổ nghe 'cạch'.</t>
  </si>
  <si>
    <t xml:space="preserve">とけい</t>
  </si>
  <si>
    <t xml:space="preserve">時計</t>
  </si>
  <si>
    <t xml:space="preserve">Đồng hồ</t>
  </si>
  <si>
    <r>
      <rPr>
        <sz val="10"/>
        <rFont val="Arial"/>
        <family val="0"/>
        <charset val="1"/>
      </rPr>
      <t xml:space="preserve">THỜI KẾ = dụng cụ đo thời gian. </t>
    </r>
    <r>
      <rPr>
        <sz val="10"/>
        <rFont val="Noto Sans CJK SC"/>
        <family val="2"/>
      </rPr>
      <t xml:space="preserve">時 </t>
    </r>
    <r>
      <rPr>
        <sz val="10"/>
        <rFont val="Arial"/>
        <family val="0"/>
        <charset val="1"/>
      </rPr>
      <t xml:space="preserve">(thời) vừa học.</t>
    </r>
  </si>
  <si>
    <t xml:space="preserve">かさ</t>
  </si>
  <si>
    <t xml:space="preserve">傘</t>
  </si>
  <si>
    <t xml:space="preserve">Ô, dù</t>
  </si>
  <si>
    <r>
      <rPr>
        <sz val="10"/>
        <rFont val="Arial"/>
        <family val="0"/>
        <charset val="1"/>
      </rPr>
      <t xml:space="preserve">Kanji </t>
    </r>
    <r>
      <rPr>
        <sz val="10"/>
        <rFont val="Noto Sans CJK SC"/>
        <family val="2"/>
      </rPr>
      <t xml:space="preserve">傘 </t>
    </r>
    <r>
      <rPr>
        <sz val="10"/>
        <rFont val="Arial"/>
        <family val="0"/>
        <charset val="1"/>
      </rPr>
      <t xml:space="preserve">nhìn đúng như cái ô đang xòe ra có nan.</t>
    </r>
  </si>
  <si>
    <t xml:space="preserve">かばん</t>
  </si>
  <si>
    <t xml:space="preserve">Cặp, túi xách</t>
  </si>
  <si>
    <t xml:space="preserve">KA-BAN nghe như 'cà bần' — cái túi đeo lủng lẳng.</t>
  </si>
  <si>
    <t xml:space="preserve">テレビ</t>
  </si>
  <si>
    <t xml:space="preserve">Ti vi</t>
  </si>
  <si>
    <t xml:space="preserve">Từ 'television'. Katakana rút gọn tiếng Anh.</t>
  </si>
  <si>
    <t xml:space="preserve">ラジオ</t>
  </si>
  <si>
    <t xml:space="preserve">Radio</t>
  </si>
  <si>
    <t xml:space="preserve">Đọc thẳng từ 'radio'.</t>
  </si>
  <si>
    <t xml:space="preserve">えんぴつ</t>
  </si>
  <si>
    <t xml:space="preserve">鉛筆</t>
  </si>
  <si>
    <t xml:space="preserve">Bút chì</t>
  </si>
  <si>
    <r>
      <rPr>
        <sz val="10"/>
        <rFont val="Arial"/>
        <family val="0"/>
        <charset val="1"/>
      </rPr>
      <t xml:space="preserve">DIÊN BÚT = bút bằng chì. </t>
    </r>
    <r>
      <rPr>
        <sz val="10"/>
        <rFont val="Noto Sans CJK SC"/>
        <family val="2"/>
      </rPr>
      <t xml:space="preserve">筆 </t>
    </r>
    <r>
      <rPr>
        <sz val="10"/>
        <rFont val="Arial"/>
        <family val="0"/>
        <charset val="1"/>
      </rPr>
      <t xml:space="preserve">(bút) là bộ </t>
    </r>
    <r>
      <rPr>
        <sz val="10"/>
        <rFont val="Noto Sans CJK SC"/>
        <family val="2"/>
      </rPr>
      <t xml:space="preserve">竹 </t>
    </r>
    <r>
      <rPr>
        <sz val="10"/>
        <rFont val="Arial"/>
        <family val="0"/>
        <charset val="1"/>
      </rPr>
      <t xml:space="preserve">(tre) + </t>
    </r>
    <r>
      <rPr>
        <sz val="10"/>
        <rFont val="Noto Sans CJK SC"/>
        <family val="2"/>
      </rPr>
      <t xml:space="preserve">聿</t>
    </r>
    <r>
      <rPr>
        <sz val="10"/>
        <rFont val="Arial"/>
        <family val="0"/>
        <charset val="1"/>
      </rPr>
      <t xml:space="preserve">.</t>
    </r>
  </si>
  <si>
    <t xml:space="preserve">ボールペン</t>
  </si>
  <si>
    <t xml:space="preserve">Bút bi</t>
  </si>
  <si>
    <t xml:space="preserve">'Ball pen' — bút có viên bi ở đầu.</t>
  </si>
  <si>
    <r>
      <rPr>
        <b val="true"/>
        <sz val="12"/>
        <color rgb="FFFFFFFF"/>
        <rFont val="Arial"/>
        <family val="0"/>
        <charset val="1"/>
      </rPr>
      <t xml:space="preserve">▌ BÀI 3  ·  </t>
    </r>
    <r>
      <rPr>
        <b val="true"/>
        <sz val="12"/>
        <color rgb="FFFFFFFF"/>
        <rFont val="Noto Sans CJK SC"/>
        <family val="2"/>
      </rPr>
      <t xml:space="preserve">ここ・そこ・あそこ — </t>
    </r>
    <r>
      <rPr>
        <b val="true"/>
        <sz val="12"/>
        <color rgb="FFFFFFFF"/>
        <rFont val="Arial"/>
        <family val="0"/>
        <charset val="1"/>
      </rPr>
      <t xml:space="preserve">Chỉ nơi chốn  (14 từ)</t>
    </r>
  </si>
  <si>
    <t xml:space="preserve">きょうしつ</t>
  </si>
  <si>
    <t xml:space="preserve">教室</t>
  </si>
  <si>
    <t xml:space="preserve">Phòng học</t>
  </si>
  <si>
    <r>
      <rPr>
        <sz val="10"/>
        <rFont val="Arial"/>
        <family val="0"/>
        <charset val="1"/>
      </rPr>
      <t xml:space="preserve">GIÁO THẤT = phòng để dạy. </t>
    </r>
    <r>
      <rPr>
        <sz val="10"/>
        <rFont val="Noto Sans CJK SC"/>
        <family val="2"/>
      </rPr>
      <t xml:space="preserve">室 </t>
    </r>
    <r>
      <rPr>
        <sz val="10"/>
        <rFont val="Arial"/>
        <family val="0"/>
        <charset val="1"/>
      </rPr>
      <t xml:space="preserve">(thất) = phòng, gặp lại ở </t>
    </r>
    <r>
      <rPr>
        <sz val="10"/>
        <rFont val="Noto Sans CJK SC"/>
        <family val="2"/>
      </rPr>
      <t xml:space="preserve">事務室</t>
    </r>
    <r>
      <rPr>
        <sz val="10"/>
        <rFont val="Arial"/>
        <family val="0"/>
        <charset val="1"/>
      </rPr>
      <t xml:space="preserve">.</t>
    </r>
  </si>
  <si>
    <t xml:space="preserve">しょくどう</t>
  </si>
  <si>
    <t xml:space="preserve">食堂</t>
  </si>
  <si>
    <t xml:space="preserve">Nhà ăn, căng tin</t>
  </si>
  <si>
    <r>
      <rPr>
        <sz val="10"/>
        <rFont val="Arial"/>
        <family val="0"/>
        <charset val="1"/>
      </rPr>
      <t xml:space="preserve">THỰC ĐƯỜNG = nơi để ăn. </t>
    </r>
    <r>
      <rPr>
        <sz val="10"/>
        <rFont val="Noto Sans CJK SC"/>
        <family val="2"/>
      </rPr>
      <t xml:space="preserve">食 </t>
    </r>
    <r>
      <rPr>
        <sz val="10"/>
        <rFont val="Arial"/>
        <family val="0"/>
        <charset val="1"/>
      </rPr>
      <t xml:space="preserve">(thực) = ăn.</t>
    </r>
  </si>
  <si>
    <t xml:space="preserve">じむしょ</t>
  </si>
  <si>
    <t xml:space="preserve">事務所</t>
  </si>
  <si>
    <t xml:space="preserve">Văn phòng</t>
  </si>
  <si>
    <t xml:space="preserve">SỰ VỤ SỞ = nơi xử lý công việc.</t>
  </si>
  <si>
    <t xml:space="preserve">かいぎしつ</t>
  </si>
  <si>
    <t xml:space="preserve">会議室</t>
  </si>
  <si>
    <t xml:space="preserve">Phòng họp</t>
  </si>
  <si>
    <t xml:space="preserve">HỘI NGHỊ THẤT = phòng hội nghị.</t>
  </si>
  <si>
    <t xml:space="preserve">うけつけ</t>
  </si>
  <si>
    <t xml:space="preserve">受付</t>
  </si>
  <si>
    <t xml:space="preserve">Quầy lễ tân</t>
  </si>
  <si>
    <r>
      <rPr>
        <sz val="10"/>
        <rFont val="Arial"/>
        <family val="0"/>
        <charset val="1"/>
      </rPr>
      <t xml:space="preserve">THỤ PHÓ = nơi TIẾP NHẬN (</t>
    </r>
    <r>
      <rPr>
        <sz val="10"/>
        <rFont val="Noto Sans CJK SC"/>
        <family val="2"/>
      </rPr>
      <t xml:space="preserve">受 </t>
    </r>
    <r>
      <rPr>
        <sz val="10"/>
        <rFont val="Arial"/>
        <family val="0"/>
        <charset val="1"/>
      </rPr>
      <t xml:space="preserve">= nhận) khách.</t>
    </r>
  </si>
  <si>
    <r>
      <rPr>
        <b val="true"/>
        <sz val="12"/>
        <rFont val="Noto Sans CJK SC"/>
        <family val="2"/>
      </rPr>
      <t xml:space="preserve">トイレ </t>
    </r>
    <r>
      <rPr>
        <b val="true"/>
        <sz val="12"/>
        <rFont val="Arial"/>
        <family val="0"/>
        <charset val="1"/>
      </rPr>
      <t xml:space="preserve">/ </t>
    </r>
    <r>
      <rPr>
        <b val="true"/>
        <sz val="12"/>
        <rFont val="Noto Sans CJK SC"/>
        <family val="2"/>
      </rPr>
      <t xml:space="preserve">おてあらい</t>
    </r>
  </si>
  <si>
    <t xml:space="preserve">お手洗い</t>
  </si>
  <si>
    <t xml:space="preserve">Nhà vệ sinh</t>
  </si>
  <si>
    <r>
      <rPr>
        <sz val="10"/>
        <rFont val="Noto Sans CJK SC"/>
        <family val="2"/>
      </rPr>
      <t xml:space="preserve">お手洗い </t>
    </r>
    <r>
      <rPr>
        <sz val="10"/>
        <rFont val="Arial"/>
        <family val="0"/>
        <charset val="1"/>
      </rPr>
      <t xml:space="preserve">= 'chỗ RỬA TAY' (</t>
    </r>
    <r>
      <rPr>
        <sz val="10"/>
        <rFont val="Noto Sans CJK SC"/>
        <family val="2"/>
      </rPr>
      <t xml:space="preserve">手 </t>
    </r>
    <r>
      <rPr>
        <sz val="10"/>
        <rFont val="Arial"/>
        <family val="0"/>
        <charset val="1"/>
      </rPr>
      <t xml:space="preserve">tay + </t>
    </r>
    <r>
      <rPr>
        <sz val="10"/>
        <rFont val="Noto Sans CJK SC"/>
        <family val="2"/>
      </rPr>
      <t xml:space="preserve">洗 </t>
    </r>
    <r>
      <rPr>
        <sz val="10"/>
        <rFont val="Arial"/>
        <family val="0"/>
        <charset val="1"/>
      </rPr>
      <t xml:space="preserve">rửa) — cách nói lịch sự.</t>
    </r>
  </si>
  <si>
    <t xml:space="preserve">かいだん</t>
  </si>
  <si>
    <t xml:space="preserve">階段</t>
  </si>
  <si>
    <t xml:space="preserve">Cầu thang</t>
  </si>
  <si>
    <r>
      <rPr>
        <sz val="10"/>
        <rFont val="Arial"/>
        <family val="0"/>
        <charset val="1"/>
      </rPr>
      <t xml:space="preserve">GIAI ĐOẠN = từng bậc từng bậc. </t>
    </r>
    <r>
      <rPr>
        <sz val="10"/>
        <rFont val="Noto Sans CJK SC"/>
        <family val="2"/>
      </rPr>
      <t xml:space="preserve">階 </t>
    </r>
    <r>
      <rPr>
        <sz val="10"/>
        <rFont val="Arial"/>
        <family val="0"/>
        <charset val="1"/>
      </rPr>
      <t xml:space="preserve">(giai) = tầng.</t>
    </r>
  </si>
  <si>
    <t xml:space="preserve">エレベーター</t>
  </si>
  <si>
    <t xml:space="preserve">Thang máy</t>
  </si>
  <si>
    <r>
      <rPr>
        <sz val="10"/>
        <rFont val="Arial"/>
        <family val="0"/>
        <charset val="1"/>
      </rPr>
      <t xml:space="preserve">'Elevator'. Chú ý trường âm </t>
    </r>
    <r>
      <rPr>
        <sz val="10"/>
        <rFont val="Noto Sans CJK SC"/>
        <family val="2"/>
      </rPr>
      <t xml:space="preserve">ー </t>
    </r>
    <r>
      <rPr>
        <sz val="10"/>
        <rFont val="Arial"/>
        <family val="0"/>
        <charset val="1"/>
      </rPr>
      <t xml:space="preserve">ở giữa.</t>
    </r>
  </si>
  <si>
    <r>
      <rPr>
        <sz val="10"/>
        <rFont val="Arial"/>
        <family val="0"/>
        <charset val="1"/>
      </rPr>
      <t xml:space="preserve">QUỐC — </t>
    </r>
    <r>
      <rPr>
        <sz val="10"/>
        <rFont val="Noto Sans CJK SC"/>
        <family val="2"/>
      </rPr>
      <t xml:space="preserve">囗 </t>
    </r>
    <r>
      <rPr>
        <sz val="10"/>
        <rFont val="Arial"/>
        <family val="0"/>
        <charset val="1"/>
      </rPr>
      <t xml:space="preserve">(biên giới) bao </t>
    </r>
    <r>
      <rPr>
        <sz val="10"/>
        <rFont val="Noto Sans CJK SC"/>
        <family val="2"/>
      </rPr>
      <t xml:space="preserve">玉 </t>
    </r>
    <r>
      <rPr>
        <sz val="10"/>
        <rFont val="Arial"/>
        <family val="0"/>
        <charset val="1"/>
      </rPr>
      <t xml:space="preserve">(ngọc) = lãnh thổ giữ báu vật.</t>
    </r>
  </si>
  <si>
    <t xml:space="preserve">かいしゃ</t>
  </si>
  <si>
    <t xml:space="preserve">会社</t>
  </si>
  <si>
    <t xml:space="preserve">Công ty</t>
  </si>
  <si>
    <r>
      <rPr>
        <sz val="10"/>
        <rFont val="Arial"/>
        <family val="0"/>
        <charset val="1"/>
      </rPr>
      <t xml:space="preserve">HỘI XÃ. Đảo ngược thành </t>
    </r>
    <r>
      <rPr>
        <sz val="10"/>
        <rFont val="Noto Sans CJK SC"/>
        <family val="2"/>
      </rPr>
      <t xml:space="preserve">社会 </t>
    </r>
    <r>
      <rPr>
        <sz val="10"/>
        <rFont val="Arial"/>
        <family val="0"/>
        <charset val="1"/>
      </rPr>
      <t xml:space="preserve">(xã hội) là một từ khác — đừng nhầm.</t>
    </r>
  </si>
  <si>
    <t xml:space="preserve">うち</t>
  </si>
  <si>
    <t xml:space="preserve">家</t>
  </si>
  <si>
    <t xml:space="preserve">Nhà (của mình)</t>
  </si>
  <si>
    <r>
      <rPr>
        <sz val="10"/>
        <rFont val="Arial"/>
        <family val="0"/>
        <charset val="1"/>
      </rPr>
      <t xml:space="preserve">U-CHI: 'ú chi' — về nhà mới thấy ấm. Kanji </t>
    </r>
    <r>
      <rPr>
        <sz val="10"/>
        <rFont val="Noto Sans CJK SC"/>
        <family val="2"/>
      </rPr>
      <t xml:space="preserve">家 </t>
    </r>
    <r>
      <rPr>
        <sz val="10"/>
        <rFont val="Arial"/>
        <family val="0"/>
        <charset val="1"/>
      </rPr>
      <t xml:space="preserve">= </t>
    </r>
    <r>
      <rPr>
        <sz val="10"/>
        <rFont val="Noto Sans CJK SC"/>
        <family val="2"/>
      </rPr>
      <t xml:space="preserve">宀 </t>
    </r>
    <r>
      <rPr>
        <sz val="10"/>
        <rFont val="Arial"/>
        <family val="0"/>
        <charset val="1"/>
      </rPr>
      <t xml:space="preserve">(mái) + </t>
    </r>
    <r>
      <rPr>
        <sz val="10"/>
        <rFont val="Noto Sans CJK SC"/>
        <family val="2"/>
      </rPr>
      <t xml:space="preserve">豕 </t>
    </r>
    <r>
      <rPr>
        <sz val="10"/>
        <rFont val="Arial"/>
        <family val="0"/>
        <charset val="1"/>
      </rPr>
      <t xml:space="preserve">(con lợn).</t>
    </r>
  </si>
  <si>
    <t xml:space="preserve">えん</t>
  </si>
  <si>
    <t xml:space="preserve">Yên (tiền Nhật)</t>
  </si>
  <si>
    <t xml:space="preserve">VIÊN = tròn, vì đồng xu hình tròn.</t>
  </si>
  <si>
    <t xml:space="preserve">いくら</t>
  </si>
  <si>
    <t xml:space="preserve">Bao nhiêu tiền</t>
  </si>
  <si>
    <r>
      <rPr>
        <sz val="10"/>
        <rFont val="Arial"/>
        <family val="0"/>
        <charset val="1"/>
      </rPr>
      <t xml:space="preserve">Chỉ dùng hỏi GIÁ. Hỏi số lượng thì dùng </t>
    </r>
    <r>
      <rPr>
        <sz val="10"/>
        <rFont val="Noto Sans CJK SC"/>
        <family val="2"/>
      </rPr>
      <t xml:space="preserve">いくつ</t>
    </r>
    <r>
      <rPr>
        <sz val="10"/>
        <rFont val="Arial"/>
        <family val="0"/>
        <charset val="1"/>
      </rPr>
      <t xml:space="preserve">.</t>
    </r>
  </si>
  <si>
    <r>
      <rPr>
        <b val="true"/>
        <sz val="12"/>
        <rFont val="Noto Sans CJK SC"/>
        <family val="2"/>
      </rPr>
      <t xml:space="preserve">〜がい </t>
    </r>
    <r>
      <rPr>
        <b val="true"/>
        <sz val="12"/>
        <rFont val="Arial"/>
        <family val="0"/>
        <charset val="1"/>
      </rPr>
      <t xml:space="preserve">/ </t>
    </r>
    <r>
      <rPr>
        <b val="true"/>
        <sz val="12"/>
        <rFont val="Noto Sans CJK SC"/>
        <family val="2"/>
      </rPr>
      <t xml:space="preserve">〜かい</t>
    </r>
  </si>
  <si>
    <t xml:space="preserve">〜階</t>
  </si>
  <si>
    <t xml:space="preserve">Tầng ~</t>
  </si>
  <si>
    <r>
      <rPr>
        <sz val="10"/>
        <rFont val="Arial"/>
        <family val="0"/>
        <charset val="1"/>
      </rPr>
      <t xml:space="preserve">1</t>
    </r>
    <r>
      <rPr>
        <sz val="10"/>
        <rFont val="Noto Sans CJK SC"/>
        <family val="2"/>
      </rPr>
      <t xml:space="preserve">階 いっかい</t>
    </r>
    <r>
      <rPr>
        <sz val="10"/>
        <rFont val="Arial"/>
        <family val="0"/>
        <charset val="1"/>
      </rPr>
      <t xml:space="preserve">, 3</t>
    </r>
    <r>
      <rPr>
        <sz val="10"/>
        <rFont val="Noto Sans CJK SC"/>
        <family val="2"/>
      </rPr>
      <t xml:space="preserve">階 さんがい — </t>
    </r>
    <r>
      <rPr>
        <sz val="10"/>
        <rFont val="Arial"/>
        <family val="0"/>
        <charset val="1"/>
      </rPr>
      <t xml:space="preserve">chú ý biến âm.</t>
    </r>
  </si>
  <si>
    <t xml:space="preserve">▌ BÀI 4  ·  Giờ giấc &amp; Thì của động từ  (14 từ)</t>
  </si>
  <si>
    <t xml:space="preserve">おきます</t>
  </si>
  <si>
    <t xml:space="preserve">起きます</t>
  </si>
  <si>
    <t xml:space="preserve">Thức dậy</t>
  </si>
  <si>
    <r>
      <rPr>
        <sz val="10"/>
        <rFont val="Noto Sans CJK SC"/>
        <family val="2"/>
      </rPr>
      <t xml:space="preserve">起 </t>
    </r>
    <r>
      <rPr>
        <sz val="10"/>
        <rFont val="Arial"/>
        <family val="0"/>
        <charset val="1"/>
      </rPr>
      <t xml:space="preserve">= </t>
    </r>
    <r>
      <rPr>
        <sz val="10"/>
        <rFont val="Noto Sans CJK SC"/>
        <family val="2"/>
      </rPr>
      <t xml:space="preserve">走 </t>
    </r>
    <r>
      <rPr>
        <sz val="10"/>
        <rFont val="Arial"/>
        <family val="0"/>
        <charset val="1"/>
      </rPr>
      <t xml:space="preserve">(chạy) + </t>
    </r>
    <r>
      <rPr>
        <sz val="10"/>
        <rFont val="Noto Sans CJK SC"/>
        <family val="2"/>
      </rPr>
      <t xml:space="preserve">己 → </t>
    </r>
    <r>
      <rPr>
        <sz val="10"/>
        <rFont val="Arial"/>
        <family val="0"/>
        <charset val="1"/>
      </rPr>
      <t xml:space="preserve">bật dậy chạy đi. O-KI: 'ô kìa, dậy đi!'</t>
    </r>
  </si>
  <si>
    <t xml:space="preserve">ねます</t>
  </si>
  <si>
    <t xml:space="preserve">寝ます</t>
  </si>
  <si>
    <t xml:space="preserve">Đi ngủ</t>
  </si>
  <si>
    <r>
      <rPr>
        <sz val="10"/>
        <rFont val="Noto Sans CJK SC"/>
        <family val="2"/>
      </rPr>
      <t xml:space="preserve">寝 </t>
    </r>
    <r>
      <rPr>
        <sz val="10"/>
        <rFont val="Arial"/>
        <family val="0"/>
        <charset val="1"/>
      </rPr>
      <t xml:space="preserve">có bộ </t>
    </r>
    <r>
      <rPr>
        <sz val="10"/>
        <rFont val="Noto Sans CJK SC"/>
        <family val="2"/>
      </rPr>
      <t xml:space="preserve">宀 </t>
    </r>
    <r>
      <rPr>
        <sz val="10"/>
        <rFont val="Arial"/>
        <family val="0"/>
        <charset val="1"/>
      </rPr>
      <t xml:space="preserve">(mái nhà) → chui vào nhà nằm NGỦ.</t>
    </r>
  </si>
  <si>
    <t xml:space="preserve">はたらきます</t>
  </si>
  <si>
    <t xml:space="preserve">働きます</t>
  </si>
  <si>
    <t xml:space="preserve">Làm việc</t>
  </si>
  <si>
    <r>
      <rPr>
        <sz val="10"/>
        <rFont val="Noto Sans CJK SC"/>
        <family val="2"/>
      </rPr>
      <t xml:space="preserve">働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動 </t>
    </r>
    <r>
      <rPr>
        <sz val="10"/>
        <rFont val="Arial"/>
        <family val="0"/>
        <charset val="1"/>
      </rPr>
      <t xml:space="preserve">(động) → người chuyển động = LÀM VIỆC.</t>
    </r>
  </si>
  <si>
    <t xml:space="preserve">やすみます</t>
  </si>
  <si>
    <t xml:space="preserve">休みます</t>
  </si>
  <si>
    <r>
      <rPr>
        <sz val="10"/>
        <rFont val="Noto Sans CJK SC"/>
        <family val="2"/>
      </rPr>
      <t xml:space="preserve">休 </t>
    </r>
    <r>
      <rPr>
        <sz val="10"/>
        <rFont val="Arial"/>
        <family val="0"/>
        <charset val="1"/>
      </rPr>
      <t xml:space="preserve">= </t>
    </r>
    <r>
      <rPr>
        <sz val="10"/>
        <rFont val="Noto Sans CJK SC"/>
        <family val="2"/>
      </rPr>
      <t xml:space="preserve">亻 </t>
    </r>
    <r>
      <rPr>
        <sz val="10"/>
        <rFont val="Arial"/>
        <family val="0"/>
        <charset val="1"/>
      </rPr>
      <t xml:space="preserve">(người) tựa </t>
    </r>
    <r>
      <rPr>
        <sz val="10"/>
        <rFont val="Noto Sans CJK SC"/>
        <family val="2"/>
      </rPr>
      <t xml:space="preserve">木 </t>
    </r>
    <r>
      <rPr>
        <sz val="10"/>
        <rFont val="Arial"/>
        <family val="0"/>
        <charset val="1"/>
      </rPr>
      <t xml:space="preserve">(cây) → dựa gốc cây NGHỈ.</t>
    </r>
  </si>
  <si>
    <t xml:space="preserve">べんきょうします</t>
  </si>
  <si>
    <t xml:space="preserve">勉強します</t>
  </si>
  <si>
    <t xml:space="preserve">Học bài</t>
  </si>
  <si>
    <t xml:space="preserve">MIỄN CƯỠNG — học là phải ép mình một chút, nhớ luôn.</t>
  </si>
  <si>
    <t xml:space="preserve">おわります</t>
  </si>
  <si>
    <t xml:space="preserve">終わります</t>
  </si>
  <si>
    <t xml:space="preserve">Kết thúc</t>
  </si>
  <si>
    <r>
      <rPr>
        <sz val="10"/>
        <rFont val="Noto Sans CJK SC"/>
        <family val="2"/>
      </rPr>
      <t xml:space="preserve">終 </t>
    </r>
    <r>
      <rPr>
        <sz val="10"/>
        <rFont val="Arial"/>
        <family val="0"/>
        <charset val="1"/>
      </rPr>
      <t xml:space="preserve">có bộ </t>
    </r>
    <r>
      <rPr>
        <sz val="10"/>
        <rFont val="Noto Sans CJK SC"/>
        <family val="2"/>
      </rPr>
      <t xml:space="preserve">糸 </t>
    </r>
    <r>
      <rPr>
        <sz val="10"/>
        <rFont val="Arial"/>
        <family val="0"/>
        <charset val="1"/>
      </rPr>
      <t xml:space="preserve">(sợi chỉ) → sợi chỉ đến đầu mút = HẾT.</t>
    </r>
  </si>
  <si>
    <t xml:space="preserve">あさ</t>
  </si>
  <si>
    <t xml:space="preserve">朝</t>
  </si>
  <si>
    <t xml:space="preserve">Buổi sáng</t>
  </si>
  <si>
    <r>
      <rPr>
        <sz val="10"/>
        <rFont val="Noto Sans CJK SC"/>
        <family val="2"/>
      </rPr>
      <t xml:space="preserve">朝 </t>
    </r>
    <r>
      <rPr>
        <sz val="10"/>
        <rFont val="Arial"/>
        <family val="0"/>
        <charset val="1"/>
      </rPr>
      <t xml:space="preserve">có </t>
    </r>
    <r>
      <rPr>
        <sz val="10"/>
        <rFont val="Noto Sans CJK SC"/>
        <family val="2"/>
      </rPr>
      <t xml:space="preserve">日 </t>
    </r>
    <r>
      <rPr>
        <sz val="10"/>
        <rFont val="Arial"/>
        <family val="0"/>
        <charset val="1"/>
      </rPr>
      <t xml:space="preserve">(mặt trời) và </t>
    </r>
    <r>
      <rPr>
        <sz val="10"/>
        <rFont val="Noto Sans CJK SC"/>
        <family val="2"/>
      </rPr>
      <t xml:space="preserve">月 </t>
    </r>
    <r>
      <rPr>
        <sz val="10"/>
        <rFont val="Arial"/>
        <family val="0"/>
        <charset val="1"/>
      </rPr>
      <t xml:space="preserve">(trăng) → lúc trăng lặn mặt trời mọc.</t>
    </r>
  </si>
  <si>
    <t xml:space="preserve">ひる</t>
  </si>
  <si>
    <t xml:space="preserve">昼</t>
  </si>
  <si>
    <t xml:space="preserve">Buổi trưa</t>
  </si>
  <si>
    <r>
      <rPr>
        <sz val="10"/>
        <rFont val="Noto Sans CJK SC"/>
        <family val="2"/>
      </rPr>
      <t xml:space="preserve">昼 </t>
    </r>
    <r>
      <rPr>
        <sz val="10"/>
        <rFont val="Arial"/>
        <family val="0"/>
        <charset val="1"/>
      </rPr>
      <t xml:space="preserve">có </t>
    </r>
    <r>
      <rPr>
        <sz val="10"/>
        <rFont val="Noto Sans CJK SC"/>
        <family val="2"/>
      </rPr>
      <t xml:space="preserve">日 </t>
    </r>
    <r>
      <rPr>
        <sz val="10"/>
        <rFont val="Arial"/>
        <family val="0"/>
        <charset val="1"/>
      </rPr>
      <t xml:space="preserve">(mặt trời) nằm giữa → mặt trời lên đỉnh.</t>
    </r>
  </si>
  <si>
    <r>
      <rPr>
        <b val="true"/>
        <sz val="12"/>
        <rFont val="Noto Sans CJK SC"/>
        <family val="2"/>
      </rPr>
      <t xml:space="preserve">ばん </t>
    </r>
    <r>
      <rPr>
        <b val="true"/>
        <sz val="12"/>
        <rFont val="Arial"/>
        <family val="0"/>
        <charset val="1"/>
      </rPr>
      <t xml:space="preserve">/ </t>
    </r>
    <r>
      <rPr>
        <b val="true"/>
        <sz val="12"/>
        <rFont val="Noto Sans CJK SC"/>
        <family val="2"/>
      </rPr>
      <t xml:space="preserve">よる</t>
    </r>
  </si>
  <si>
    <r>
      <rPr>
        <sz val="12"/>
        <rFont val="Noto Sans CJK SC"/>
        <family val="2"/>
      </rPr>
      <t xml:space="preserve">晩 </t>
    </r>
    <r>
      <rPr>
        <sz val="12"/>
        <rFont val="Arial"/>
        <family val="0"/>
        <charset val="1"/>
      </rPr>
      <t xml:space="preserve">/ </t>
    </r>
    <r>
      <rPr>
        <sz val="12"/>
        <rFont val="Noto Sans CJK SC"/>
        <family val="2"/>
      </rPr>
      <t xml:space="preserve">夜</t>
    </r>
  </si>
  <si>
    <t xml:space="preserve">Buổi tối / ban đêm</t>
  </si>
  <si>
    <r>
      <rPr>
        <sz val="10"/>
        <rFont val="Noto Sans CJK SC"/>
        <family val="2"/>
      </rPr>
      <t xml:space="preserve">晩ごはん </t>
    </r>
    <r>
      <rPr>
        <sz val="10"/>
        <rFont val="Arial"/>
        <family val="0"/>
        <charset val="1"/>
      </rPr>
      <t xml:space="preserve">= bữa tối. </t>
    </r>
    <r>
      <rPr>
        <sz val="10"/>
        <rFont val="Noto Sans CJK SC"/>
        <family val="2"/>
      </rPr>
      <t xml:space="preserve">夜 </t>
    </r>
    <r>
      <rPr>
        <sz val="10"/>
        <rFont val="Arial"/>
        <family val="0"/>
        <charset val="1"/>
      </rPr>
      <t xml:space="preserve">nhấn mạnh khoảng thời gian ban đêm.</t>
    </r>
  </si>
  <si>
    <t xml:space="preserve">まいにち</t>
  </si>
  <si>
    <t xml:space="preserve">毎日</t>
  </si>
  <si>
    <t xml:space="preserve">Hằng ngày</t>
  </si>
  <si>
    <r>
      <rPr>
        <sz val="10"/>
        <rFont val="Arial"/>
        <family val="0"/>
        <charset val="1"/>
      </rPr>
      <t xml:space="preserve">MỖI NHẬT = mỗi ngày. Cùng nhóm: </t>
    </r>
    <r>
      <rPr>
        <sz val="10"/>
        <rFont val="Noto Sans CJK SC"/>
        <family val="2"/>
      </rPr>
      <t xml:space="preserve">毎朝</t>
    </r>
    <r>
      <rPr>
        <sz val="10"/>
        <rFont val="Arial"/>
        <family val="0"/>
        <charset val="1"/>
      </rPr>
      <t xml:space="preserve">, </t>
    </r>
    <r>
      <rPr>
        <sz val="10"/>
        <rFont val="Noto Sans CJK SC"/>
        <family val="2"/>
      </rPr>
      <t xml:space="preserve">毎晩</t>
    </r>
    <r>
      <rPr>
        <sz val="10"/>
        <rFont val="Arial"/>
        <family val="0"/>
        <charset val="1"/>
      </rPr>
      <t xml:space="preserve">, </t>
    </r>
    <r>
      <rPr>
        <sz val="10"/>
        <rFont val="Noto Sans CJK SC"/>
        <family val="2"/>
      </rPr>
      <t xml:space="preserve">毎年</t>
    </r>
    <r>
      <rPr>
        <sz val="10"/>
        <rFont val="Arial"/>
        <family val="0"/>
        <charset val="1"/>
      </rPr>
      <t xml:space="preserve">.</t>
    </r>
  </si>
  <si>
    <t xml:space="preserve">〜じ</t>
  </si>
  <si>
    <t xml:space="preserve">〜時</t>
  </si>
  <si>
    <t xml:space="preserve">~ giờ</t>
  </si>
  <si>
    <r>
      <rPr>
        <sz val="10"/>
        <rFont val="Arial"/>
        <family val="0"/>
        <charset val="1"/>
      </rPr>
      <t xml:space="preserve">4</t>
    </r>
    <r>
      <rPr>
        <sz val="10"/>
        <rFont val="Noto Sans CJK SC"/>
        <family val="2"/>
      </rPr>
      <t xml:space="preserve">時 よじ</t>
    </r>
    <r>
      <rPr>
        <sz val="10"/>
        <rFont val="Arial"/>
        <family val="0"/>
        <charset val="1"/>
      </rPr>
      <t xml:space="preserve">, 7</t>
    </r>
    <r>
      <rPr>
        <sz val="10"/>
        <rFont val="Noto Sans CJK SC"/>
        <family val="2"/>
      </rPr>
      <t xml:space="preserve">時 しちじ</t>
    </r>
    <r>
      <rPr>
        <sz val="10"/>
        <rFont val="Arial"/>
        <family val="0"/>
        <charset val="1"/>
      </rPr>
      <t xml:space="preserve">, 9</t>
    </r>
    <r>
      <rPr>
        <sz val="10"/>
        <rFont val="Noto Sans CJK SC"/>
        <family val="2"/>
      </rPr>
      <t xml:space="preserve">時 くじ — </t>
    </r>
    <r>
      <rPr>
        <sz val="10"/>
        <rFont val="Arial"/>
        <family val="0"/>
        <charset val="1"/>
      </rPr>
      <t xml:space="preserve">ba giờ đọc bất quy tắc.</t>
    </r>
  </si>
  <si>
    <r>
      <rPr>
        <b val="true"/>
        <sz val="12"/>
        <rFont val="Noto Sans CJK SC"/>
        <family val="2"/>
      </rPr>
      <t xml:space="preserve">〜ふん </t>
    </r>
    <r>
      <rPr>
        <b val="true"/>
        <sz val="12"/>
        <rFont val="Arial"/>
        <family val="0"/>
        <charset val="1"/>
      </rPr>
      <t xml:space="preserve">/ </t>
    </r>
    <r>
      <rPr>
        <b val="true"/>
        <sz val="12"/>
        <rFont val="Noto Sans CJK SC"/>
        <family val="2"/>
      </rPr>
      <t xml:space="preserve">〜ぷん</t>
    </r>
  </si>
  <si>
    <t xml:space="preserve">〜分</t>
  </si>
  <si>
    <t xml:space="preserve">~ phút</t>
  </si>
  <si>
    <r>
      <rPr>
        <sz val="10"/>
        <rFont val="Arial"/>
        <family val="0"/>
        <charset val="1"/>
      </rPr>
      <t xml:space="preserve">1</t>
    </r>
    <r>
      <rPr>
        <sz val="10"/>
        <rFont val="Noto Sans CJK SC"/>
        <family val="2"/>
      </rPr>
      <t xml:space="preserve">分 いっぷん</t>
    </r>
    <r>
      <rPr>
        <sz val="10"/>
        <rFont val="Arial"/>
        <family val="0"/>
        <charset val="1"/>
      </rPr>
      <t xml:space="preserve">, 3</t>
    </r>
    <r>
      <rPr>
        <sz val="10"/>
        <rFont val="Noto Sans CJK SC"/>
        <family val="2"/>
      </rPr>
      <t xml:space="preserve">分 さんぷん</t>
    </r>
    <r>
      <rPr>
        <sz val="10"/>
        <rFont val="Arial"/>
        <family val="0"/>
        <charset val="1"/>
      </rPr>
      <t xml:space="preserve">, 4</t>
    </r>
    <r>
      <rPr>
        <sz val="10"/>
        <rFont val="Noto Sans CJK SC"/>
        <family val="2"/>
      </rPr>
      <t xml:space="preserve">分 よんぷん — </t>
    </r>
    <r>
      <rPr>
        <sz val="10"/>
        <rFont val="Arial"/>
        <family val="0"/>
        <charset val="1"/>
      </rPr>
      <t xml:space="preserve">luyện đọc to nhiều lần.</t>
    </r>
  </si>
  <si>
    <t xml:space="preserve">ぎんこう</t>
  </si>
  <si>
    <t xml:space="preserve">銀行</t>
  </si>
  <si>
    <t xml:space="preserve">Ngân hàng</t>
  </si>
  <si>
    <r>
      <rPr>
        <sz val="10"/>
        <rFont val="Arial"/>
        <family val="0"/>
        <charset val="1"/>
      </rPr>
      <t xml:space="preserve">NGÂN HÀNH = </t>
    </r>
    <r>
      <rPr>
        <sz val="10"/>
        <rFont val="Noto Sans CJK SC"/>
        <family val="2"/>
      </rPr>
      <t xml:space="preserve">銀 </t>
    </r>
    <r>
      <rPr>
        <sz val="10"/>
        <rFont val="Arial"/>
        <family val="0"/>
        <charset val="1"/>
      </rPr>
      <t xml:space="preserve">(bạc) + </t>
    </r>
    <r>
      <rPr>
        <sz val="10"/>
        <rFont val="Noto Sans CJK SC"/>
        <family val="2"/>
      </rPr>
      <t xml:space="preserve">行 </t>
    </r>
    <r>
      <rPr>
        <sz val="10"/>
        <rFont val="Arial"/>
        <family val="0"/>
        <charset val="1"/>
      </rPr>
      <t xml:space="preserve">(đi lại) → nơi bạc luân chuyển.</t>
    </r>
  </si>
  <si>
    <t xml:space="preserve">ゆうびんきょく</t>
  </si>
  <si>
    <t xml:space="preserve">郵便局</t>
  </si>
  <si>
    <t xml:space="preserve">Bưu điện</t>
  </si>
  <si>
    <t xml:space="preserve">BƯU TIỆN CỤC — âm Hán Việt gần hệt tiếng Việt 'bưu cục'.</t>
  </si>
  <si>
    <t xml:space="preserve">▌ BÀI 5  ·  Đi lại — Phương tiện &amp; Điểm đến  (14 từ)</t>
  </si>
  <si>
    <t xml:space="preserve">いきます</t>
  </si>
  <si>
    <t xml:space="preserve">行きます</t>
  </si>
  <si>
    <r>
      <rPr>
        <sz val="10"/>
        <rFont val="Noto Sans CJK SC"/>
        <family val="2"/>
      </rPr>
      <t xml:space="preserve">行 </t>
    </r>
    <r>
      <rPr>
        <sz val="10"/>
        <rFont val="Arial"/>
        <family val="0"/>
        <charset val="1"/>
      </rPr>
      <t xml:space="preserve">là hình ngã tư đường → đứng ngã tư phải chọn hướng ĐI.</t>
    </r>
  </si>
  <si>
    <t xml:space="preserve">きます</t>
  </si>
  <si>
    <t xml:space="preserve">来ます</t>
  </si>
  <si>
    <t xml:space="preserve">Đến</t>
  </si>
  <si>
    <r>
      <rPr>
        <sz val="10"/>
        <rFont val="Noto Sans CJK SC"/>
        <family val="2"/>
      </rPr>
      <t xml:space="preserve">来 </t>
    </r>
    <r>
      <rPr>
        <sz val="10"/>
        <rFont val="Arial"/>
        <family val="0"/>
        <charset val="1"/>
      </rPr>
      <t xml:space="preserve">hình cây lúa chín → mùa gặt ĐẾN. Chia bất quy tắc: </t>
    </r>
    <r>
      <rPr>
        <sz val="10"/>
        <rFont val="Noto Sans CJK SC"/>
        <family val="2"/>
      </rPr>
      <t xml:space="preserve">来ない → こない</t>
    </r>
    <r>
      <rPr>
        <sz val="10"/>
        <rFont val="Arial"/>
        <family val="0"/>
        <charset val="1"/>
      </rPr>
      <t xml:space="preserve">.</t>
    </r>
  </si>
  <si>
    <t xml:space="preserve">かえります</t>
  </si>
  <si>
    <t xml:space="preserve">帰ります</t>
  </si>
  <si>
    <t xml:space="preserve">Về</t>
  </si>
  <si>
    <r>
      <rPr>
        <sz val="10"/>
        <rFont val="Noto Sans CJK SC"/>
        <family val="2"/>
      </rPr>
      <t xml:space="preserve">帰 </t>
    </r>
    <r>
      <rPr>
        <sz val="10"/>
        <rFont val="Arial"/>
        <family val="0"/>
        <charset val="1"/>
      </rPr>
      <t xml:space="preserve">có bộ </t>
    </r>
    <r>
      <rPr>
        <sz val="10"/>
        <rFont val="Noto Sans CJK SC"/>
        <family val="2"/>
      </rPr>
      <t xml:space="preserve">巾 </t>
    </r>
    <r>
      <rPr>
        <sz val="10"/>
        <rFont val="Arial"/>
        <family val="0"/>
        <charset val="1"/>
      </rPr>
      <t xml:space="preserve">(khăn) → xách khăn gói VỀ nhà.</t>
    </r>
  </si>
  <si>
    <t xml:space="preserve">でんしゃ</t>
  </si>
  <si>
    <t xml:space="preserve">電車</t>
  </si>
  <si>
    <t xml:space="preserve">Tàu điện</t>
  </si>
  <si>
    <t xml:space="preserve">ĐIỆN XA = xe chạy bằng điện.</t>
  </si>
  <si>
    <t xml:space="preserve">ちかてつ</t>
  </si>
  <si>
    <t xml:space="preserve">地下鉄</t>
  </si>
  <si>
    <t xml:space="preserve">Tàu điện ngầm</t>
  </si>
  <si>
    <t xml:space="preserve">ĐỊA HẠ THIẾT = đường sắt dưới lòng đất.</t>
  </si>
  <si>
    <t xml:space="preserve">しんかんせん</t>
  </si>
  <si>
    <t xml:space="preserve">新幹線</t>
  </si>
  <si>
    <t xml:space="preserve">Tàu Shinkansen</t>
  </si>
  <si>
    <t xml:space="preserve">TÂN CÁN TUYẾN = tuyến đường trục mới.</t>
  </si>
  <si>
    <t xml:space="preserve">ひこうき</t>
  </si>
  <si>
    <t xml:space="preserve">飛行機</t>
  </si>
  <si>
    <t xml:space="preserve">Máy bay</t>
  </si>
  <si>
    <r>
      <rPr>
        <sz val="10"/>
        <rFont val="Arial"/>
        <family val="0"/>
        <charset val="1"/>
      </rPr>
      <t xml:space="preserve">PHI HÀNH CƠ = máy bay bay đi. </t>
    </r>
    <r>
      <rPr>
        <sz val="10"/>
        <rFont val="Noto Sans CJK SC"/>
        <family val="2"/>
      </rPr>
      <t xml:space="preserve">機 </t>
    </r>
    <r>
      <rPr>
        <sz val="10"/>
        <rFont val="Arial"/>
        <family val="0"/>
        <charset val="1"/>
      </rPr>
      <t xml:space="preserve">(cơ) = máy móc.</t>
    </r>
  </si>
  <si>
    <t xml:space="preserve">じてんしゃ</t>
  </si>
  <si>
    <t xml:space="preserve">自転車</t>
  </si>
  <si>
    <t xml:space="preserve">Xe đạp</t>
  </si>
  <si>
    <r>
      <rPr>
        <sz val="10"/>
        <rFont val="Arial"/>
        <family val="0"/>
        <charset val="1"/>
      </rPr>
      <t xml:space="preserve">TỰ CHUYỂN XA = xe tự quay bánh. Nhớ kèm </t>
    </r>
    <r>
      <rPr>
        <sz val="10"/>
        <rFont val="Noto Sans CJK SC"/>
        <family val="2"/>
      </rPr>
      <t xml:space="preserve">自動車 </t>
    </r>
    <r>
      <rPr>
        <sz val="10"/>
        <rFont val="Arial"/>
        <family val="0"/>
        <charset val="1"/>
      </rPr>
      <t xml:space="preserve">(ô tô).</t>
    </r>
  </si>
  <si>
    <t xml:space="preserve">あるいて</t>
  </si>
  <si>
    <t xml:space="preserve">歩いて</t>
  </si>
  <si>
    <t xml:space="preserve">Đi bộ</t>
  </si>
  <si>
    <r>
      <rPr>
        <sz val="10"/>
        <rFont val="Noto Sans CJK SC"/>
        <family val="2"/>
      </rPr>
      <t xml:space="preserve">歩 </t>
    </r>
    <r>
      <rPr>
        <sz val="10"/>
        <rFont val="Arial"/>
        <family val="0"/>
        <charset val="1"/>
      </rPr>
      <t xml:space="preserve">có bộ </t>
    </r>
    <r>
      <rPr>
        <sz val="10"/>
        <rFont val="Noto Sans CJK SC"/>
        <family val="2"/>
      </rPr>
      <t xml:space="preserve">止 </t>
    </r>
    <r>
      <rPr>
        <sz val="10"/>
        <rFont val="Arial"/>
        <family val="0"/>
        <charset val="1"/>
      </rPr>
      <t xml:space="preserve">(bàn chân) → dùng chân mà đi. KHÔNG dùng </t>
    </r>
    <r>
      <rPr>
        <sz val="10"/>
        <rFont val="Noto Sans CJK SC"/>
        <family val="2"/>
      </rPr>
      <t xml:space="preserve">で </t>
    </r>
    <r>
      <rPr>
        <sz val="10"/>
        <rFont val="Arial"/>
        <family val="0"/>
        <charset val="1"/>
      </rPr>
      <t xml:space="preserve">với </t>
    </r>
    <r>
      <rPr>
        <sz val="10"/>
        <rFont val="Noto Sans CJK SC"/>
        <family val="2"/>
      </rPr>
      <t xml:space="preserve">歩いて</t>
    </r>
    <r>
      <rPr>
        <sz val="10"/>
        <rFont val="Arial"/>
        <family val="0"/>
        <charset val="1"/>
      </rPr>
      <t xml:space="preserve">.</t>
    </r>
  </si>
  <si>
    <t xml:space="preserve">Hai nét như hai chân đang bước.</t>
  </si>
  <si>
    <t xml:space="preserve">ともだち</t>
  </si>
  <si>
    <t xml:space="preserve">友だち</t>
  </si>
  <si>
    <r>
      <rPr>
        <sz val="10"/>
        <rFont val="Noto Sans CJK SC"/>
        <family val="2"/>
      </rPr>
      <t xml:space="preserve">友 </t>
    </r>
    <r>
      <rPr>
        <sz val="10"/>
        <rFont val="Arial"/>
        <family val="0"/>
        <charset val="1"/>
      </rPr>
      <t xml:space="preserve">= hai bàn tay nắm nhau → tình BẠN.</t>
    </r>
  </si>
  <si>
    <t xml:space="preserve">せんげつ</t>
  </si>
  <si>
    <t xml:space="preserve">先月</t>
  </si>
  <si>
    <t xml:space="preserve">Tháng trước</t>
  </si>
  <si>
    <r>
      <rPr>
        <sz val="10"/>
        <rFont val="Noto Sans CJK SC"/>
        <family val="2"/>
      </rPr>
      <t xml:space="preserve">先 </t>
    </r>
    <r>
      <rPr>
        <sz val="10"/>
        <rFont val="Arial"/>
        <family val="0"/>
        <charset val="1"/>
      </rPr>
      <t xml:space="preserve">(TIÊN = trước) + </t>
    </r>
    <r>
      <rPr>
        <sz val="10"/>
        <rFont val="Noto Sans CJK SC"/>
        <family val="2"/>
      </rPr>
      <t xml:space="preserve">月 </t>
    </r>
    <r>
      <rPr>
        <sz val="10"/>
        <rFont val="Arial"/>
        <family val="0"/>
        <charset val="1"/>
      </rPr>
      <t xml:space="preserve">(tháng). Cùng nhóm: </t>
    </r>
    <r>
      <rPr>
        <sz val="10"/>
        <rFont val="Noto Sans CJK SC"/>
        <family val="2"/>
      </rPr>
      <t xml:space="preserve">先週</t>
    </r>
    <r>
      <rPr>
        <sz val="10"/>
        <rFont val="Arial"/>
        <family val="0"/>
        <charset val="1"/>
      </rPr>
      <t xml:space="preserve">, </t>
    </r>
    <r>
      <rPr>
        <sz val="10"/>
        <rFont val="Noto Sans CJK SC"/>
        <family val="2"/>
      </rPr>
      <t xml:space="preserve">先年</t>
    </r>
    <r>
      <rPr>
        <sz val="10"/>
        <rFont val="Arial"/>
        <family val="0"/>
        <charset val="1"/>
      </rPr>
      <t xml:space="preserve">.</t>
    </r>
  </si>
  <si>
    <t xml:space="preserve">らいしゅう</t>
  </si>
  <si>
    <t xml:space="preserve">来週</t>
  </si>
  <si>
    <t xml:space="preserve">Tuần sau</t>
  </si>
  <si>
    <r>
      <rPr>
        <sz val="10"/>
        <rFont val="Noto Sans CJK SC"/>
        <family val="2"/>
      </rPr>
      <t xml:space="preserve">来 </t>
    </r>
    <r>
      <rPr>
        <sz val="10"/>
        <rFont val="Arial"/>
        <family val="0"/>
        <charset val="1"/>
      </rPr>
      <t xml:space="preserve">(LAI = đến, sắp tới) + </t>
    </r>
    <r>
      <rPr>
        <sz val="10"/>
        <rFont val="Noto Sans CJK SC"/>
        <family val="2"/>
      </rPr>
      <t xml:space="preserve">週 </t>
    </r>
    <r>
      <rPr>
        <sz val="10"/>
        <rFont val="Arial"/>
        <family val="0"/>
        <charset val="1"/>
      </rPr>
      <t xml:space="preserve">(tuần). Cùng nhóm: </t>
    </r>
    <r>
      <rPr>
        <sz val="10"/>
        <rFont val="Noto Sans CJK SC"/>
        <family val="2"/>
      </rPr>
      <t xml:space="preserve">来月</t>
    </r>
    <r>
      <rPr>
        <sz val="10"/>
        <rFont val="Arial"/>
        <family val="0"/>
        <charset val="1"/>
      </rPr>
      <t xml:space="preserve">, </t>
    </r>
    <r>
      <rPr>
        <sz val="10"/>
        <rFont val="Noto Sans CJK SC"/>
        <family val="2"/>
      </rPr>
      <t xml:space="preserve">来年</t>
    </r>
    <r>
      <rPr>
        <sz val="10"/>
        <rFont val="Arial"/>
        <family val="0"/>
        <charset val="1"/>
      </rPr>
      <t xml:space="preserve">.</t>
    </r>
  </si>
  <si>
    <t xml:space="preserve">たんじょうび</t>
  </si>
  <si>
    <t xml:space="preserve">誕生日</t>
  </si>
  <si>
    <t xml:space="preserve">Sinh nhật</t>
  </si>
  <si>
    <t xml:space="preserve">ĐẢN SINH NHẬT = ngày được sinh ra.</t>
  </si>
  <si>
    <r>
      <rPr>
        <b val="true"/>
        <sz val="12"/>
        <color rgb="FFFFFFFF"/>
        <rFont val="Arial"/>
        <family val="0"/>
        <charset val="1"/>
      </rPr>
      <t xml:space="preserve">▌ BÀI 6  ·  Tân ngữ </t>
    </r>
    <r>
      <rPr>
        <b val="true"/>
        <sz val="12"/>
        <color rgb="FFFFFFFF"/>
        <rFont val="Noto Sans CJK SC"/>
        <family val="2"/>
      </rPr>
      <t xml:space="preserve">を </t>
    </r>
    <r>
      <rPr>
        <b val="true"/>
        <sz val="12"/>
        <color rgb="FFFFFFFF"/>
        <rFont val="Arial"/>
        <family val="0"/>
        <charset val="1"/>
      </rPr>
      <t xml:space="preserve">&amp; Rủ rê  (14 từ)</t>
    </r>
  </si>
  <si>
    <t xml:space="preserve">たべます</t>
  </si>
  <si>
    <t xml:space="preserve">食べます</t>
  </si>
  <si>
    <r>
      <rPr>
        <sz val="10"/>
        <rFont val="Noto Sans CJK SC"/>
        <family val="2"/>
      </rPr>
      <t xml:space="preserve">食 </t>
    </r>
    <r>
      <rPr>
        <sz val="10"/>
        <rFont val="Arial"/>
        <family val="0"/>
        <charset val="1"/>
      </rPr>
      <t xml:space="preserve">= mái che trên mâm cơm đầy.</t>
    </r>
  </si>
  <si>
    <t xml:space="preserve">のみます</t>
  </si>
  <si>
    <t xml:space="preserve">飲みます</t>
  </si>
  <si>
    <r>
      <rPr>
        <sz val="10"/>
        <rFont val="Noto Sans CJK SC"/>
        <family val="2"/>
      </rPr>
      <t xml:space="preserve">飲 </t>
    </r>
    <r>
      <rPr>
        <sz val="10"/>
        <rFont val="Arial"/>
        <family val="0"/>
        <charset val="1"/>
      </rPr>
      <t xml:space="preserve">= </t>
    </r>
    <r>
      <rPr>
        <sz val="10"/>
        <rFont val="Noto Sans CJK SC"/>
        <family val="2"/>
      </rPr>
      <t xml:space="preserve">食 </t>
    </r>
    <r>
      <rPr>
        <sz val="10"/>
        <rFont val="Arial"/>
        <family val="0"/>
        <charset val="1"/>
      </rPr>
      <t xml:space="preserve">(ăn) + </t>
    </r>
    <r>
      <rPr>
        <sz val="10"/>
        <rFont val="Noto Sans CJK SC"/>
        <family val="2"/>
      </rPr>
      <t xml:space="preserve">欠 </t>
    </r>
    <r>
      <rPr>
        <sz val="10"/>
        <rFont val="Arial"/>
        <family val="0"/>
        <charset val="1"/>
      </rPr>
      <t xml:space="preserve">(há miệng) → ngửa cổ UỐNG.</t>
    </r>
  </si>
  <si>
    <t xml:space="preserve">すいます</t>
  </si>
  <si>
    <t xml:space="preserve">吸います</t>
  </si>
  <si>
    <t xml:space="preserve">Hút (thuốc)</t>
  </si>
  <si>
    <r>
      <rPr>
        <sz val="10"/>
        <rFont val="Noto Sans CJK SC"/>
        <family val="2"/>
      </rPr>
      <t xml:space="preserve">吸 </t>
    </r>
    <r>
      <rPr>
        <sz val="10"/>
        <rFont val="Arial"/>
        <family val="0"/>
        <charset val="1"/>
      </rPr>
      <t xml:space="preserve">có bộ </t>
    </r>
    <r>
      <rPr>
        <sz val="10"/>
        <rFont val="Noto Sans CJK SC"/>
        <family val="2"/>
      </rPr>
      <t xml:space="preserve">口 </t>
    </r>
    <r>
      <rPr>
        <sz val="10"/>
        <rFont val="Arial"/>
        <family val="0"/>
        <charset val="1"/>
      </rPr>
      <t xml:space="preserve">(miệng) → dùng miệng HÚT vào.</t>
    </r>
  </si>
  <si>
    <t xml:space="preserve">みます</t>
  </si>
  <si>
    <t xml:space="preserve">見ます</t>
  </si>
  <si>
    <t xml:space="preserve">Xem, nhìn</t>
  </si>
  <si>
    <r>
      <rPr>
        <sz val="10"/>
        <rFont val="Noto Sans CJK SC"/>
        <family val="2"/>
      </rPr>
      <t xml:space="preserve">見 </t>
    </r>
    <r>
      <rPr>
        <sz val="10"/>
        <rFont val="Arial"/>
        <family val="0"/>
        <charset val="1"/>
      </rPr>
      <t xml:space="preserve">= </t>
    </r>
    <r>
      <rPr>
        <sz val="10"/>
        <rFont val="Noto Sans CJK SC"/>
        <family val="2"/>
      </rPr>
      <t xml:space="preserve">目 </t>
    </r>
    <r>
      <rPr>
        <sz val="10"/>
        <rFont val="Arial"/>
        <family val="0"/>
        <charset val="1"/>
      </rPr>
      <t xml:space="preserve">(mắt) trên </t>
    </r>
    <r>
      <rPr>
        <sz val="10"/>
        <rFont val="Noto Sans CJK SC"/>
        <family val="2"/>
      </rPr>
      <t xml:space="preserve">儿 </t>
    </r>
    <r>
      <rPr>
        <sz val="10"/>
        <rFont val="Arial"/>
        <family val="0"/>
        <charset val="1"/>
      </rPr>
      <t xml:space="preserve">(chân) → mắt biết đi khắp nơi.</t>
    </r>
  </si>
  <si>
    <t xml:space="preserve">ききます</t>
  </si>
  <si>
    <t xml:space="preserve">聞きます</t>
  </si>
  <si>
    <r>
      <rPr>
        <sz val="10"/>
        <rFont val="Noto Sans CJK SC"/>
        <family val="2"/>
      </rPr>
      <t xml:space="preserve">聞 </t>
    </r>
    <r>
      <rPr>
        <sz val="10"/>
        <rFont val="Arial"/>
        <family val="0"/>
        <charset val="1"/>
      </rPr>
      <t xml:space="preserve">= </t>
    </r>
    <r>
      <rPr>
        <sz val="10"/>
        <rFont val="Noto Sans CJK SC"/>
        <family val="2"/>
      </rPr>
      <t xml:space="preserve">耳 </t>
    </r>
    <r>
      <rPr>
        <sz val="10"/>
        <rFont val="Arial"/>
        <family val="0"/>
        <charset val="1"/>
      </rPr>
      <t xml:space="preserve">(tai) áp vào </t>
    </r>
    <r>
      <rPr>
        <sz val="10"/>
        <rFont val="Noto Sans CJK SC"/>
        <family val="2"/>
      </rPr>
      <t xml:space="preserve">門 </t>
    </r>
    <r>
      <rPr>
        <sz val="10"/>
        <rFont val="Arial"/>
        <family val="0"/>
        <charset val="1"/>
      </rPr>
      <t xml:space="preserve">(cửa) → nghe lén.</t>
    </r>
  </si>
  <si>
    <t xml:space="preserve">よみます</t>
  </si>
  <si>
    <t xml:space="preserve">読みます</t>
  </si>
  <si>
    <r>
      <rPr>
        <sz val="10"/>
        <rFont val="Noto Sans CJK SC"/>
        <family val="2"/>
      </rPr>
      <t xml:space="preserve">読 </t>
    </r>
    <r>
      <rPr>
        <sz val="10"/>
        <rFont val="Arial"/>
        <family val="0"/>
        <charset val="1"/>
      </rPr>
      <t xml:space="preserve">= </t>
    </r>
    <r>
      <rPr>
        <sz val="10"/>
        <rFont val="Noto Sans CJK SC"/>
        <family val="2"/>
      </rPr>
      <t xml:space="preserve">言 </t>
    </r>
    <r>
      <rPr>
        <sz val="10"/>
        <rFont val="Arial"/>
        <family val="0"/>
        <charset val="1"/>
      </rPr>
      <t xml:space="preserve">(nói) + </t>
    </r>
    <r>
      <rPr>
        <sz val="10"/>
        <rFont val="Noto Sans CJK SC"/>
        <family val="2"/>
      </rPr>
      <t xml:space="preserve">売 </t>
    </r>
    <r>
      <rPr>
        <sz val="10"/>
        <rFont val="Arial"/>
        <family val="0"/>
        <charset val="1"/>
      </rPr>
      <t xml:space="preserve">(bán) → đọc to lời rao hàng.</t>
    </r>
  </si>
  <si>
    <t xml:space="preserve">かきます</t>
  </si>
  <si>
    <t xml:space="preserve">書きます</t>
  </si>
  <si>
    <t xml:space="preserve">Viết, vẽ</t>
  </si>
  <si>
    <r>
      <rPr>
        <sz val="10"/>
        <rFont val="Noto Sans CJK SC"/>
        <family val="2"/>
      </rPr>
      <t xml:space="preserve">書 </t>
    </r>
    <r>
      <rPr>
        <sz val="10"/>
        <rFont val="Arial"/>
        <family val="0"/>
        <charset val="1"/>
      </rPr>
      <t xml:space="preserve">= tay cầm bút viết lên tờ giấy </t>
    </r>
    <r>
      <rPr>
        <sz val="10"/>
        <rFont val="Noto Sans CJK SC"/>
        <family val="2"/>
      </rPr>
      <t xml:space="preserve">日</t>
    </r>
    <r>
      <rPr>
        <sz val="10"/>
        <rFont val="Arial"/>
        <family val="0"/>
        <charset val="1"/>
      </rPr>
      <t xml:space="preserve">.</t>
    </r>
  </si>
  <si>
    <t xml:space="preserve">かいます</t>
  </si>
  <si>
    <t xml:space="preserve">買います</t>
  </si>
  <si>
    <r>
      <rPr>
        <sz val="10"/>
        <rFont val="Noto Sans CJK SC"/>
        <family val="2"/>
      </rPr>
      <t xml:space="preserve">買 </t>
    </r>
    <r>
      <rPr>
        <sz val="10"/>
        <rFont val="Arial"/>
        <family val="0"/>
        <charset val="1"/>
      </rPr>
      <t xml:space="preserve">= lưới </t>
    </r>
    <r>
      <rPr>
        <sz val="10"/>
        <rFont val="Noto Sans CJK SC"/>
        <family val="2"/>
      </rPr>
      <t xml:space="preserve">罒 </t>
    </r>
    <r>
      <rPr>
        <sz val="10"/>
        <rFont val="Arial"/>
        <family val="0"/>
        <charset val="1"/>
      </rPr>
      <t xml:space="preserve">chụp lên </t>
    </r>
    <r>
      <rPr>
        <sz val="10"/>
        <rFont val="Noto Sans CJK SC"/>
        <family val="2"/>
      </rPr>
      <t xml:space="preserve">貝 </t>
    </r>
    <r>
      <rPr>
        <sz val="10"/>
        <rFont val="Arial"/>
        <family val="0"/>
        <charset val="1"/>
      </rPr>
      <t xml:space="preserve">(tiền vỏ sò) → gom tiền MUA.</t>
    </r>
  </si>
  <si>
    <t xml:space="preserve">します</t>
  </si>
  <si>
    <t xml:space="preserve">Làm</t>
  </si>
  <si>
    <r>
      <rPr>
        <sz val="10"/>
        <rFont val="Arial"/>
        <family val="0"/>
        <charset val="1"/>
      </rPr>
      <t xml:space="preserve">Động từ bất quy tắc. Ghép sau danh từ: </t>
    </r>
    <r>
      <rPr>
        <sz val="10"/>
        <rFont val="Noto Sans CJK SC"/>
        <family val="2"/>
      </rPr>
      <t xml:space="preserve">勉強します</t>
    </r>
    <r>
      <rPr>
        <sz val="10"/>
        <rFont val="Arial"/>
        <family val="0"/>
        <charset val="1"/>
      </rPr>
      <t xml:space="preserve">, </t>
    </r>
    <r>
      <rPr>
        <sz val="10"/>
        <rFont val="Noto Sans CJK SC"/>
        <family val="2"/>
      </rPr>
      <t xml:space="preserve">電話します</t>
    </r>
    <r>
      <rPr>
        <sz val="10"/>
        <rFont val="Arial"/>
        <family val="0"/>
        <charset val="1"/>
      </rPr>
      <t xml:space="preserve">.</t>
    </r>
  </si>
  <si>
    <t xml:space="preserve">あいます</t>
  </si>
  <si>
    <t xml:space="preserve">会います</t>
  </si>
  <si>
    <t xml:space="preserve">Gặp</t>
  </si>
  <si>
    <r>
      <rPr>
        <sz val="10"/>
        <rFont val="Noto Sans CJK SC"/>
        <family val="2"/>
      </rPr>
      <t xml:space="preserve">会 </t>
    </r>
    <r>
      <rPr>
        <sz val="10"/>
        <rFont val="Arial"/>
        <family val="0"/>
        <charset val="1"/>
      </rPr>
      <t xml:space="preserve">= mái nhà che nhiều người tụ lại. Đi với trợ từ </t>
    </r>
    <r>
      <rPr>
        <sz val="10"/>
        <rFont val="Noto Sans CJK SC"/>
        <family val="2"/>
      </rPr>
      <t xml:space="preserve">に</t>
    </r>
    <r>
      <rPr>
        <sz val="10"/>
        <rFont val="Arial"/>
        <family val="0"/>
        <charset val="1"/>
      </rPr>
      <t xml:space="preserve">: </t>
    </r>
    <r>
      <rPr>
        <sz val="10"/>
        <rFont val="Noto Sans CJK SC"/>
        <family val="2"/>
      </rPr>
      <t xml:space="preserve">友だちに 会います。</t>
    </r>
  </si>
  <si>
    <t xml:space="preserve">ごはん</t>
  </si>
  <si>
    <t xml:space="preserve">ご飯</t>
  </si>
  <si>
    <t xml:space="preserve">Cơm</t>
  </si>
  <si>
    <r>
      <rPr>
        <sz val="10"/>
        <rFont val="Noto Sans CJK SC"/>
        <family val="2"/>
      </rPr>
      <t xml:space="preserve">飯 </t>
    </r>
    <r>
      <rPr>
        <sz val="10"/>
        <rFont val="Arial"/>
        <family val="0"/>
        <charset val="1"/>
      </rPr>
      <t xml:space="preserve">(PHẠN) có bộ </t>
    </r>
    <r>
      <rPr>
        <sz val="10"/>
        <rFont val="Noto Sans CJK SC"/>
        <family val="2"/>
      </rPr>
      <t xml:space="preserve">食 → </t>
    </r>
    <r>
      <rPr>
        <sz val="10"/>
        <rFont val="Arial"/>
        <family val="0"/>
        <charset val="1"/>
      </rPr>
      <t xml:space="preserve">thứ để ăn. </t>
    </r>
    <r>
      <rPr>
        <sz val="10"/>
        <rFont val="Noto Sans CJK SC"/>
        <family val="2"/>
      </rPr>
      <t xml:space="preserve">朝ご飯 </t>
    </r>
    <r>
      <rPr>
        <sz val="10"/>
        <rFont val="Arial"/>
        <family val="0"/>
        <charset val="1"/>
      </rPr>
      <t xml:space="preserve">/ </t>
    </r>
    <r>
      <rPr>
        <sz val="10"/>
        <rFont val="Noto Sans CJK SC"/>
        <family val="2"/>
      </rPr>
      <t xml:space="preserve">昼ご飯 </t>
    </r>
    <r>
      <rPr>
        <sz val="10"/>
        <rFont val="Arial"/>
        <family val="0"/>
        <charset val="1"/>
      </rPr>
      <t xml:space="preserve">/ </t>
    </r>
    <r>
      <rPr>
        <sz val="10"/>
        <rFont val="Noto Sans CJK SC"/>
        <family val="2"/>
      </rPr>
      <t xml:space="preserve">晩ご飯</t>
    </r>
    <r>
      <rPr>
        <sz val="10"/>
        <rFont val="Arial"/>
        <family val="0"/>
        <charset val="1"/>
      </rPr>
      <t xml:space="preserve">.</t>
    </r>
  </si>
  <si>
    <t xml:space="preserve">たまご</t>
  </si>
  <si>
    <t xml:space="preserve">卵</t>
  </si>
  <si>
    <t xml:space="preserve">Trứng</t>
  </si>
  <si>
    <r>
      <rPr>
        <sz val="10"/>
        <rFont val="Arial"/>
        <family val="0"/>
        <charset val="1"/>
      </rPr>
      <t xml:space="preserve">TA-MA-GO: 'ta mà gô' — quả trứng tròn gô. Kanji </t>
    </r>
    <r>
      <rPr>
        <sz val="10"/>
        <rFont val="Noto Sans CJK SC"/>
        <family val="2"/>
      </rPr>
      <t xml:space="preserve">卵 </t>
    </r>
    <r>
      <rPr>
        <sz val="10"/>
        <rFont val="Arial"/>
        <family val="0"/>
        <charset val="1"/>
      </rPr>
      <t xml:space="preserve">giống hai quả trứng có chấm.</t>
    </r>
  </si>
  <si>
    <t xml:space="preserve">にく</t>
  </si>
  <si>
    <t xml:space="preserve">肉</t>
  </si>
  <si>
    <t xml:space="preserve">Thịt</t>
  </si>
  <si>
    <r>
      <rPr>
        <sz val="10"/>
        <rFont val="Arial"/>
        <family val="0"/>
        <charset val="1"/>
      </rPr>
      <t xml:space="preserve">NHỤC = thịt. Kanji </t>
    </r>
    <r>
      <rPr>
        <sz val="10"/>
        <rFont val="Noto Sans CJK SC"/>
        <family val="2"/>
      </rPr>
      <t xml:space="preserve">肉 </t>
    </r>
    <r>
      <rPr>
        <sz val="10"/>
        <rFont val="Arial"/>
        <family val="0"/>
        <charset val="1"/>
      </rPr>
      <t xml:space="preserve">giống miếng thịt có vân mỡ bên trong.</t>
    </r>
  </si>
  <si>
    <r>
      <rPr>
        <sz val="10"/>
        <rFont val="Arial"/>
        <family val="0"/>
        <charset val="1"/>
      </rPr>
      <t xml:space="preserve">Kanji </t>
    </r>
    <r>
      <rPr>
        <sz val="10"/>
        <rFont val="Noto Sans CJK SC"/>
        <family val="2"/>
      </rPr>
      <t xml:space="preserve">魚</t>
    </r>
    <r>
      <rPr>
        <sz val="10"/>
        <rFont val="Arial"/>
        <family val="0"/>
        <charset val="1"/>
      </rPr>
      <t xml:space="preserve">: đầu, thân vảy, bốn chấm là đuôi xòe.</t>
    </r>
  </si>
  <si>
    <r>
      <rPr>
        <b val="true"/>
        <sz val="12"/>
        <color rgb="FFFFFFFF"/>
        <rFont val="Arial"/>
        <family val="0"/>
        <charset val="1"/>
      </rPr>
      <t xml:space="preserve">▌ BÀI 7  ·  Cho &amp; Nhận, Công cụ </t>
    </r>
    <r>
      <rPr>
        <b val="true"/>
        <sz val="12"/>
        <color rgb="FFFFFFFF"/>
        <rFont val="Noto Sans CJK SC"/>
        <family val="2"/>
      </rPr>
      <t xml:space="preserve">で  </t>
    </r>
    <r>
      <rPr>
        <b val="true"/>
        <sz val="12"/>
        <color rgb="FFFFFFFF"/>
        <rFont val="Arial"/>
        <family val="0"/>
        <charset val="1"/>
      </rPr>
      <t xml:space="preserve">(14 từ)</t>
    </r>
  </si>
  <si>
    <t xml:space="preserve">あげます</t>
  </si>
  <si>
    <t xml:space="preserve">Cho, tặng</t>
  </si>
  <si>
    <t xml:space="preserve">A-GE: 'a, ghê' — tặng món quà ghê gớm. Hướng: TÔI → NGƯỜI KHÁC.</t>
  </si>
  <si>
    <t xml:space="preserve">もらいます</t>
  </si>
  <si>
    <t xml:space="preserve">Nhận được</t>
  </si>
  <si>
    <t xml:space="preserve">MO-RA-I: 'mở ra i' — mở món quà nhận được. Hướng: NGƯỜI KHÁC → TÔI.</t>
  </si>
  <si>
    <t xml:space="preserve">かします</t>
  </si>
  <si>
    <t xml:space="preserve">貸します</t>
  </si>
  <si>
    <t xml:space="preserve">Cho mượn</t>
  </si>
  <si>
    <r>
      <rPr>
        <sz val="10"/>
        <rFont val="Noto Sans CJK SC"/>
        <family val="2"/>
      </rPr>
      <t xml:space="preserve">貸 </t>
    </r>
    <r>
      <rPr>
        <sz val="10"/>
        <rFont val="Arial"/>
        <family val="0"/>
        <charset val="1"/>
      </rPr>
      <t xml:space="preserve">có </t>
    </r>
    <r>
      <rPr>
        <sz val="10"/>
        <rFont val="Noto Sans CJK SC"/>
        <family val="2"/>
      </rPr>
      <t xml:space="preserve">貝 </t>
    </r>
    <r>
      <rPr>
        <sz val="10"/>
        <rFont val="Arial"/>
        <family val="0"/>
        <charset val="1"/>
      </rPr>
      <t xml:space="preserve">(tiền) → đưa tiền/đồ cho người khác dùng tạm.</t>
    </r>
  </si>
  <si>
    <t xml:space="preserve">かります</t>
  </si>
  <si>
    <t xml:space="preserve">借ります</t>
  </si>
  <si>
    <t xml:space="preserve">Mượn</t>
  </si>
  <si>
    <r>
      <rPr>
        <sz val="10"/>
        <rFont val="Noto Sans CJK SC"/>
        <family val="2"/>
      </rPr>
      <t xml:space="preserve">借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昔 </t>
    </r>
    <r>
      <rPr>
        <sz val="10"/>
        <rFont val="Arial"/>
        <family val="0"/>
        <charset val="1"/>
      </rPr>
      <t xml:space="preserve">(ngày xưa) → mượn rồi hẹn ngày trả.</t>
    </r>
  </si>
  <si>
    <t xml:space="preserve">おしえます</t>
  </si>
  <si>
    <t xml:space="preserve">教えます</t>
  </si>
  <si>
    <t xml:space="preserve">Dạy</t>
  </si>
  <si>
    <r>
      <rPr>
        <sz val="10"/>
        <rFont val="Noto Sans CJK SC"/>
        <family val="2"/>
      </rPr>
      <t xml:space="preserve">教 </t>
    </r>
    <r>
      <rPr>
        <sz val="10"/>
        <rFont val="Arial"/>
        <family val="0"/>
        <charset val="1"/>
      </rPr>
      <t xml:space="preserve">(GIÁO) = dạy. Cùng gốc với </t>
    </r>
    <r>
      <rPr>
        <sz val="10"/>
        <rFont val="Noto Sans CJK SC"/>
        <family val="2"/>
      </rPr>
      <t xml:space="preserve">教室 </t>
    </r>
    <r>
      <rPr>
        <sz val="10"/>
        <rFont val="Arial"/>
        <family val="0"/>
        <charset val="1"/>
      </rPr>
      <t xml:space="preserve">(phòng học) đã học.</t>
    </r>
  </si>
  <si>
    <t xml:space="preserve">ならいます</t>
  </si>
  <si>
    <t xml:space="preserve">習います</t>
  </si>
  <si>
    <t xml:space="preserve">Học (từ ai đó)</t>
  </si>
  <si>
    <r>
      <rPr>
        <sz val="10"/>
        <rFont val="Noto Sans CJK SC"/>
        <family val="2"/>
      </rPr>
      <t xml:space="preserve">習 </t>
    </r>
    <r>
      <rPr>
        <sz val="10"/>
        <rFont val="Arial"/>
        <family val="0"/>
        <charset val="1"/>
      </rPr>
      <t xml:space="preserve">= </t>
    </r>
    <r>
      <rPr>
        <sz val="10"/>
        <rFont val="Noto Sans CJK SC"/>
        <family val="2"/>
      </rPr>
      <t xml:space="preserve">羽 </t>
    </r>
    <r>
      <rPr>
        <sz val="10"/>
        <rFont val="Arial"/>
        <family val="0"/>
        <charset val="1"/>
      </rPr>
      <t xml:space="preserve">(lông vũ) + </t>
    </r>
    <r>
      <rPr>
        <sz val="10"/>
        <rFont val="Noto Sans CJK SC"/>
        <family val="2"/>
      </rPr>
      <t xml:space="preserve">白 → </t>
    </r>
    <r>
      <rPr>
        <sz val="10"/>
        <rFont val="Arial"/>
        <family val="0"/>
        <charset val="1"/>
      </rPr>
      <t xml:space="preserve">chim non tập bay, lặp đi lặp lại.</t>
    </r>
  </si>
  <si>
    <t xml:space="preserve">かけます</t>
  </si>
  <si>
    <t xml:space="preserve">Gọi (điện thoại)</t>
  </si>
  <si>
    <r>
      <rPr>
        <sz val="10"/>
        <rFont val="Noto Sans CJK SC"/>
        <family val="2"/>
      </rPr>
      <t xml:space="preserve">電話を かけます — </t>
    </r>
    <r>
      <rPr>
        <sz val="10"/>
        <rFont val="Arial"/>
        <family val="0"/>
        <charset val="1"/>
      </rPr>
      <t xml:space="preserve">'treo' cuộc gọi lên đường dây.</t>
    </r>
  </si>
  <si>
    <t xml:space="preserve">Hình bàn tay xòe các ngón.</t>
  </si>
  <si>
    <t xml:space="preserve">はし</t>
  </si>
  <si>
    <t xml:space="preserve">箸</t>
  </si>
  <si>
    <t xml:space="preserve">Đũa</t>
  </si>
  <si>
    <r>
      <rPr>
        <sz val="10"/>
        <rFont val="Arial"/>
        <family val="0"/>
        <charset val="1"/>
      </rPr>
      <t xml:space="preserve">Kanji </t>
    </r>
    <r>
      <rPr>
        <sz val="10"/>
        <rFont val="Noto Sans CJK SC"/>
        <family val="2"/>
      </rPr>
      <t xml:space="preserve">箸 </t>
    </r>
    <r>
      <rPr>
        <sz val="10"/>
        <rFont val="Arial"/>
        <family val="0"/>
        <charset val="1"/>
      </rPr>
      <t xml:space="preserve">có bộ </t>
    </r>
    <r>
      <rPr>
        <sz val="10"/>
        <rFont val="Noto Sans CJK SC"/>
        <family val="2"/>
      </rPr>
      <t xml:space="preserve">竹 </t>
    </r>
    <r>
      <rPr>
        <sz val="10"/>
        <rFont val="Arial"/>
        <family val="0"/>
        <charset val="1"/>
      </rPr>
      <t xml:space="preserve">(tre) ở trên → đũa làm bằng tre.</t>
    </r>
  </si>
  <si>
    <t xml:space="preserve">スプーン</t>
  </si>
  <si>
    <t xml:space="preserve">Thìa</t>
  </si>
  <si>
    <t xml:space="preserve">Từ 'spoon'.</t>
  </si>
  <si>
    <t xml:space="preserve">かみ</t>
  </si>
  <si>
    <t xml:space="preserve">紙</t>
  </si>
  <si>
    <t xml:space="preserve">Giấy</t>
  </si>
  <si>
    <r>
      <rPr>
        <sz val="10"/>
        <rFont val="Noto Sans CJK SC"/>
        <family val="2"/>
      </rPr>
      <t xml:space="preserve">紙 </t>
    </r>
    <r>
      <rPr>
        <sz val="10"/>
        <rFont val="Arial"/>
        <family val="0"/>
        <charset val="1"/>
      </rPr>
      <t xml:space="preserve">có bộ </t>
    </r>
    <r>
      <rPr>
        <sz val="10"/>
        <rFont val="Noto Sans CJK SC"/>
        <family val="2"/>
      </rPr>
      <t xml:space="preserve">糸 </t>
    </r>
    <r>
      <rPr>
        <sz val="10"/>
        <rFont val="Arial"/>
        <family val="0"/>
        <charset val="1"/>
      </rPr>
      <t xml:space="preserve">(sợi) → giấy làm từ sợi thực vật.</t>
    </r>
  </si>
  <si>
    <r>
      <rPr>
        <sz val="10"/>
        <rFont val="Noto Sans CJK SC"/>
        <family val="2"/>
      </rPr>
      <t xml:space="preserve">花 </t>
    </r>
    <r>
      <rPr>
        <sz val="10"/>
        <rFont val="Arial"/>
        <family val="0"/>
        <charset val="1"/>
      </rPr>
      <t xml:space="preserve">= </t>
    </r>
    <r>
      <rPr>
        <sz val="10"/>
        <rFont val="Noto Sans CJK SC"/>
        <family val="2"/>
      </rPr>
      <t xml:space="preserve">艹 </t>
    </r>
    <r>
      <rPr>
        <sz val="10"/>
        <rFont val="Arial"/>
        <family val="0"/>
        <charset val="1"/>
      </rPr>
      <t xml:space="preserve">(cỏ cây) + </t>
    </r>
    <r>
      <rPr>
        <sz val="10"/>
        <rFont val="Noto Sans CJK SC"/>
        <family val="2"/>
      </rPr>
      <t xml:space="preserve">化 </t>
    </r>
    <r>
      <rPr>
        <sz val="10"/>
        <rFont val="Arial"/>
        <family val="0"/>
        <charset val="1"/>
      </rPr>
      <t xml:space="preserve">(biến hóa) → cây biến thành thứ đẹp.</t>
    </r>
  </si>
  <si>
    <t xml:space="preserve">プレゼント</t>
  </si>
  <si>
    <t xml:space="preserve">Quà tặng</t>
  </si>
  <si>
    <t xml:space="preserve">Từ 'present'.</t>
  </si>
  <si>
    <t xml:space="preserve">にもつ</t>
  </si>
  <si>
    <t xml:space="preserve">荷物</t>
  </si>
  <si>
    <t xml:space="preserve">Hành lý</t>
  </si>
  <si>
    <r>
      <rPr>
        <sz val="10"/>
        <rFont val="Arial"/>
        <family val="0"/>
        <charset val="1"/>
      </rPr>
      <t xml:space="preserve">HÀ VẬT = đồ đạc mang vác. </t>
    </r>
    <r>
      <rPr>
        <sz val="10"/>
        <rFont val="Noto Sans CJK SC"/>
        <family val="2"/>
      </rPr>
      <t xml:space="preserve">物 </t>
    </r>
    <r>
      <rPr>
        <sz val="10"/>
        <rFont val="Arial"/>
        <family val="0"/>
        <charset val="1"/>
      </rPr>
      <t xml:space="preserve">(vật) gặp nhiều: </t>
    </r>
    <r>
      <rPr>
        <sz val="10"/>
        <rFont val="Noto Sans CJK SC"/>
        <family val="2"/>
      </rPr>
      <t xml:space="preserve">買い物</t>
    </r>
    <r>
      <rPr>
        <sz val="10"/>
        <rFont val="Arial"/>
        <family val="0"/>
        <charset val="1"/>
      </rPr>
      <t xml:space="preserve">, </t>
    </r>
    <r>
      <rPr>
        <sz val="10"/>
        <rFont val="Noto Sans CJK SC"/>
        <family val="2"/>
      </rPr>
      <t xml:space="preserve">飲み物</t>
    </r>
    <r>
      <rPr>
        <sz val="10"/>
        <rFont val="Arial"/>
        <family val="0"/>
        <charset val="1"/>
      </rPr>
      <t xml:space="preserve">.</t>
    </r>
  </si>
  <si>
    <t xml:space="preserve">▌ BÀI 8  ·  Tính từ  (14 từ)</t>
  </si>
  <si>
    <t xml:space="preserve">おおきい</t>
  </si>
  <si>
    <t xml:space="preserve">大きい</t>
  </si>
  <si>
    <t xml:space="preserve">To</t>
  </si>
  <si>
    <r>
      <rPr>
        <sz val="10"/>
        <rFont val="Noto Sans CJK SC"/>
        <family val="2"/>
      </rPr>
      <t xml:space="preserve">大 </t>
    </r>
    <r>
      <rPr>
        <sz val="10"/>
        <rFont val="Arial"/>
        <family val="0"/>
        <charset val="1"/>
      </rPr>
      <t xml:space="preserve">= người dang rộng hai tay khoe 'to bằng này!'</t>
    </r>
  </si>
  <si>
    <t xml:space="preserve">ちいさい</t>
  </si>
  <si>
    <t xml:space="preserve">小さい</t>
  </si>
  <si>
    <r>
      <rPr>
        <sz val="10"/>
        <rFont val="Noto Sans CJK SC"/>
        <family val="2"/>
      </rPr>
      <t xml:space="preserve">小 </t>
    </r>
    <r>
      <rPr>
        <sz val="10"/>
        <rFont val="Arial"/>
        <family val="0"/>
        <charset val="1"/>
      </rPr>
      <t xml:space="preserve">= ba chấm bé xíu chụm lại.</t>
    </r>
  </si>
  <si>
    <t xml:space="preserve">あたらしい</t>
  </si>
  <si>
    <t xml:space="preserve">新しい</t>
  </si>
  <si>
    <r>
      <rPr>
        <sz val="10"/>
        <rFont val="Noto Sans CJK SC"/>
        <family val="2"/>
      </rPr>
      <t xml:space="preserve">新 </t>
    </r>
    <r>
      <rPr>
        <sz val="10"/>
        <rFont val="Arial"/>
        <family val="0"/>
        <charset val="1"/>
      </rPr>
      <t xml:space="preserve">= dùng rìu </t>
    </r>
    <r>
      <rPr>
        <sz val="10"/>
        <rFont val="Noto Sans CJK SC"/>
        <family val="2"/>
      </rPr>
      <t xml:space="preserve">斤 </t>
    </r>
    <r>
      <rPr>
        <sz val="10"/>
        <rFont val="Arial"/>
        <family val="0"/>
        <charset val="1"/>
      </rPr>
      <t xml:space="preserve">đốn cây → gỗ MỚI chặt.</t>
    </r>
  </si>
  <si>
    <t xml:space="preserve">ふるい</t>
  </si>
  <si>
    <t xml:space="preserve">古い</t>
  </si>
  <si>
    <r>
      <rPr>
        <sz val="10"/>
        <rFont val="Noto Sans CJK SC"/>
        <family val="2"/>
      </rPr>
      <t xml:space="preserve">古 </t>
    </r>
    <r>
      <rPr>
        <sz val="10"/>
        <rFont val="Arial"/>
        <family val="0"/>
        <charset val="1"/>
      </rPr>
      <t xml:space="preserve">= </t>
    </r>
    <r>
      <rPr>
        <sz val="10"/>
        <rFont val="Noto Sans CJK SC"/>
        <family val="2"/>
      </rPr>
      <t xml:space="preserve">十 </t>
    </r>
    <r>
      <rPr>
        <sz val="10"/>
        <rFont val="Arial"/>
        <family val="0"/>
        <charset val="1"/>
      </rPr>
      <t xml:space="preserve">(mười) + </t>
    </r>
    <r>
      <rPr>
        <sz val="10"/>
        <rFont val="Noto Sans CJK SC"/>
        <family val="2"/>
      </rPr>
      <t xml:space="preserve">口 </t>
    </r>
    <r>
      <rPr>
        <sz val="10"/>
        <rFont val="Arial"/>
        <family val="0"/>
        <charset val="1"/>
      </rPr>
      <t xml:space="preserve">(miệng) → chuyện qua mười miệng thì đã cũ.</t>
    </r>
  </si>
  <si>
    <t xml:space="preserve">たかい</t>
  </si>
  <si>
    <t xml:space="preserve">高い</t>
  </si>
  <si>
    <r>
      <rPr>
        <sz val="10"/>
        <rFont val="Noto Sans CJK SC"/>
        <family val="2"/>
      </rPr>
      <t xml:space="preserve">高 </t>
    </r>
    <r>
      <rPr>
        <sz val="10"/>
        <rFont val="Arial"/>
        <family val="0"/>
        <charset val="1"/>
      </rPr>
      <t xml:space="preserve">= tòa tháp nhiều tầng. Giá vọt lên cao = ĐẮT.</t>
    </r>
  </si>
  <si>
    <t xml:space="preserve">やすい</t>
  </si>
  <si>
    <t xml:space="preserve">安い</t>
  </si>
  <si>
    <t xml:space="preserve">Rẻ</t>
  </si>
  <si>
    <r>
      <rPr>
        <sz val="10"/>
        <rFont val="Noto Sans CJK SC"/>
        <family val="2"/>
      </rPr>
      <t xml:space="preserve">安 </t>
    </r>
    <r>
      <rPr>
        <sz val="10"/>
        <rFont val="Arial"/>
        <family val="0"/>
        <charset val="1"/>
      </rPr>
      <t xml:space="preserve">= </t>
    </r>
    <r>
      <rPr>
        <sz val="10"/>
        <rFont val="Noto Sans CJK SC"/>
        <family val="2"/>
      </rPr>
      <t xml:space="preserve">宀 </t>
    </r>
    <r>
      <rPr>
        <sz val="10"/>
        <rFont val="Arial"/>
        <family val="0"/>
        <charset val="1"/>
      </rPr>
      <t xml:space="preserve">(mái nhà) che </t>
    </r>
    <r>
      <rPr>
        <sz val="10"/>
        <rFont val="Noto Sans CJK SC"/>
        <family val="2"/>
      </rPr>
      <t xml:space="preserve">女 → </t>
    </r>
    <r>
      <rPr>
        <sz val="10"/>
        <rFont val="Arial"/>
        <family val="0"/>
        <charset val="1"/>
      </rPr>
      <t xml:space="preserve">yên tâm. Giá yên tâm mua = RẺ.</t>
    </r>
  </si>
  <si>
    <t xml:space="preserve">おもしろい</t>
  </si>
  <si>
    <t xml:space="preserve">面白い</t>
  </si>
  <si>
    <t xml:space="preserve">Thú vị</t>
  </si>
  <si>
    <t xml:space="preserve">MIÊN BẠCH = 'mặt trắng ra' vì quá bất ngờ, thú vị.</t>
  </si>
  <si>
    <t xml:space="preserve">いそがしい</t>
  </si>
  <si>
    <t xml:space="preserve">忙しい</t>
  </si>
  <si>
    <t xml:space="preserve">Bận rộn</t>
  </si>
  <si>
    <r>
      <rPr>
        <sz val="10"/>
        <rFont val="Noto Sans CJK SC"/>
        <family val="2"/>
      </rPr>
      <t xml:space="preserve">忙 </t>
    </r>
    <r>
      <rPr>
        <sz val="10"/>
        <rFont val="Arial"/>
        <family val="0"/>
        <charset val="1"/>
      </rPr>
      <t xml:space="preserve">= </t>
    </r>
    <r>
      <rPr>
        <sz val="10"/>
        <rFont val="Noto Sans CJK SC"/>
        <family val="2"/>
      </rPr>
      <t xml:space="preserve">忄 </t>
    </r>
    <r>
      <rPr>
        <sz val="10"/>
        <rFont val="Arial"/>
        <family val="0"/>
        <charset val="1"/>
      </rPr>
      <t xml:space="preserve">(tim) + </t>
    </r>
    <r>
      <rPr>
        <sz val="10"/>
        <rFont val="Noto Sans CJK SC"/>
        <family val="2"/>
      </rPr>
      <t xml:space="preserve">亡 </t>
    </r>
    <r>
      <rPr>
        <sz val="10"/>
        <rFont val="Arial"/>
        <family val="0"/>
        <charset val="1"/>
      </rPr>
      <t xml:space="preserve">(mất) → bận đến mất cả trái tim.</t>
    </r>
  </si>
  <si>
    <t xml:space="preserve">たのしい</t>
  </si>
  <si>
    <t xml:space="preserve">楽しい</t>
  </si>
  <si>
    <t xml:space="preserve">Vui</t>
  </si>
  <si>
    <r>
      <rPr>
        <sz val="10"/>
        <rFont val="Noto Sans CJK SC"/>
        <family val="2"/>
      </rPr>
      <t xml:space="preserve">楽 </t>
    </r>
    <r>
      <rPr>
        <sz val="10"/>
        <rFont val="Arial"/>
        <family val="0"/>
        <charset val="1"/>
      </rPr>
      <t xml:space="preserve">(LẠC) = niềm vui. Cùng chữ với </t>
    </r>
    <r>
      <rPr>
        <sz val="10"/>
        <rFont val="Noto Sans CJK SC"/>
        <family val="2"/>
      </rPr>
      <t xml:space="preserve">音楽 </t>
    </r>
    <r>
      <rPr>
        <sz val="10"/>
        <rFont val="Arial"/>
        <family val="0"/>
        <charset val="1"/>
      </rPr>
      <t xml:space="preserve">(âm nhạc).</t>
    </r>
  </si>
  <si>
    <r>
      <rPr>
        <b val="true"/>
        <sz val="12"/>
        <rFont val="Noto Sans CJK SC"/>
        <family val="2"/>
      </rPr>
      <t xml:space="preserve">きれい</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</si>
  <si>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t xml:space="preserve">Đẹp, sạch</t>
  </si>
  <si>
    <r>
      <rPr>
        <sz val="10"/>
        <rFont val="Arial"/>
        <family val="0"/>
        <charset val="1"/>
      </rPr>
      <t xml:space="preserve">Đuôi </t>
    </r>
    <r>
      <rPr>
        <sz val="10"/>
        <rFont val="Noto Sans CJK SC"/>
        <family val="2"/>
      </rPr>
      <t xml:space="preserve">い </t>
    </r>
    <r>
      <rPr>
        <sz val="10"/>
        <rFont val="Arial"/>
        <family val="0"/>
        <charset val="1"/>
      </rPr>
      <t xml:space="preserve">nhưng là </t>
    </r>
    <r>
      <rPr>
        <sz val="10"/>
        <rFont val="Noto Sans CJK SC"/>
        <family val="2"/>
      </rPr>
      <t xml:space="preserve">な</t>
    </r>
    <r>
      <rPr>
        <sz val="10"/>
        <rFont val="Arial"/>
        <family val="0"/>
        <charset val="1"/>
      </rPr>
      <t xml:space="preserve">-adj — cái bẫy kinh điển. Nhớ kỹ!</t>
    </r>
  </si>
  <si>
    <r>
      <rPr>
        <b val="true"/>
        <sz val="12"/>
        <rFont val="Noto Sans CJK SC"/>
        <family val="2"/>
      </rPr>
      <t xml:space="preserve">しずか</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</si>
  <si>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r>
      <rPr>
        <sz val="12"/>
        <rFont val="Noto Sans CJK SC"/>
        <family val="2"/>
      </rPr>
      <t xml:space="preserve">静か</t>
    </r>
    <r>
      <rPr>
        <sz val="12"/>
        <rFont val="Arial"/>
        <family val="0"/>
        <charset val="1"/>
      </rPr>
      <t xml:space="preserve">[</t>
    </r>
    <r>
      <rPr>
        <sz val="12"/>
        <rFont val="Noto Sans CJK SC"/>
        <family val="2"/>
      </rPr>
      <t xml:space="preserve">な</t>
    </r>
    <r>
      <rPr>
        <sz val="12"/>
        <rFont val="Arial"/>
        <family val="0"/>
        <charset val="1"/>
      </rPr>
      <t xml:space="preserve">]</t>
    </r>
  </si>
  <si>
    <t xml:space="preserve">Yên tĩnh</t>
  </si>
  <si>
    <r>
      <rPr>
        <sz val="10"/>
        <rFont val="Arial"/>
        <family val="0"/>
        <charset val="1"/>
      </rPr>
      <t xml:space="preserve">TĨNH = yên. </t>
    </r>
    <r>
      <rPr>
        <sz val="10"/>
        <rFont val="Noto Sans CJK SC"/>
        <family val="2"/>
      </rPr>
      <t xml:space="preserve">静かに してください </t>
    </r>
    <r>
      <rPr>
        <sz val="10"/>
        <rFont val="Arial"/>
        <family val="0"/>
        <charset val="1"/>
      </rPr>
      <t xml:space="preserve">= xin giữ trật tự.</t>
    </r>
  </si>
  <si>
    <r>
      <rPr>
        <b val="true"/>
        <sz val="12"/>
        <rFont val="Noto Sans CJK SC"/>
        <family val="2"/>
      </rPr>
      <t xml:space="preserve">げんき</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</si>
  <si>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r>
      <rPr>
        <sz val="12"/>
        <rFont val="Noto Sans CJK SC"/>
        <family val="2"/>
      </rPr>
      <t xml:space="preserve">元気</t>
    </r>
    <r>
      <rPr>
        <sz val="12"/>
        <rFont val="Arial"/>
        <family val="0"/>
        <charset val="1"/>
      </rPr>
      <t xml:space="preserve">[</t>
    </r>
    <r>
      <rPr>
        <sz val="12"/>
        <rFont val="Noto Sans CJK SC"/>
        <family val="2"/>
      </rPr>
      <t xml:space="preserve">な</t>
    </r>
    <r>
      <rPr>
        <sz val="12"/>
        <rFont val="Arial"/>
        <family val="0"/>
        <charset val="1"/>
      </rPr>
      <t xml:space="preserve">]</t>
    </r>
  </si>
  <si>
    <t xml:space="preserve">Khỏe mạnh</t>
  </si>
  <si>
    <t xml:space="preserve">NGUYÊN KHÍ = khí lực gốc còn đầy → khỏe.</t>
  </si>
  <si>
    <r>
      <rPr>
        <b val="true"/>
        <sz val="12"/>
        <rFont val="Noto Sans CJK SC"/>
        <family val="2"/>
      </rPr>
      <t xml:space="preserve">ゆうめい</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</si>
  <si>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r>
      <rPr>
        <sz val="12"/>
        <rFont val="Noto Sans CJK SC"/>
        <family val="2"/>
      </rPr>
      <t xml:space="preserve">有名</t>
    </r>
    <r>
      <rPr>
        <sz val="12"/>
        <rFont val="Arial"/>
        <family val="0"/>
        <charset val="1"/>
      </rPr>
      <t xml:space="preserve">[</t>
    </r>
    <r>
      <rPr>
        <sz val="12"/>
        <rFont val="Noto Sans CJK SC"/>
        <family val="2"/>
      </rPr>
      <t xml:space="preserve">な</t>
    </r>
    <r>
      <rPr>
        <sz val="12"/>
        <rFont val="Arial"/>
        <family val="0"/>
        <charset val="1"/>
      </rPr>
      <t xml:space="preserve">]</t>
    </r>
  </si>
  <si>
    <t xml:space="preserve">Nổi tiếng</t>
  </si>
  <si>
    <t xml:space="preserve">HỮU DANH = có tên tuổi.</t>
  </si>
  <si>
    <r>
      <rPr>
        <b val="true"/>
        <sz val="12"/>
        <rFont val="Noto Sans CJK SC"/>
        <family val="2"/>
      </rPr>
      <t xml:space="preserve">しんせつ</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</si>
  <si>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r>
      <rPr>
        <sz val="12"/>
        <rFont val="Noto Sans CJK SC"/>
        <family val="2"/>
      </rPr>
      <t xml:space="preserve">親切</t>
    </r>
    <r>
      <rPr>
        <sz val="12"/>
        <rFont val="Arial"/>
        <family val="0"/>
        <charset val="1"/>
      </rPr>
      <t xml:space="preserve">[</t>
    </r>
    <r>
      <rPr>
        <sz val="12"/>
        <rFont val="Noto Sans CJK SC"/>
        <family val="2"/>
      </rPr>
      <t xml:space="preserve">な</t>
    </r>
    <r>
      <rPr>
        <sz val="12"/>
        <rFont val="Arial"/>
        <family val="0"/>
        <charset val="1"/>
      </rPr>
      <t xml:space="preserve">]</t>
    </r>
  </si>
  <si>
    <t xml:space="preserve">Tốt bụng</t>
  </si>
  <si>
    <t xml:space="preserve">THÂN THIẾT = gần gũi, tử tế với người khác.</t>
  </si>
  <si>
    <r>
      <rPr>
        <b val="true"/>
        <sz val="12"/>
        <color rgb="FFFFFFFF"/>
        <rFont val="Arial"/>
        <family val="0"/>
        <charset val="1"/>
      </rPr>
      <t xml:space="preserve">▌ BÀI 9  ·  Thích / Giỏi / Có &amp; Lý do </t>
    </r>
    <r>
      <rPr>
        <b val="true"/>
        <sz val="12"/>
        <color rgb="FFFFFFFF"/>
        <rFont val="Noto Sans CJK SC"/>
        <family val="2"/>
      </rPr>
      <t xml:space="preserve">から  </t>
    </r>
    <r>
      <rPr>
        <b val="true"/>
        <sz val="12"/>
        <color rgb="FFFFFFFF"/>
        <rFont val="Arial"/>
        <family val="0"/>
        <charset val="1"/>
      </rPr>
      <t xml:space="preserve">(14 từ)</t>
    </r>
  </si>
  <si>
    <r>
      <rPr>
        <b val="true"/>
        <sz val="12"/>
        <rFont val="Noto Sans CJK SC"/>
        <family val="2"/>
      </rPr>
      <t xml:space="preserve">すき</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</si>
  <si>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r>
      <rPr>
        <sz val="12"/>
        <rFont val="Noto Sans CJK SC"/>
        <family val="2"/>
      </rPr>
      <t xml:space="preserve">好き</t>
    </r>
    <r>
      <rPr>
        <sz val="12"/>
        <rFont val="Arial"/>
        <family val="0"/>
        <charset val="1"/>
      </rPr>
      <t xml:space="preserve">[</t>
    </r>
    <r>
      <rPr>
        <sz val="12"/>
        <rFont val="Noto Sans CJK SC"/>
        <family val="2"/>
      </rPr>
      <t xml:space="preserve">な</t>
    </r>
    <r>
      <rPr>
        <sz val="12"/>
        <rFont val="Arial"/>
        <family val="0"/>
        <charset val="1"/>
      </rPr>
      <t xml:space="preserve">]</t>
    </r>
  </si>
  <si>
    <t xml:space="preserve">Thích</t>
  </si>
  <si>
    <r>
      <rPr>
        <sz val="10"/>
        <rFont val="Noto Sans CJK SC"/>
        <family val="2"/>
      </rPr>
      <t xml:space="preserve">好 </t>
    </r>
    <r>
      <rPr>
        <sz val="10"/>
        <rFont val="Arial"/>
        <family val="0"/>
        <charset val="1"/>
      </rPr>
      <t xml:space="preserve">= </t>
    </r>
    <r>
      <rPr>
        <sz val="10"/>
        <rFont val="Noto Sans CJK SC"/>
        <family val="2"/>
      </rPr>
      <t xml:space="preserve">女 </t>
    </r>
    <r>
      <rPr>
        <sz val="10"/>
        <rFont val="Arial"/>
        <family val="0"/>
        <charset val="1"/>
      </rPr>
      <t xml:space="preserve">(nữ) + </t>
    </r>
    <r>
      <rPr>
        <sz val="10"/>
        <rFont val="Noto Sans CJK SC"/>
        <family val="2"/>
      </rPr>
      <t xml:space="preserve">子 </t>
    </r>
    <r>
      <rPr>
        <sz val="10"/>
        <rFont val="Arial"/>
        <family val="0"/>
        <charset val="1"/>
      </rPr>
      <t xml:space="preserve">(con) → mẹ thương con = THÍCH.</t>
    </r>
  </si>
  <si>
    <r>
      <rPr>
        <b val="true"/>
        <sz val="12"/>
        <rFont val="Noto Sans CJK SC"/>
        <family val="2"/>
      </rPr>
      <t xml:space="preserve">きらい</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</si>
  <si>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r>
      <rPr>
        <sz val="12"/>
        <rFont val="Noto Sans CJK SC"/>
        <family val="2"/>
      </rPr>
      <t xml:space="preserve">嫌い</t>
    </r>
    <r>
      <rPr>
        <sz val="12"/>
        <rFont val="Arial"/>
        <family val="0"/>
        <charset val="1"/>
      </rPr>
      <t xml:space="preserve">[</t>
    </r>
    <r>
      <rPr>
        <sz val="12"/>
        <rFont val="Noto Sans CJK SC"/>
        <family val="2"/>
      </rPr>
      <t xml:space="preserve">な</t>
    </r>
    <r>
      <rPr>
        <sz val="12"/>
        <rFont val="Arial"/>
        <family val="0"/>
        <charset val="1"/>
      </rPr>
      <t xml:space="preserve">]</t>
    </r>
  </si>
  <si>
    <t xml:space="preserve">Ghét</t>
  </si>
  <si>
    <r>
      <rPr>
        <sz val="10"/>
        <rFont val="Noto Sans CJK SC"/>
        <family val="2"/>
      </rPr>
      <t xml:space="preserve">嫌 </t>
    </r>
    <r>
      <rPr>
        <sz val="10"/>
        <rFont val="Arial"/>
        <family val="0"/>
        <charset val="1"/>
      </rPr>
      <t xml:space="preserve">có bộ </t>
    </r>
    <r>
      <rPr>
        <sz val="10"/>
        <rFont val="Noto Sans CJK SC"/>
        <family val="2"/>
      </rPr>
      <t xml:space="preserve">女 → </t>
    </r>
    <r>
      <rPr>
        <sz val="10"/>
        <rFont val="Arial"/>
        <family val="0"/>
        <charset val="1"/>
      </rPr>
      <t xml:space="preserve">'hiềm' khích, ghét bỏ.</t>
    </r>
  </si>
  <si>
    <r>
      <rPr>
        <b val="true"/>
        <sz val="12"/>
        <rFont val="Noto Sans CJK SC"/>
        <family val="2"/>
      </rPr>
      <t xml:space="preserve">じょうず</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</si>
  <si>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r>
      <rPr>
        <sz val="12"/>
        <rFont val="Noto Sans CJK SC"/>
        <family val="2"/>
      </rPr>
      <t xml:space="preserve">上手</t>
    </r>
    <r>
      <rPr>
        <sz val="12"/>
        <rFont val="Arial"/>
        <family val="0"/>
        <charset val="1"/>
      </rPr>
      <t xml:space="preserve">[</t>
    </r>
    <r>
      <rPr>
        <sz val="12"/>
        <rFont val="Noto Sans CJK SC"/>
        <family val="2"/>
      </rPr>
      <t xml:space="preserve">な</t>
    </r>
    <r>
      <rPr>
        <sz val="12"/>
        <rFont val="Arial"/>
        <family val="0"/>
        <charset val="1"/>
      </rPr>
      <t xml:space="preserve">]</t>
    </r>
  </si>
  <si>
    <t xml:space="preserve">Giỏi</t>
  </si>
  <si>
    <t xml:space="preserve">THƯỢNG THỦ = tay nghề bậc trên → GIỎI.</t>
  </si>
  <si>
    <r>
      <rPr>
        <b val="true"/>
        <sz val="12"/>
        <rFont val="Noto Sans CJK SC"/>
        <family val="2"/>
      </rPr>
      <t xml:space="preserve">へた</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</si>
  <si>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r>
      <rPr>
        <sz val="12"/>
        <rFont val="Noto Sans CJK SC"/>
        <family val="2"/>
      </rPr>
      <t xml:space="preserve">下手</t>
    </r>
    <r>
      <rPr>
        <sz val="12"/>
        <rFont val="Arial"/>
        <family val="0"/>
        <charset val="1"/>
      </rPr>
      <t xml:space="preserve">[</t>
    </r>
    <r>
      <rPr>
        <sz val="12"/>
        <rFont val="Noto Sans CJK SC"/>
        <family val="2"/>
      </rPr>
      <t xml:space="preserve">な</t>
    </r>
    <r>
      <rPr>
        <sz val="12"/>
        <rFont val="Arial"/>
        <family val="0"/>
        <charset val="1"/>
      </rPr>
      <t xml:space="preserve">]</t>
    </r>
  </si>
  <si>
    <t xml:space="preserve">Kém</t>
  </si>
  <si>
    <r>
      <rPr>
        <sz val="10"/>
        <rFont val="Arial"/>
        <family val="0"/>
        <charset val="1"/>
      </rPr>
      <t xml:space="preserve">HẠ THỦ = tay nghề bậc dưới → KÉM. Đối lập hoàn hảo với </t>
    </r>
    <r>
      <rPr>
        <sz val="10"/>
        <rFont val="Noto Sans CJK SC"/>
        <family val="2"/>
      </rPr>
      <t xml:space="preserve">上手</t>
    </r>
    <r>
      <rPr>
        <sz val="10"/>
        <rFont val="Arial"/>
        <family val="0"/>
        <charset val="1"/>
      </rPr>
      <t xml:space="preserve">.</t>
    </r>
  </si>
  <si>
    <t xml:space="preserve">わかります</t>
  </si>
  <si>
    <t xml:space="preserve">分かります</t>
  </si>
  <si>
    <t xml:space="preserve">Hiểu</t>
  </si>
  <si>
    <r>
      <rPr>
        <sz val="10"/>
        <rFont val="Noto Sans CJK SC"/>
        <family val="2"/>
      </rPr>
      <t xml:space="preserve">分 </t>
    </r>
    <r>
      <rPr>
        <sz val="10"/>
        <rFont val="Arial"/>
        <family val="0"/>
        <charset val="1"/>
      </rPr>
      <t xml:space="preserve">= lấy dao chia nhỏ vấn đề ra → HIỂU được.</t>
    </r>
  </si>
  <si>
    <t xml:space="preserve">あります</t>
  </si>
  <si>
    <t xml:space="preserve">Có (đồ vật, sự kiện)</t>
  </si>
  <si>
    <r>
      <rPr>
        <sz val="10"/>
        <rFont val="Arial"/>
        <family val="0"/>
        <charset val="1"/>
      </rPr>
      <t xml:space="preserve">Dùng cho vật vô tri và sự kiện. Vật sống thì dùng </t>
    </r>
    <r>
      <rPr>
        <sz val="10"/>
        <rFont val="Noto Sans CJK SC"/>
        <family val="2"/>
      </rPr>
      <t xml:space="preserve">います</t>
    </r>
    <r>
      <rPr>
        <sz val="10"/>
        <rFont val="Arial"/>
        <family val="0"/>
        <charset val="1"/>
      </rPr>
      <t xml:space="preserve">.</t>
    </r>
  </si>
  <si>
    <t xml:space="preserve">りょうり</t>
  </si>
  <si>
    <t xml:space="preserve">料理</t>
  </si>
  <si>
    <t xml:space="preserve">Món ăn, nấu ăn</t>
  </si>
  <si>
    <t xml:space="preserve">LIỆU LÝ = xử lý nguyên liệu → nấu ăn.</t>
  </si>
  <si>
    <t xml:space="preserve">おんがく</t>
  </si>
  <si>
    <t xml:space="preserve">音楽</t>
  </si>
  <si>
    <t xml:space="preserve">Âm nhạc</t>
  </si>
  <si>
    <r>
      <rPr>
        <sz val="10"/>
        <rFont val="Arial"/>
        <family val="0"/>
        <charset val="1"/>
      </rPr>
      <t xml:space="preserve">ÂM NHẠC — </t>
    </r>
    <r>
      <rPr>
        <sz val="10"/>
        <rFont val="Noto Sans CJK SC"/>
        <family val="2"/>
      </rPr>
      <t xml:space="preserve">音 </t>
    </r>
    <r>
      <rPr>
        <sz val="10"/>
        <rFont val="Arial"/>
        <family val="0"/>
        <charset val="1"/>
      </rPr>
      <t xml:space="preserve">(âm) + </t>
    </r>
    <r>
      <rPr>
        <sz val="10"/>
        <rFont val="Noto Sans CJK SC"/>
        <family val="2"/>
      </rPr>
      <t xml:space="preserve">楽 </t>
    </r>
    <r>
      <rPr>
        <sz val="10"/>
        <rFont val="Arial"/>
        <family val="0"/>
        <charset val="1"/>
      </rPr>
      <t xml:space="preserve">(nhạc/lạc).</t>
    </r>
  </si>
  <si>
    <t xml:space="preserve">えいが</t>
  </si>
  <si>
    <t xml:space="preserve">映画</t>
  </si>
  <si>
    <t xml:space="preserve">Phim</t>
  </si>
  <si>
    <t xml:space="preserve">ÁNH HỌA = bức tranh chiếu sáng lên màn.</t>
  </si>
  <si>
    <t xml:space="preserve">スポーツ</t>
  </si>
  <si>
    <t xml:space="preserve">Thể thao</t>
  </si>
  <si>
    <t xml:space="preserve">Từ 'sports'.</t>
  </si>
  <si>
    <t xml:space="preserve">よく</t>
  </si>
  <si>
    <t xml:space="preserve">Thường xuyên, giỏi</t>
  </si>
  <si>
    <r>
      <rPr>
        <sz val="10"/>
        <rFont val="Noto Sans CJK SC"/>
        <family val="2"/>
      </rPr>
      <t xml:space="preserve">よく 行きます </t>
    </r>
    <r>
      <rPr>
        <sz val="10"/>
        <rFont val="Arial"/>
        <family val="0"/>
        <charset val="1"/>
      </rPr>
      <t xml:space="preserve">= hay đi. </t>
    </r>
    <r>
      <rPr>
        <sz val="10"/>
        <rFont val="Noto Sans CJK SC"/>
        <family val="2"/>
      </rPr>
      <t xml:space="preserve">よく わかります </t>
    </r>
    <r>
      <rPr>
        <sz val="10"/>
        <rFont val="Arial"/>
        <family val="0"/>
        <charset val="1"/>
      </rPr>
      <t xml:space="preserve">= hiểu rõ.</t>
    </r>
  </si>
  <si>
    <t xml:space="preserve">あまり</t>
  </si>
  <si>
    <t xml:space="preserve">Không ~ lắm</t>
  </si>
  <si>
    <r>
      <rPr>
        <sz val="10"/>
        <rFont val="Arial"/>
        <family val="0"/>
        <charset val="1"/>
      </rPr>
      <t xml:space="preserve">BẮT BUỘC đi với phủ định: </t>
    </r>
    <r>
      <rPr>
        <sz val="10"/>
        <rFont val="Noto Sans CJK SC"/>
        <family val="2"/>
      </rPr>
      <t xml:space="preserve">あまり 高くないです。</t>
    </r>
  </si>
  <si>
    <t xml:space="preserve">ぜんぜん</t>
  </si>
  <si>
    <t xml:space="preserve">全然</t>
  </si>
  <si>
    <t xml:space="preserve">Hoàn toàn không</t>
  </si>
  <si>
    <t xml:space="preserve">Cũng BẮT BUỘC đi với phủ định. TOÀN NHIÊN = toàn bộ như vậy.</t>
  </si>
  <si>
    <t xml:space="preserve">どうして</t>
  </si>
  <si>
    <t xml:space="preserve">Tại sao</t>
  </si>
  <si>
    <r>
      <rPr>
        <sz val="10"/>
        <rFont val="Arial"/>
        <family val="0"/>
        <charset val="1"/>
      </rPr>
      <t xml:space="preserve">Trả lời phải kết thúc bằng </t>
    </r>
    <r>
      <rPr>
        <sz val="10"/>
        <rFont val="Noto Sans CJK SC"/>
        <family val="2"/>
      </rPr>
      <t xml:space="preserve">〜からです</t>
    </r>
    <r>
      <rPr>
        <sz val="10"/>
        <rFont val="Arial"/>
        <family val="0"/>
        <charset val="1"/>
      </rPr>
      <t xml:space="preserve">.</t>
    </r>
  </si>
  <si>
    <r>
      <rPr>
        <b val="true"/>
        <sz val="12"/>
        <color rgb="FFFFFFFF"/>
        <rFont val="Arial"/>
        <family val="0"/>
        <charset val="1"/>
      </rPr>
      <t xml:space="preserve">▌ BÀI 10  ·  Tồn tại — </t>
    </r>
    <r>
      <rPr>
        <b val="true"/>
        <sz val="12"/>
        <color rgb="FFFFFFFF"/>
        <rFont val="Noto Sans CJK SC"/>
        <family val="2"/>
      </rPr>
      <t xml:space="preserve">あります </t>
    </r>
    <r>
      <rPr>
        <b val="true"/>
        <sz val="12"/>
        <color rgb="FFFFFFFF"/>
        <rFont val="Arial"/>
        <family val="0"/>
        <charset val="1"/>
      </rPr>
      <t xml:space="preserve">/ </t>
    </r>
    <r>
      <rPr>
        <b val="true"/>
        <sz val="12"/>
        <color rgb="FFFFFFFF"/>
        <rFont val="Noto Sans CJK SC"/>
        <family val="2"/>
      </rPr>
      <t xml:space="preserve">います </t>
    </r>
    <r>
      <rPr>
        <b val="true"/>
        <sz val="12"/>
        <color rgb="FFFFFFFF"/>
        <rFont val="Arial"/>
        <family val="0"/>
        <charset val="1"/>
      </rPr>
      <t xml:space="preserve">&amp; Vị trí  (14 từ)</t>
    </r>
  </si>
  <si>
    <t xml:space="preserve">います</t>
  </si>
  <si>
    <t xml:space="preserve">Có (người, động vật)</t>
  </si>
  <si>
    <r>
      <rPr>
        <sz val="10"/>
        <rFont val="Arial"/>
        <family val="0"/>
        <charset val="1"/>
      </rPr>
      <t xml:space="preserve">Vật SỐNG mới dùng </t>
    </r>
    <r>
      <rPr>
        <sz val="10"/>
        <rFont val="Noto Sans CJK SC"/>
        <family val="2"/>
      </rPr>
      <t xml:space="preserve">います</t>
    </r>
    <r>
      <rPr>
        <sz val="10"/>
        <rFont val="Arial"/>
        <family val="0"/>
        <charset val="1"/>
      </rPr>
      <t xml:space="preserve">. Nhớ: I-MASU cho 'I' là sinh vật.</t>
    </r>
  </si>
  <si>
    <t xml:space="preserve">うえ</t>
  </si>
  <si>
    <t xml:space="preserve">Bên trên</t>
  </si>
  <si>
    <r>
      <rPr>
        <sz val="10"/>
        <rFont val="Noto Sans CJK SC"/>
        <family val="2"/>
      </rPr>
      <t xml:space="preserve">上 </t>
    </r>
    <r>
      <rPr>
        <sz val="10"/>
        <rFont val="Arial"/>
        <family val="0"/>
        <charset val="1"/>
      </rPr>
      <t xml:space="preserve">= vạch mốc có nét nhô LÊN.</t>
    </r>
  </si>
  <si>
    <t xml:space="preserve">した</t>
  </si>
  <si>
    <t xml:space="preserve">Bên dưới</t>
  </si>
  <si>
    <r>
      <rPr>
        <sz val="10"/>
        <rFont val="Noto Sans CJK SC"/>
        <family val="2"/>
      </rPr>
      <t xml:space="preserve">下 </t>
    </r>
    <r>
      <rPr>
        <sz val="10"/>
        <rFont val="Arial"/>
        <family val="0"/>
        <charset val="1"/>
      </rPr>
      <t xml:space="preserve">= vạch mốc có nét thò XUỐNG. Lộn ngược của </t>
    </r>
    <r>
      <rPr>
        <sz val="10"/>
        <rFont val="Noto Sans CJK SC"/>
        <family val="2"/>
      </rPr>
      <t xml:space="preserve">上</t>
    </r>
    <r>
      <rPr>
        <sz val="10"/>
        <rFont val="Arial"/>
        <family val="0"/>
        <charset val="1"/>
      </rPr>
      <t xml:space="preserve">.</t>
    </r>
  </si>
  <si>
    <t xml:space="preserve">Phía trước</t>
  </si>
  <si>
    <r>
      <rPr>
        <sz val="10"/>
        <rFont val="Noto Sans CJK SC"/>
        <family val="2"/>
      </rPr>
      <t xml:space="preserve">前 </t>
    </r>
    <r>
      <rPr>
        <sz val="10"/>
        <rFont val="Arial"/>
        <family val="0"/>
        <charset val="1"/>
      </rPr>
      <t xml:space="preserve">cũng có trong </t>
    </r>
    <r>
      <rPr>
        <sz val="10"/>
        <rFont val="Noto Sans CJK SC"/>
        <family val="2"/>
      </rPr>
      <t xml:space="preserve">名前 </t>
    </r>
    <r>
      <rPr>
        <sz val="10"/>
        <rFont val="Arial"/>
        <family val="0"/>
        <charset val="1"/>
      </rPr>
      <t xml:space="preserve">(tên) và </t>
    </r>
    <r>
      <rPr>
        <sz val="10"/>
        <rFont val="Noto Sans CJK SC"/>
        <family val="2"/>
      </rPr>
      <t xml:space="preserve">午前 </t>
    </r>
    <r>
      <rPr>
        <sz val="10"/>
        <rFont val="Arial"/>
        <family val="0"/>
        <charset val="1"/>
      </rPr>
      <t xml:space="preserve">(buổi sáng).</t>
    </r>
  </si>
  <si>
    <t xml:space="preserve">うしろ</t>
  </si>
  <si>
    <t xml:space="preserve">後ろ</t>
  </si>
  <si>
    <t xml:space="preserve">Phía sau</t>
  </si>
  <si>
    <r>
      <rPr>
        <sz val="10"/>
        <rFont val="Noto Sans CJK SC"/>
        <family val="2"/>
      </rPr>
      <t xml:space="preserve">後 </t>
    </r>
    <r>
      <rPr>
        <sz val="10"/>
        <rFont val="Arial"/>
        <family val="0"/>
        <charset val="1"/>
      </rPr>
      <t xml:space="preserve">có bộ </t>
    </r>
    <r>
      <rPr>
        <sz val="10"/>
        <rFont val="Noto Sans CJK SC"/>
        <family val="2"/>
      </rPr>
      <t xml:space="preserve">彳 </t>
    </r>
    <r>
      <rPr>
        <sz val="10"/>
        <rFont val="Arial"/>
        <family val="0"/>
        <charset val="1"/>
      </rPr>
      <t xml:space="preserve">(bước đi) → bước chậm bị tụt lại SAU.</t>
    </r>
  </si>
  <si>
    <t xml:space="preserve">Bên trong</t>
  </si>
  <si>
    <r>
      <rPr>
        <sz val="10"/>
        <rFont val="Noto Sans CJK SC"/>
        <family val="2"/>
      </rPr>
      <t xml:space="preserve">中 </t>
    </r>
    <r>
      <rPr>
        <sz val="10"/>
        <rFont val="Arial"/>
        <family val="0"/>
        <charset val="1"/>
      </rPr>
      <t xml:space="preserve">= mũi tên xuyên qua tâm ô vuông.</t>
    </r>
  </si>
  <si>
    <t xml:space="preserve">そと</t>
  </si>
  <si>
    <r>
      <rPr>
        <sz val="10"/>
        <rFont val="Noto Sans CJK SC"/>
        <family val="2"/>
      </rPr>
      <t xml:space="preserve">外 </t>
    </r>
    <r>
      <rPr>
        <sz val="10"/>
        <rFont val="Arial"/>
        <family val="0"/>
        <charset val="1"/>
      </rPr>
      <t xml:space="preserve">= </t>
    </r>
    <r>
      <rPr>
        <sz val="10"/>
        <rFont val="Noto Sans CJK SC"/>
        <family val="2"/>
      </rPr>
      <t xml:space="preserve">夕 </t>
    </r>
    <r>
      <rPr>
        <sz val="10"/>
        <rFont val="Arial"/>
        <family val="0"/>
        <charset val="1"/>
      </rPr>
      <t xml:space="preserve">(chiều tối) + </t>
    </r>
    <r>
      <rPr>
        <sz val="10"/>
        <rFont val="Noto Sans CJK SC"/>
        <family val="2"/>
      </rPr>
      <t xml:space="preserve">卜 </t>
    </r>
    <r>
      <rPr>
        <sz val="10"/>
        <rFont val="Arial"/>
        <family val="0"/>
        <charset val="1"/>
      </rPr>
      <t xml:space="preserve">(bói) → bói ngoài trời.</t>
    </r>
  </si>
  <si>
    <t xml:space="preserve">となり</t>
  </si>
  <si>
    <t xml:space="preserve">隣</t>
  </si>
  <si>
    <t xml:space="preserve">Bên cạnh (cùng loại)</t>
  </si>
  <si>
    <r>
      <rPr>
        <sz val="10"/>
        <rFont val="Noto Sans CJK SC"/>
        <family val="2"/>
      </rPr>
      <t xml:space="preserve">隣 </t>
    </r>
    <r>
      <rPr>
        <sz val="10"/>
        <rFont val="Arial"/>
        <family val="0"/>
        <charset val="1"/>
      </rPr>
      <t xml:space="preserve">dùng cho nhà cạnh nhà, người cạnh người — cùng loại.</t>
    </r>
  </si>
  <si>
    <t xml:space="preserve">ちかく</t>
  </si>
  <si>
    <t xml:space="preserve">近く</t>
  </si>
  <si>
    <t xml:space="preserve">Gần đây</t>
  </si>
  <si>
    <r>
      <rPr>
        <sz val="10"/>
        <rFont val="Noto Sans CJK SC"/>
        <family val="2"/>
      </rPr>
      <t xml:space="preserve">近 </t>
    </r>
    <r>
      <rPr>
        <sz val="10"/>
        <rFont val="Arial"/>
        <family val="0"/>
        <charset val="1"/>
      </rPr>
      <t xml:space="preserve">có bộ </t>
    </r>
    <r>
      <rPr>
        <sz val="10"/>
        <rFont val="Noto Sans CJK SC"/>
        <family val="2"/>
      </rPr>
      <t xml:space="preserve">辶 </t>
    </r>
    <r>
      <rPr>
        <sz val="10"/>
        <rFont val="Arial"/>
        <family val="0"/>
        <charset val="1"/>
      </rPr>
      <t xml:space="preserve">(di chuyển) → đi một quãng ngắn là tới.</t>
    </r>
  </si>
  <si>
    <t xml:space="preserve">あいだ</t>
  </si>
  <si>
    <t xml:space="preserve">Ở giữa (hai vật)</t>
  </si>
  <si>
    <r>
      <rPr>
        <sz val="10"/>
        <rFont val="Noto Sans CJK SC"/>
        <family val="2"/>
      </rPr>
      <t xml:space="preserve">間 </t>
    </r>
    <r>
      <rPr>
        <sz val="10"/>
        <rFont val="Arial"/>
        <family val="0"/>
        <charset val="1"/>
      </rPr>
      <t xml:space="preserve">= ánh nắng </t>
    </r>
    <r>
      <rPr>
        <sz val="10"/>
        <rFont val="Noto Sans CJK SC"/>
        <family val="2"/>
      </rPr>
      <t xml:space="preserve">日 </t>
    </r>
    <r>
      <rPr>
        <sz val="10"/>
        <rFont val="Arial"/>
        <family val="0"/>
        <charset val="1"/>
      </rPr>
      <t xml:space="preserve">lọt qua khe cửa </t>
    </r>
    <r>
      <rPr>
        <sz val="10"/>
        <rFont val="Noto Sans CJK SC"/>
        <family val="2"/>
      </rPr>
      <t xml:space="preserve">門</t>
    </r>
    <r>
      <rPr>
        <sz val="10"/>
        <rFont val="Arial"/>
        <family val="0"/>
        <charset val="1"/>
      </rPr>
      <t xml:space="preserve">.</t>
    </r>
  </si>
  <si>
    <r>
      <rPr>
        <b val="true"/>
        <sz val="12"/>
        <rFont val="Noto Sans CJK SC"/>
        <family val="2"/>
      </rPr>
      <t xml:space="preserve">いえ </t>
    </r>
    <r>
      <rPr>
        <b val="true"/>
        <sz val="12"/>
        <rFont val="Arial"/>
        <family val="0"/>
        <charset val="1"/>
      </rPr>
      <t xml:space="preserve">/ </t>
    </r>
    <r>
      <rPr>
        <b val="true"/>
        <sz val="12"/>
        <rFont val="Noto Sans CJK SC"/>
        <family val="2"/>
      </rPr>
      <t xml:space="preserve">うち</t>
    </r>
  </si>
  <si>
    <t xml:space="preserve">Nhà</t>
  </si>
  <si>
    <r>
      <rPr>
        <sz val="10"/>
        <rFont val="Noto Sans CJK SC"/>
        <family val="2"/>
      </rPr>
      <t xml:space="preserve">家 </t>
    </r>
    <r>
      <rPr>
        <sz val="10"/>
        <rFont val="Arial"/>
        <family val="0"/>
        <charset val="1"/>
      </rPr>
      <t xml:space="preserve">= </t>
    </r>
    <r>
      <rPr>
        <sz val="10"/>
        <rFont val="Noto Sans CJK SC"/>
        <family val="2"/>
      </rPr>
      <t xml:space="preserve">宀 </t>
    </r>
    <r>
      <rPr>
        <sz val="10"/>
        <rFont val="Arial"/>
        <family val="0"/>
        <charset val="1"/>
      </rPr>
      <t xml:space="preserve">(mái nhà) + </t>
    </r>
    <r>
      <rPr>
        <sz val="10"/>
        <rFont val="Noto Sans CJK SC"/>
        <family val="2"/>
      </rPr>
      <t xml:space="preserve">豕 </t>
    </r>
    <r>
      <rPr>
        <sz val="10"/>
        <rFont val="Arial"/>
        <family val="0"/>
        <charset val="1"/>
      </rPr>
      <t xml:space="preserve">(con lợn) → nhà xưa nuôi lợn dưới sàn.</t>
    </r>
  </si>
  <si>
    <t xml:space="preserve">へや</t>
  </si>
  <si>
    <t xml:space="preserve">部屋</t>
  </si>
  <si>
    <t xml:space="preserve">Phòng</t>
  </si>
  <si>
    <t xml:space="preserve">BỘ ỐC = một gian trong ngôi nhà.</t>
  </si>
  <si>
    <t xml:space="preserve">にわ</t>
  </si>
  <si>
    <t xml:space="preserve">庭</t>
  </si>
  <si>
    <t xml:space="preserve">Sân vườn</t>
  </si>
  <si>
    <r>
      <rPr>
        <sz val="10"/>
        <rFont val="Noto Sans CJK SC"/>
        <family val="2"/>
      </rPr>
      <t xml:space="preserve">庭 </t>
    </r>
    <r>
      <rPr>
        <sz val="10"/>
        <rFont val="Arial"/>
        <family val="0"/>
        <charset val="1"/>
      </rPr>
      <t xml:space="preserve">có bộ </t>
    </r>
    <r>
      <rPr>
        <sz val="10"/>
        <rFont val="Noto Sans CJK SC"/>
        <family val="2"/>
      </rPr>
      <t xml:space="preserve">广 </t>
    </r>
    <r>
      <rPr>
        <sz val="10"/>
        <rFont val="Arial"/>
        <family val="0"/>
        <charset val="1"/>
      </rPr>
      <t xml:space="preserve">(mái hiên) → khoảng đất trước hiên nhà.</t>
    </r>
  </si>
  <si>
    <t xml:space="preserve">ビル</t>
  </si>
  <si>
    <t xml:space="preserve">Tòa nhà</t>
  </si>
  <si>
    <r>
      <rPr>
        <sz val="10"/>
        <rFont val="Arial"/>
        <family val="0"/>
        <charset val="1"/>
      </rPr>
      <t xml:space="preserve">Từ 'building' rút gọn. Đừng nhầm với </t>
    </r>
    <r>
      <rPr>
        <sz val="10"/>
        <rFont val="Noto Sans CJK SC"/>
        <family val="2"/>
      </rPr>
      <t xml:space="preserve">ビール </t>
    </r>
    <r>
      <rPr>
        <sz val="10"/>
        <rFont val="Arial"/>
        <family val="0"/>
        <charset val="1"/>
      </rPr>
      <t xml:space="preserve">(bia)!</t>
    </r>
  </si>
  <si>
    <t xml:space="preserve">▌ BÀI 11  ·  Số đếm &amp; Lượng từ  (14 từ)</t>
  </si>
  <si>
    <t xml:space="preserve">ひとつ〜とおつ</t>
  </si>
  <si>
    <t xml:space="preserve">一つ〜十</t>
  </si>
  <si>
    <t xml:space="preserve">Một cái đến mười cái</t>
  </si>
  <si>
    <r>
      <rPr>
        <sz val="10"/>
        <rFont val="Noto Sans CJK SC"/>
        <family val="2"/>
      </rPr>
      <t xml:space="preserve">ひとつ ふたつ みっつ よっつ いつつ むっつ ななつ やっつ ここのつ とお</t>
    </r>
    <r>
      <rPr>
        <sz val="10"/>
        <rFont val="Arial"/>
        <family val="0"/>
        <charset val="1"/>
      </rPr>
      <t xml:space="preserve">. Đọc to 10 lần mỗi ngày.</t>
    </r>
  </si>
  <si>
    <r>
      <rPr>
        <b val="true"/>
        <sz val="12"/>
        <rFont val="Noto Sans CJK SC"/>
        <family val="2"/>
      </rPr>
      <t xml:space="preserve">ひとり </t>
    </r>
    <r>
      <rPr>
        <b val="true"/>
        <sz val="12"/>
        <rFont val="Arial"/>
        <family val="0"/>
        <charset val="1"/>
      </rPr>
      <t xml:space="preserve">/ </t>
    </r>
    <r>
      <rPr>
        <b val="true"/>
        <sz val="12"/>
        <rFont val="Noto Sans CJK SC"/>
        <family val="2"/>
      </rPr>
      <t xml:space="preserve">ふたり</t>
    </r>
  </si>
  <si>
    <r>
      <rPr>
        <sz val="12"/>
        <rFont val="Noto Sans CJK SC"/>
        <family val="2"/>
      </rPr>
      <t xml:space="preserve">一人 </t>
    </r>
    <r>
      <rPr>
        <sz val="12"/>
        <rFont val="Arial"/>
        <family val="0"/>
        <charset val="1"/>
      </rPr>
      <t xml:space="preserve">/ </t>
    </r>
    <r>
      <rPr>
        <sz val="12"/>
        <rFont val="Noto Sans CJK SC"/>
        <family val="2"/>
      </rPr>
      <t xml:space="preserve">二人</t>
    </r>
  </si>
  <si>
    <t xml:space="preserve">Một người / hai người</t>
  </si>
  <si>
    <r>
      <rPr>
        <sz val="10"/>
        <rFont val="Arial"/>
        <family val="0"/>
        <charset val="1"/>
      </rPr>
      <t xml:space="preserve">Hai số này bất quy tắc. Từ 3 người trở đi: </t>
    </r>
    <r>
      <rPr>
        <sz val="10"/>
        <rFont val="Noto Sans CJK SC"/>
        <family val="2"/>
      </rPr>
      <t xml:space="preserve">三人 さんにん</t>
    </r>
    <r>
      <rPr>
        <sz val="10"/>
        <rFont val="Arial"/>
        <family val="0"/>
        <charset val="1"/>
      </rPr>
      <t xml:space="preserve">.</t>
    </r>
  </si>
  <si>
    <t xml:space="preserve">〜だい</t>
  </si>
  <si>
    <t xml:space="preserve">〜台</t>
  </si>
  <si>
    <t xml:space="preserve">Chiếc (máy móc, xe)</t>
  </si>
  <si>
    <r>
      <rPr>
        <sz val="10"/>
        <rFont val="Arial"/>
        <family val="0"/>
        <charset val="1"/>
      </rPr>
      <t xml:space="preserve">ĐÀI = cái bệ máy. Dùng cho </t>
    </r>
    <r>
      <rPr>
        <sz val="10"/>
        <rFont val="Noto Sans CJK SC"/>
        <family val="2"/>
      </rPr>
      <t xml:space="preserve">車</t>
    </r>
    <r>
      <rPr>
        <sz val="10"/>
        <rFont val="Arial"/>
        <family val="0"/>
        <charset val="1"/>
      </rPr>
      <t xml:space="preserve">, </t>
    </r>
    <r>
      <rPr>
        <sz val="10"/>
        <rFont val="Noto Sans CJK SC"/>
        <family val="2"/>
      </rPr>
      <t xml:space="preserve">テレビ</t>
    </r>
    <r>
      <rPr>
        <sz val="10"/>
        <rFont val="Arial"/>
        <family val="0"/>
        <charset val="1"/>
      </rPr>
      <t xml:space="preserve">, </t>
    </r>
    <r>
      <rPr>
        <sz val="10"/>
        <rFont val="Noto Sans CJK SC"/>
        <family val="2"/>
      </rPr>
      <t xml:space="preserve">パソコン</t>
    </r>
    <r>
      <rPr>
        <sz val="10"/>
        <rFont val="Arial"/>
        <family val="0"/>
        <charset val="1"/>
      </rPr>
      <t xml:space="preserve">.</t>
    </r>
  </si>
  <si>
    <t xml:space="preserve">〜まい</t>
  </si>
  <si>
    <t xml:space="preserve">〜枚</t>
  </si>
  <si>
    <t xml:space="preserve">Tờ, tấm (vật mỏng)</t>
  </si>
  <si>
    <r>
      <rPr>
        <sz val="10"/>
        <rFont val="Noto Sans CJK SC"/>
        <family val="2"/>
      </rPr>
      <t xml:space="preserve">枚 </t>
    </r>
    <r>
      <rPr>
        <sz val="10"/>
        <rFont val="Arial"/>
        <family val="0"/>
        <charset val="1"/>
      </rPr>
      <t xml:space="preserve">có bộ </t>
    </r>
    <r>
      <rPr>
        <sz val="10"/>
        <rFont val="Noto Sans CJK SC"/>
        <family val="2"/>
      </rPr>
      <t xml:space="preserve">木 → </t>
    </r>
    <r>
      <rPr>
        <sz val="10"/>
        <rFont val="Arial"/>
        <family val="0"/>
        <charset val="1"/>
      </rPr>
      <t xml:space="preserve">lát gỗ mỏng. Dùng cho </t>
    </r>
    <r>
      <rPr>
        <sz val="10"/>
        <rFont val="Noto Sans CJK SC"/>
        <family val="2"/>
      </rPr>
      <t xml:space="preserve">紙</t>
    </r>
    <r>
      <rPr>
        <sz val="10"/>
        <rFont val="Arial"/>
        <family val="0"/>
        <charset val="1"/>
      </rPr>
      <t xml:space="preserve">, </t>
    </r>
    <r>
      <rPr>
        <sz val="10"/>
        <rFont val="Noto Sans CJK SC"/>
        <family val="2"/>
      </rPr>
      <t xml:space="preserve">シャツ</t>
    </r>
    <r>
      <rPr>
        <sz val="10"/>
        <rFont val="Arial"/>
        <family val="0"/>
        <charset val="1"/>
      </rPr>
      <t xml:space="preserve">, </t>
    </r>
    <r>
      <rPr>
        <sz val="10"/>
        <rFont val="Noto Sans CJK SC"/>
        <family val="2"/>
      </rPr>
      <t xml:space="preserve">きっぷ</t>
    </r>
    <r>
      <rPr>
        <sz val="10"/>
        <rFont val="Arial"/>
        <family val="0"/>
        <charset val="1"/>
      </rPr>
      <t xml:space="preserve">.</t>
    </r>
  </si>
  <si>
    <t xml:space="preserve">〜さつ</t>
  </si>
  <si>
    <t xml:space="preserve">〜冊</t>
  </si>
  <si>
    <t xml:space="preserve">Quyển (sách vở)</t>
  </si>
  <si>
    <r>
      <rPr>
        <sz val="10"/>
        <rFont val="Noto Sans CJK SC"/>
        <family val="2"/>
      </rPr>
      <t xml:space="preserve">冊 </t>
    </r>
    <r>
      <rPr>
        <sz val="10"/>
        <rFont val="Arial"/>
        <family val="0"/>
        <charset val="1"/>
      </rPr>
      <t xml:space="preserve">nhìn như các thẻ tre buộc lại thành sách.</t>
    </r>
  </si>
  <si>
    <t xml:space="preserve">〜かい</t>
  </si>
  <si>
    <t xml:space="preserve">〜回</t>
  </si>
  <si>
    <t xml:space="preserve">Lần</t>
  </si>
  <si>
    <t xml:space="preserve">HỒI = một vòng lặp lại.</t>
  </si>
  <si>
    <t xml:space="preserve">〜じかん</t>
  </si>
  <si>
    <t xml:space="preserve">〜時間</t>
  </si>
  <si>
    <t xml:space="preserve">~ tiếng đồng hồ</t>
  </si>
  <si>
    <r>
      <rPr>
        <sz val="10"/>
        <rFont val="Noto Sans CJK SC"/>
        <family val="2"/>
      </rPr>
      <t xml:space="preserve">時 </t>
    </r>
    <r>
      <rPr>
        <sz val="10"/>
        <rFont val="Arial"/>
        <family val="0"/>
        <charset val="1"/>
      </rPr>
      <t xml:space="preserve">(giờ) + </t>
    </r>
    <r>
      <rPr>
        <sz val="10"/>
        <rFont val="Noto Sans CJK SC"/>
        <family val="2"/>
      </rPr>
      <t xml:space="preserve">間 </t>
    </r>
    <r>
      <rPr>
        <sz val="10"/>
        <rFont val="Arial"/>
        <family val="0"/>
        <charset val="1"/>
      </rPr>
      <t xml:space="preserve">(khoảng) = khoảng thời gian, khác với </t>
    </r>
    <r>
      <rPr>
        <sz val="10"/>
        <rFont val="Noto Sans CJK SC"/>
        <family val="2"/>
      </rPr>
      <t xml:space="preserve">〜時 </t>
    </r>
    <r>
      <rPr>
        <sz val="10"/>
        <rFont val="Arial"/>
        <family val="0"/>
        <charset val="1"/>
      </rPr>
      <t xml:space="preserve">(mốc giờ).</t>
    </r>
  </si>
  <si>
    <t xml:space="preserve">〜しゅうかん</t>
  </si>
  <si>
    <t xml:space="preserve">〜週間</t>
  </si>
  <si>
    <t xml:space="preserve">~ tuần</t>
  </si>
  <si>
    <r>
      <rPr>
        <sz val="10"/>
        <rFont val="Noto Sans CJK SC"/>
        <family val="2"/>
      </rPr>
      <t xml:space="preserve">週 </t>
    </r>
    <r>
      <rPr>
        <sz val="10"/>
        <rFont val="Arial"/>
        <family val="0"/>
        <charset val="1"/>
      </rPr>
      <t xml:space="preserve">(tuần) + </t>
    </r>
    <r>
      <rPr>
        <sz val="10"/>
        <rFont val="Noto Sans CJK SC"/>
        <family val="2"/>
      </rPr>
      <t xml:space="preserve">間 </t>
    </r>
    <r>
      <rPr>
        <sz val="10"/>
        <rFont val="Arial"/>
        <family val="0"/>
        <charset val="1"/>
      </rPr>
      <t xml:space="preserve">(khoảng).</t>
    </r>
  </si>
  <si>
    <t xml:space="preserve">〜かげつ</t>
  </si>
  <si>
    <t xml:space="preserve">〜か月</t>
  </si>
  <si>
    <t xml:space="preserve">~ tháng</t>
  </si>
  <si>
    <r>
      <rPr>
        <sz val="10"/>
        <rFont val="Arial"/>
        <family val="0"/>
        <charset val="1"/>
      </rPr>
      <t xml:space="preserve">Chú ý: </t>
    </r>
    <r>
      <rPr>
        <sz val="10"/>
        <rFont val="Noto Sans CJK SC"/>
        <family val="2"/>
      </rPr>
      <t xml:space="preserve">一か月 いっかげつ</t>
    </r>
    <r>
      <rPr>
        <sz val="10"/>
        <rFont val="Arial"/>
        <family val="0"/>
        <charset val="1"/>
      </rPr>
      <t xml:space="preserve">, </t>
    </r>
    <r>
      <rPr>
        <sz val="10"/>
        <rFont val="Noto Sans CJK SC"/>
        <family val="2"/>
      </rPr>
      <t xml:space="preserve">六か月 ろっかげつ</t>
    </r>
    <r>
      <rPr>
        <sz val="10"/>
        <rFont val="Arial"/>
        <family val="0"/>
        <charset val="1"/>
      </rPr>
      <t xml:space="preserve">.</t>
    </r>
  </si>
  <si>
    <t xml:space="preserve">〜ねん</t>
  </si>
  <si>
    <t xml:space="preserve">〜年</t>
  </si>
  <si>
    <t xml:space="preserve">~ năm</t>
  </si>
  <si>
    <r>
      <rPr>
        <sz val="10"/>
        <rFont val="Noto Sans CJK SC"/>
        <family val="2"/>
      </rPr>
      <t xml:space="preserve">一年 いちねん</t>
    </r>
    <r>
      <rPr>
        <sz val="10"/>
        <rFont val="Arial"/>
        <family val="0"/>
        <charset val="1"/>
      </rPr>
      <t xml:space="preserve">, </t>
    </r>
    <r>
      <rPr>
        <sz val="10"/>
        <rFont val="Noto Sans CJK SC"/>
        <family val="2"/>
      </rPr>
      <t xml:space="preserve">四年 よねん</t>
    </r>
    <r>
      <rPr>
        <sz val="10"/>
        <rFont val="Arial"/>
        <family val="0"/>
        <charset val="1"/>
      </rPr>
      <t xml:space="preserve">.</t>
    </r>
  </si>
  <si>
    <t xml:space="preserve">きって</t>
  </si>
  <si>
    <t xml:space="preserve">切手</t>
  </si>
  <si>
    <t xml:space="preserve">Tem thư</t>
  </si>
  <si>
    <r>
      <rPr>
        <sz val="10"/>
        <rFont val="Arial"/>
        <family val="0"/>
        <charset val="1"/>
      </rPr>
      <t xml:space="preserve">THIẾT THỦ = mảnh cắt cầm tay. Nhớ chung với </t>
    </r>
    <r>
      <rPr>
        <sz val="10"/>
        <rFont val="Noto Sans CJK SC"/>
        <family val="2"/>
      </rPr>
      <t xml:space="preserve">切符 </t>
    </r>
    <r>
      <rPr>
        <sz val="10"/>
        <rFont val="Arial"/>
        <family val="0"/>
        <charset val="1"/>
      </rPr>
      <t xml:space="preserve">(vé).</t>
    </r>
  </si>
  <si>
    <t xml:space="preserve">はがき</t>
  </si>
  <si>
    <t xml:space="preserve">Bưu thiếp</t>
  </si>
  <si>
    <t xml:space="preserve">HA-GA-KI: 'ha, ghi' — tấm thiệp để ghi lời nhắn.</t>
  </si>
  <si>
    <t xml:space="preserve">りんご</t>
  </si>
  <si>
    <t xml:space="preserve">Quả táo</t>
  </si>
  <si>
    <t xml:space="preserve">RIN-GO: 'rinh gô' quả táo về.</t>
  </si>
  <si>
    <r>
      <rPr>
        <b val="true"/>
        <sz val="12"/>
        <rFont val="Noto Sans CJK SC"/>
        <family val="2"/>
      </rPr>
      <t xml:space="preserve">ぐらい </t>
    </r>
    <r>
      <rPr>
        <b val="true"/>
        <sz val="12"/>
        <rFont val="Arial"/>
        <family val="0"/>
        <charset val="1"/>
      </rPr>
      <t xml:space="preserve">/ </t>
    </r>
    <r>
      <rPr>
        <b val="true"/>
        <sz val="12"/>
        <rFont val="Noto Sans CJK SC"/>
        <family val="2"/>
      </rPr>
      <t xml:space="preserve">くらい</t>
    </r>
  </si>
  <si>
    <t xml:space="preserve">Khoảng chừng</t>
  </si>
  <si>
    <r>
      <rPr>
        <sz val="10"/>
        <rFont val="Noto Sans CJK SC"/>
        <family val="2"/>
      </rPr>
      <t xml:space="preserve">三十分ぐらい </t>
    </r>
    <r>
      <rPr>
        <sz val="10"/>
        <rFont val="Arial"/>
        <family val="0"/>
        <charset val="1"/>
      </rPr>
      <t xml:space="preserve">= khoảng 30 phút. Khác với </t>
    </r>
    <r>
      <rPr>
        <sz val="10"/>
        <rFont val="Noto Sans CJK SC"/>
        <family val="2"/>
      </rPr>
      <t xml:space="preserve">ごろ </t>
    </r>
    <r>
      <rPr>
        <sz val="10"/>
        <rFont val="Arial"/>
        <family val="0"/>
        <charset val="1"/>
      </rPr>
      <t xml:space="preserve">(dùng cho MỐC giờ).</t>
    </r>
  </si>
  <si>
    <t xml:space="preserve">▌ BÀI 12  ·  Quá khứ của tính từ &amp; So sánh  (14 từ)</t>
  </si>
  <si>
    <t xml:space="preserve">さむい</t>
  </si>
  <si>
    <t xml:space="preserve">寒い</t>
  </si>
  <si>
    <t xml:space="preserve">Lạnh</t>
  </si>
  <si>
    <r>
      <rPr>
        <sz val="10"/>
        <rFont val="Noto Sans CJK SC"/>
        <family val="2"/>
      </rPr>
      <t xml:space="preserve">寒 </t>
    </r>
    <r>
      <rPr>
        <sz val="10"/>
        <rFont val="Arial"/>
        <family val="0"/>
        <charset val="1"/>
      </rPr>
      <t xml:space="preserve">có </t>
    </r>
    <r>
      <rPr>
        <sz val="10"/>
        <rFont val="Noto Sans CJK SC"/>
        <family val="2"/>
      </rPr>
      <t xml:space="preserve">冫 </t>
    </r>
    <r>
      <rPr>
        <sz val="10"/>
        <rFont val="Arial"/>
        <family val="0"/>
        <charset val="1"/>
      </rPr>
      <t xml:space="preserve">(băng) hai chấm ở dưới → đóng băng vì LẠNH.</t>
    </r>
  </si>
  <si>
    <t xml:space="preserve">あつい</t>
  </si>
  <si>
    <r>
      <rPr>
        <sz val="12"/>
        <rFont val="Noto Sans CJK SC"/>
        <family val="2"/>
      </rPr>
      <t xml:space="preserve">暑い </t>
    </r>
    <r>
      <rPr>
        <sz val="12"/>
        <rFont val="Arial"/>
        <family val="0"/>
        <charset val="1"/>
      </rPr>
      <t xml:space="preserve">/ </t>
    </r>
    <r>
      <rPr>
        <sz val="12"/>
        <rFont val="Noto Sans CJK SC"/>
        <family val="2"/>
      </rPr>
      <t xml:space="preserve">熱い</t>
    </r>
  </si>
  <si>
    <t xml:space="preserve">Nóng (trời) / nóng (vật)</t>
  </si>
  <si>
    <r>
      <rPr>
        <sz val="10"/>
        <rFont val="Noto Sans CJK SC"/>
        <family val="2"/>
      </rPr>
      <t xml:space="preserve">暑 </t>
    </r>
    <r>
      <rPr>
        <sz val="10"/>
        <rFont val="Arial"/>
        <family val="0"/>
        <charset val="1"/>
      </rPr>
      <t xml:space="preserve">có </t>
    </r>
    <r>
      <rPr>
        <sz val="10"/>
        <rFont val="Noto Sans CJK SC"/>
        <family val="2"/>
      </rPr>
      <t xml:space="preserve">日 </t>
    </r>
    <r>
      <rPr>
        <sz val="10"/>
        <rFont val="Arial"/>
        <family val="0"/>
        <charset val="1"/>
      </rPr>
      <t xml:space="preserve">(mặt trời) → trời nóng. </t>
    </r>
    <r>
      <rPr>
        <sz val="10"/>
        <rFont val="Noto Sans CJK SC"/>
        <family val="2"/>
      </rPr>
      <t xml:space="preserve">熱 </t>
    </r>
    <r>
      <rPr>
        <sz val="10"/>
        <rFont val="Arial"/>
        <family val="0"/>
        <charset val="1"/>
      </rPr>
      <t xml:space="preserve">có </t>
    </r>
    <r>
      <rPr>
        <sz val="10"/>
        <rFont val="Noto Sans CJK SC"/>
        <family val="2"/>
      </rPr>
      <t xml:space="preserve">灬 </t>
    </r>
    <r>
      <rPr>
        <sz val="10"/>
        <rFont val="Arial"/>
        <family val="0"/>
        <charset val="1"/>
      </rPr>
      <t xml:space="preserve">(lửa) → vật nóng.</t>
    </r>
  </si>
  <si>
    <t xml:space="preserve">すずしい</t>
  </si>
  <si>
    <t xml:space="preserve">涼しい</t>
  </si>
  <si>
    <t xml:space="preserve">Mát mẻ</t>
  </si>
  <si>
    <r>
      <rPr>
        <sz val="10"/>
        <rFont val="Noto Sans CJK SC"/>
        <family val="2"/>
      </rPr>
      <t xml:space="preserve">涼 </t>
    </r>
    <r>
      <rPr>
        <sz val="10"/>
        <rFont val="Arial"/>
        <family val="0"/>
        <charset val="1"/>
      </rPr>
      <t xml:space="preserve">có </t>
    </r>
    <r>
      <rPr>
        <sz val="10"/>
        <rFont val="Noto Sans CJK SC"/>
        <family val="2"/>
      </rPr>
      <t xml:space="preserve">氵 </t>
    </r>
    <r>
      <rPr>
        <sz val="10"/>
        <rFont val="Arial"/>
        <family val="0"/>
        <charset val="1"/>
      </rPr>
      <t xml:space="preserve">(nước) → có nước nên mát.</t>
    </r>
  </si>
  <si>
    <t xml:space="preserve">あたたかい</t>
  </si>
  <si>
    <t xml:space="preserve">暖かい</t>
  </si>
  <si>
    <t xml:space="preserve">Ấm áp</t>
  </si>
  <si>
    <r>
      <rPr>
        <sz val="10"/>
        <rFont val="Noto Sans CJK SC"/>
        <family val="2"/>
      </rPr>
      <t xml:space="preserve">暖 </t>
    </r>
    <r>
      <rPr>
        <sz val="10"/>
        <rFont val="Arial"/>
        <family val="0"/>
        <charset val="1"/>
      </rPr>
      <t xml:space="preserve">có </t>
    </r>
    <r>
      <rPr>
        <sz val="10"/>
        <rFont val="Noto Sans CJK SC"/>
        <family val="2"/>
      </rPr>
      <t xml:space="preserve">日 </t>
    </r>
    <r>
      <rPr>
        <sz val="10"/>
        <rFont val="Arial"/>
        <family val="0"/>
        <charset val="1"/>
      </rPr>
      <t xml:space="preserve">(mặt trời) → nắng ấm.</t>
    </r>
  </si>
  <si>
    <t xml:space="preserve">てんき</t>
  </si>
  <si>
    <t xml:space="preserve">天気</t>
  </si>
  <si>
    <t xml:space="preserve">Thời tiết</t>
  </si>
  <si>
    <t xml:space="preserve">THIÊN KHÍ = khí trời.</t>
  </si>
  <si>
    <r>
      <rPr>
        <sz val="10"/>
        <rFont val="Noto Sans CJK SC"/>
        <family val="2"/>
      </rPr>
      <t xml:space="preserve">雨 </t>
    </r>
    <r>
      <rPr>
        <sz val="10"/>
        <rFont val="Arial"/>
        <family val="0"/>
        <charset val="1"/>
      </rPr>
      <t xml:space="preserve">= mây bên trên, bốn giọt nước rơi bên dưới.</t>
    </r>
  </si>
  <si>
    <t xml:space="preserve">ゆき</t>
  </si>
  <si>
    <t xml:space="preserve">雪</t>
  </si>
  <si>
    <t xml:space="preserve">Tuyết</t>
  </si>
  <si>
    <r>
      <rPr>
        <sz val="10"/>
        <rFont val="Noto Sans CJK SC"/>
        <family val="2"/>
      </rPr>
      <t xml:space="preserve">雪 </t>
    </r>
    <r>
      <rPr>
        <sz val="10"/>
        <rFont val="Arial"/>
        <family val="0"/>
        <charset val="1"/>
      </rPr>
      <t xml:space="preserve">có bộ </t>
    </r>
    <r>
      <rPr>
        <sz val="10"/>
        <rFont val="Noto Sans CJK SC"/>
        <family val="2"/>
      </rPr>
      <t xml:space="preserve">雨 </t>
    </r>
    <r>
      <rPr>
        <sz val="10"/>
        <rFont val="Arial"/>
        <family val="0"/>
        <charset val="1"/>
      </rPr>
      <t xml:space="preserve">(mưa) → mưa đông cứng lại thành TUYẾT.</t>
    </r>
  </si>
  <si>
    <t xml:space="preserve">くもり</t>
  </si>
  <si>
    <t xml:space="preserve">曇り</t>
  </si>
  <si>
    <t xml:space="preserve">Trời nhiều mây</t>
  </si>
  <si>
    <r>
      <rPr>
        <sz val="10"/>
        <rFont val="Noto Sans CJK SC"/>
        <family val="2"/>
      </rPr>
      <t xml:space="preserve">曇 </t>
    </r>
    <r>
      <rPr>
        <sz val="10"/>
        <rFont val="Arial"/>
        <family val="0"/>
        <charset val="1"/>
      </rPr>
      <t xml:space="preserve">= </t>
    </r>
    <r>
      <rPr>
        <sz val="10"/>
        <rFont val="Noto Sans CJK SC"/>
        <family val="2"/>
      </rPr>
      <t xml:space="preserve">日 </t>
    </r>
    <r>
      <rPr>
        <sz val="10"/>
        <rFont val="Arial"/>
        <family val="0"/>
        <charset val="1"/>
      </rPr>
      <t xml:space="preserve">(mặt trời) bị </t>
    </r>
    <r>
      <rPr>
        <sz val="10"/>
        <rFont val="Noto Sans CJK SC"/>
        <family val="2"/>
      </rPr>
      <t xml:space="preserve">雲 </t>
    </r>
    <r>
      <rPr>
        <sz val="10"/>
        <rFont val="Arial"/>
        <family val="0"/>
        <charset val="1"/>
      </rPr>
      <t xml:space="preserve">(mây) che.</t>
    </r>
  </si>
  <si>
    <t xml:space="preserve">はれ</t>
  </si>
  <si>
    <t xml:space="preserve">晴れ</t>
  </si>
  <si>
    <t xml:space="preserve">Trời nắng</t>
  </si>
  <si>
    <r>
      <rPr>
        <sz val="10"/>
        <rFont val="Noto Sans CJK SC"/>
        <family val="2"/>
      </rPr>
      <t xml:space="preserve">晴 </t>
    </r>
    <r>
      <rPr>
        <sz val="10"/>
        <rFont val="Arial"/>
        <family val="0"/>
        <charset val="1"/>
      </rPr>
      <t xml:space="preserve">= </t>
    </r>
    <r>
      <rPr>
        <sz val="10"/>
        <rFont val="Noto Sans CJK SC"/>
        <family val="2"/>
      </rPr>
      <t xml:space="preserve">日 </t>
    </r>
    <r>
      <rPr>
        <sz val="10"/>
        <rFont val="Arial"/>
        <family val="0"/>
        <charset val="1"/>
      </rPr>
      <t xml:space="preserve">(mặt trời) + </t>
    </r>
    <r>
      <rPr>
        <sz val="10"/>
        <rFont val="Noto Sans CJK SC"/>
        <family val="2"/>
      </rPr>
      <t xml:space="preserve">青 </t>
    </r>
    <r>
      <rPr>
        <sz val="10"/>
        <rFont val="Arial"/>
        <family val="0"/>
        <charset val="1"/>
      </rPr>
      <t xml:space="preserve">(xanh) → trời xanh có nắng.</t>
    </r>
  </si>
  <si>
    <t xml:space="preserve">いちばん</t>
  </si>
  <si>
    <t xml:space="preserve">一番</t>
  </si>
  <si>
    <t xml:space="preserve">Nhất</t>
  </si>
  <si>
    <r>
      <rPr>
        <sz val="10"/>
        <rFont val="Arial"/>
        <family val="0"/>
        <charset val="1"/>
      </rPr>
      <t xml:space="preserve">NHẤT PHIÊN = số một. </t>
    </r>
    <r>
      <rPr>
        <sz val="10"/>
        <rFont val="Noto Sans CJK SC"/>
        <family val="2"/>
      </rPr>
      <t xml:space="preserve">番 </t>
    </r>
    <r>
      <rPr>
        <sz val="10"/>
        <rFont val="Arial"/>
        <family val="0"/>
        <charset val="1"/>
      </rPr>
      <t xml:space="preserve">(phiên) = thứ tự.</t>
    </r>
  </si>
  <si>
    <t xml:space="preserve">どちら</t>
  </si>
  <si>
    <t xml:space="preserve">Cái nào (trong hai)</t>
  </si>
  <si>
    <r>
      <rPr>
        <sz val="10"/>
        <rFont val="Arial"/>
        <family val="0"/>
        <charset val="1"/>
      </rPr>
      <t xml:space="preserve">Chỉ dùng khi so sánh ĐÚNG HAI thứ. Ba thứ trở lên dùng </t>
    </r>
    <r>
      <rPr>
        <sz val="10"/>
        <rFont val="Noto Sans CJK SC"/>
        <family val="2"/>
      </rPr>
      <t xml:space="preserve">どれ</t>
    </r>
    <r>
      <rPr>
        <sz val="10"/>
        <rFont val="Arial"/>
        <family val="0"/>
        <charset val="1"/>
      </rPr>
      <t xml:space="preserve">.</t>
    </r>
  </si>
  <si>
    <t xml:space="preserve">きせつ</t>
  </si>
  <si>
    <t xml:space="preserve">季節</t>
  </si>
  <si>
    <t xml:space="preserve">Mùa</t>
  </si>
  <si>
    <t xml:space="preserve">QUÝ TIẾT = mùa trong năm.</t>
  </si>
  <si>
    <r>
      <rPr>
        <b val="true"/>
        <sz val="12"/>
        <rFont val="Noto Sans CJK SC"/>
        <family val="2"/>
      </rPr>
      <t xml:space="preserve">なつ </t>
    </r>
    <r>
      <rPr>
        <b val="true"/>
        <sz val="12"/>
        <rFont val="Arial"/>
        <family val="0"/>
        <charset val="1"/>
      </rPr>
      <t xml:space="preserve">/ </t>
    </r>
    <r>
      <rPr>
        <b val="true"/>
        <sz val="12"/>
        <rFont val="Noto Sans CJK SC"/>
        <family val="2"/>
      </rPr>
      <t xml:space="preserve">ふゆ</t>
    </r>
  </si>
  <si>
    <r>
      <rPr>
        <sz val="12"/>
        <rFont val="Noto Sans CJK SC"/>
        <family val="2"/>
      </rPr>
      <t xml:space="preserve">夏 </t>
    </r>
    <r>
      <rPr>
        <sz val="12"/>
        <rFont val="Arial"/>
        <family val="0"/>
        <charset val="1"/>
      </rPr>
      <t xml:space="preserve">/ </t>
    </r>
    <r>
      <rPr>
        <sz val="12"/>
        <rFont val="Noto Sans CJK SC"/>
        <family val="2"/>
      </rPr>
      <t xml:space="preserve">冬</t>
    </r>
  </si>
  <si>
    <t xml:space="preserve">Mùa hè / mùa đông</t>
  </si>
  <si>
    <r>
      <rPr>
        <sz val="10"/>
        <rFont val="Noto Sans CJK SC"/>
        <family val="2"/>
      </rPr>
      <t xml:space="preserve">夏 </t>
    </r>
    <r>
      <rPr>
        <sz val="10"/>
        <rFont val="Arial"/>
        <family val="0"/>
        <charset val="1"/>
      </rPr>
      <t xml:space="preserve">(HẠ) và </t>
    </r>
    <r>
      <rPr>
        <sz val="10"/>
        <rFont val="Noto Sans CJK SC"/>
        <family val="2"/>
      </rPr>
      <t xml:space="preserve">冬 </t>
    </r>
    <r>
      <rPr>
        <sz val="10"/>
        <rFont val="Arial"/>
        <family val="0"/>
        <charset val="1"/>
      </rPr>
      <t xml:space="preserve">(ĐÔNG). </t>
    </r>
    <r>
      <rPr>
        <sz val="10"/>
        <rFont val="Noto Sans CJK SC"/>
        <family val="2"/>
      </rPr>
      <t xml:space="preserve">冬 </t>
    </r>
    <r>
      <rPr>
        <sz val="10"/>
        <rFont val="Arial"/>
        <family val="0"/>
        <charset val="1"/>
      </rPr>
      <t xml:space="preserve">có hai chấm băng ở dưới.</t>
    </r>
  </si>
  <si>
    <r>
      <rPr>
        <b val="true"/>
        <sz val="12"/>
        <rFont val="Noto Sans CJK SC"/>
        <family val="2"/>
      </rPr>
      <t xml:space="preserve">はる </t>
    </r>
    <r>
      <rPr>
        <b val="true"/>
        <sz val="12"/>
        <rFont val="Arial"/>
        <family val="0"/>
        <charset val="1"/>
      </rPr>
      <t xml:space="preserve">/ </t>
    </r>
    <r>
      <rPr>
        <b val="true"/>
        <sz val="12"/>
        <rFont val="Noto Sans CJK SC"/>
        <family val="2"/>
      </rPr>
      <t xml:space="preserve">あき</t>
    </r>
  </si>
  <si>
    <r>
      <rPr>
        <sz val="12"/>
        <rFont val="Noto Sans CJK SC"/>
        <family val="2"/>
      </rPr>
      <t xml:space="preserve">春 </t>
    </r>
    <r>
      <rPr>
        <sz val="12"/>
        <rFont val="Arial"/>
        <family val="0"/>
        <charset val="1"/>
      </rPr>
      <t xml:space="preserve">/ </t>
    </r>
    <r>
      <rPr>
        <sz val="12"/>
        <rFont val="Noto Sans CJK SC"/>
        <family val="2"/>
      </rPr>
      <t xml:space="preserve">秋</t>
    </r>
  </si>
  <si>
    <t xml:space="preserve">Mùa xuân / mùa thu</t>
  </si>
  <si>
    <r>
      <rPr>
        <sz val="10"/>
        <rFont val="Noto Sans CJK SC"/>
        <family val="2"/>
      </rPr>
      <t xml:space="preserve">春 </t>
    </r>
    <r>
      <rPr>
        <sz val="10"/>
        <rFont val="Arial"/>
        <family val="0"/>
        <charset val="1"/>
      </rPr>
      <t xml:space="preserve">(XUÂN) có </t>
    </r>
    <r>
      <rPr>
        <sz val="10"/>
        <rFont val="Noto Sans CJK SC"/>
        <family val="2"/>
      </rPr>
      <t xml:space="preserve">日 </t>
    </r>
    <r>
      <rPr>
        <sz val="10"/>
        <rFont val="Arial"/>
        <family val="0"/>
        <charset val="1"/>
      </rPr>
      <t xml:space="preserve">ở dưới. </t>
    </r>
    <r>
      <rPr>
        <sz val="10"/>
        <rFont val="Noto Sans CJK SC"/>
        <family val="2"/>
      </rPr>
      <t xml:space="preserve">秋 </t>
    </r>
    <r>
      <rPr>
        <sz val="10"/>
        <rFont val="Arial"/>
        <family val="0"/>
        <charset val="1"/>
      </rPr>
      <t xml:space="preserve">= </t>
    </r>
    <r>
      <rPr>
        <sz val="10"/>
        <rFont val="Noto Sans CJK SC"/>
        <family val="2"/>
      </rPr>
      <t xml:space="preserve">禾 </t>
    </r>
    <r>
      <rPr>
        <sz val="10"/>
        <rFont val="Arial"/>
        <family val="0"/>
        <charset val="1"/>
      </rPr>
      <t xml:space="preserve">(lúa) + </t>
    </r>
    <r>
      <rPr>
        <sz val="10"/>
        <rFont val="Noto Sans CJK SC"/>
        <family val="2"/>
      </rPr>
      <t xml:space="preserve">火 </t>
    </r>
    <r>
      <rPr>
        <sz val="10"/>
        <rFont val="Arial"/>
        <family val="0"/>
        <charset val="1"/>
      </rPr>
      <t xml:space="preserve">(lửa) → lúa chín vàng như lửa.</t>
    </r>
  </si>
  <si>
    <r>
      <rPr>
        <b val="true"/>
        <sz val="12"/>
        <color rgb="FFFFFFFF"/>
        <rFont val="Arial"/>
        <family val="0"/>
        <charset val="1"/>
      </rPr>
      <t xml:space="preserve">▌ BÀI 13  ·  Mong muốn — </t>
    </r>
    <r>
      <rPr>
        <b val="true"/>
        <sz val="12"/>
        <color rgb="FFFFFFFF"/>
        <rFont val="Noto Sans CJK SC"/>
        <family val="2"/>
      </rPr>
      <t xml:space="preserve">たい </t>
    </r>
    <r>
      <rPr>
        <b val="true"/>
        <sz val="12"/>
        <color rgb="FFFFFFFF"/>
        <rFont val="Arial"/>
        <family val="0"/>
        <charset val="1"/>
      </rPr>
      <t xml:space="preserve">&amp; </t>
    </r>
    <r>
      <rPr>
        <b val="true"/>
        <sz val="12"/>
        <color rgb="FFFFFFFF"/>
        <rFont val="Noto Sans CJK SC"/>
        <family val="2"/>
      </rPr>
      <t xml:space="preserve">ほしい  </t>
    </r>
    <r>
      <rPr>
        <b val="true"/>
        <sz val="12"/>
        <color rgb="FFFFFFFF"/>
        <rFont val="Arial"/>
        <family val="0"/>
        <charset val="1"/>
      </rPr>
      <t xml:space="preserve">(14 từ)</t>
    </r>
  </si>
  <si>
    <t xml:space="preserve">ほしい</t>
  </si>
  <si>
    <t xml:space="preserve">Muốn có</t>
  </si>
  <si>
    <r>
      <rPr>
        <sz val="10"/>
        <rFont val="Arial"/>
        <family val="0"/>
        <charset val="1"/>
      </rPr>
      <t xml:space="preserve">Là TÍNH TỪ đuôi </t>
    </r>
    <r>
      <rPr>
        <sz val="10"/>
        <rFont val="Noto Sans CJK SC"/>
        <family val="2"/>
      </rPr>
      <t xml:space="preserve">い</t>
    </r>
    <r>
      <rPr>
        <sz val="10"/>
        <rFont val="Arial"/>
        <family val="0"/>
        <charset val="1"/>
      </rPr>
      <t xml:space="preserve">, không phải động từ. Phủ định: </t>
    </r>
    <r>
      <rPr>
        <sz val="10"/>
        <rFont val="Noto Sans CJK SC"/>
        <family val="2"/>
      </rPr>
      <t xml:space="preserve">ほしくないです</t>
    </r>
    <r>
      <rPr>
        <sz val="10"/>
        <rFont val="Arial"/>
        <family val="0"/>
        <charset val="1"/>
      </rPr>
      <t xml:space="preserve">.</t>
    </r>
  </si>
  <si>
    <t xml:space="preserve">〜たい</t>
  </si>
  <si>
    <t xml:space="preserve">Muốn làm</t>
  </si>
  <si>
    <r>
      <rPr>
        <sz val="10"/>
        <rFont val="Arial"/>
        <family val="0"/>
        <charset val="1"/>
      </rPr>
      <t xml:space="preserve">Bỏ </t>
    </r>
    <r>
      <rPr>
        <sz val="10"/>
        <rFont val="Noto Sans CJK SC"/>
        <family val="2"/>
      </rPr>
      <t xml:space="preserve">ます </t>
    </r>
    <r>
      <rPr>
        <sz val="10"/>
        <rFont val="Arial"/>
        <family val="0"/>
        <charset val="1"/>
      </rPr>
      <t xml:space="preserve">thêm </t>
    </r>
    <r>
      <rPr>
        <sz val="10"/>
        <rFont val="Noto Sans CJK SC"/>
        <family val="2"/>
      </rPr>
      <t xml:space="preserve">たい</t>
    </r>
    <r>
      <rPr>
        <sz val="10"/>
        <rFont val="Arial"/>
        <family val="0"/>
        <charset val="1"/>
      </rPr>
      <t xml:space="preserve">. Chia như tính từ </t>
    </r>
    <r>
      <rPr>
        <sz val="10"/>
        <rFont val="Noto Sans CJK SC"/>
        <family val="2"/>
      </rPr>
      <t xml:space="preserve">い</t>
    </r>
    <r>
      <rPr>
        <sz val="10"/>
        <rFont val="Arial"/>
        <family val="0"/>
        <charset val="1"/>
      </rPr>
      <t xml:space="preserve">: </t>
    </r>
    <r>
      <rPr>
        <sz val="10"/>
        <rFont val="Noto Sans CJK SC"/>
        <family val="2"/>
      </rPr>
      <t xml:space="preserve">行きたくないです</t>
    </r>
    <r>
      <rPr>
        <sz val="10"/>
        <rFont val="Arial"/>
        <family val="0"/>
        <charset val="1"/>
      </rPr>
      <t xml:space="preserve">.</t>
    </r>
  </si>
  <si>
    <t xml:space="preserve">かいもの</t>
  </si>
  <si>
    <t xml:space="preserve">買い物</t>
  </si>
  <si>
    <t xml:space="preserve">Việc mua sắm</t>
  </si>
  <si>
    <r>
      <rPr>
        <sz val="10"/>
        <rFont val="Arial"/>
        <family val="0"/>
        <charset val="1"/>
      </rPr>
      <t xml:space="preserve">MÃI VẬT = mua đồ vật. </t>
    </r>
    <r>
      <rPr>
        <sz val="10"/>
        <rFont val="Noto Sans CJK SC"/>
        <family val="2"/>
      </rPr>
      <t xml:space="preserve">〜物 </t>
    </r>
    <r>
      <rPr>
        <sz val="10"/>
        <rFont val="Arial"/>
        <family val="0"/>
        <charset val="1"/>
      </rPr>
      <t xml:space="preserve">gặp lại ở </t>
    </r>
    <r>
      <rPr>
        <sz val="10"/>
        <rFont val="Noto Sans CJK SC"/>
        <family val="2"/>
      </rPr>
      <t xml:space="preserve">飲み物</t>
    </r>
    <r>
      <rPr>
        <sz val="10"/>
        <rFont val="Arial"/>
        <family val="0"/>
        <charset val="1"/>
      </rPr>
      <t xml:space="preserve">, </t>
    </r>
    <r>
      <rPr>
        <sz val="10"/>
        <rFont val="Noto Sans CJK SC"/>
        <family val="2"/>
      </rPr>
      <t xml:space="preserve">食べ物</t>
    </r>
    <r>
      <rPr>
        <sz val="10"/>
        <rFont val="Arial"/>
        <family val="0"/>
        <charset val="1"/>
      </rPr>
      <t xml:space="preserve">.</t>
    </r>
  </si>
  <si>
    <t xml:space="preserve">しょくじ</t>
  </si>
  <si>
    <t xml:space="preserve">食事</t>
  </si>
  <si>
    <t xml:space="preserve">Bữa ăn</t>
  </si>
  <si>
    <t xml:space="preserve">THỰC SỰ = việc ăn uống.</t>
  </si>
  <si>
    <t xml:space="preserve">さんぽ</t>
  </si>
  <si>
    <t xml:space="preserve">散歩</t>
  </si>
  <si>
    <t xml:space="preserve">Đi dạo</t>
  </si>
  <si>
    <r>
      <rPr>
        <sz val="10"/>
        <rFont val="Arial"/>
        <family val="0"/>
        <charset val="1"/>
      </rPr>
      <t xml:space="preserve">TÁN BỘ = bước chân thong dong. </t>
    </r>
    <r>
      <rPr>
        <sz val="10"/>
        <rFont val="Noto Sans CJK SC"/>
        <family val="2"/>
      </rPr>
      <t xml:space="preserve">散歩します。</t>
    </r>
  </si>
  <si>
    <t xml:space="preserve">けっこん</t>
  </si>
  <si>
    <t xml:space="preserve">結婚</t>
  </si>
  <si>
    <t xml:space="preserve">Kết hôn</t>
  </si>
  <si>
    <t xml:space="preserve">KẾT HÔN — âm Hán Việt y hệt tiếng Việt.</t>
  </si>
  <si>
    <t xml:space="preserve">つかれます</t>
  </si>
  <si>
    <t xml:space="preserve">疲れます</t>
  </si>
  <si>
    <t xml:space="preserve">Mệt</t>
  </si>
  <si>
    <r>
      <rPr>
        <sz val="10"/>
        <rFont val="Noto Sans CJK SC"/>
        <family val="2"/>
      </rPr>
      <t xml:space="preserve">疲 </t>
    </r>
    <r>
      <rPr>
        <sz val="10"/>
        <rFont val="Arial"/>
        <family val="0"/>
        <charset val="1"/>
      </rPr>
      <t xml:space="preserve">có bộ </t>
    </r>
    <r>
      <rPr>
        <sz val="10"/>
        <rFont val="Noto Sans CJK SC"/>
        <family val="2"/>
      </rPr>
      <t xml:space="preserve">疒 </t>
    </r>
    <r>
      <rPr>
        <sz val="10"/>
        <rFont val="Arial"/>
        <family val="0"/>
        <charset val="1"/>
      </rPr>
      <t xml:space="preserve">(bệnh tật) → mệt gần như ốm.</t>
    </r>
  </si>
  <si>
    <t xml:space="preserve">けっこんします</t>
  </si>
  <si>
    <t xml:space="preserve">結婚します</t>
  </si>
  <si>
    <r>
      <rPr>
        <sz val="10"/>
        <rFont val="Arial"/>
        <family val="0"/>
        <charset val="1"/>
      </rPr>
      <t xml:space="preserve">Đi với trợ từ </t>
    </r>
    <r>
      <rPr>
        <sz val="10"/>
        <rFont val="Noto Sans CJK SC"/>
        <family val="2"/>
      </rPr>
      <t xml:space="preserve">と</t>
    </r>
    <r>
      <rPr>
        <sz val="10"/>
        <rFont val="Arial"/>
        <family val="0"/>
        <charset val="1"/>
      </rPr>
      <t xml:space="preserve">: </t>
    </r>
    <r>
      <rPr>
        <sz val="10"/>
        <rFont val="Noto Sans CJK SC"/>
        <family val="2"/>
      </rPr>
      <t xml:space="preserve">田中さんと 結婚します。</t>
    </r>
  </si>
  <si>
    <t xml:space="preserve">おなか</t>
  </si>
  <si>
    <t xml:space="preserve">Bụng</t>
  </si>
  <si>
    <r>
      <rPr>
        <sz val="10"/>
        <rFont val="Noto Sans CJK SC"/>
        <family val="2"/>
      </rPr>
      <t xml:space="preserve">おなかが すきました </t>
    </r>
    <r>
      <rPr>
        <sz val="10"/>
        <rFont val="Arial"/>
        <family val="0"/>
        <charset val="1"/>
      </rPr>
      <t xml:space="preserve">= đói bụng (bụng đã rỗng).</t>
    </r>
  </si>
  <si>
    <t xml:space="preserve">のど</t>
  </si>
  <si>
    <t xml:space="preserve">Cổ họng</t>
  </si>
  <si>
    <r>
      <rPr>
        <sz val="10"/>
        <rFont val="Noto Sans CJK SC"/>
        <family val="2"/>
      </rPr>
      <t xml:space="preserve">のどが かわきました </t>
    </r>
    <r>
      <rPr>
        <sz val="10"/>
        <rFont val="Arial"/>
        <family val="0"/>
        <charset val="1"/>
      </rPr>
      <t xml:space="preserve">= khát nước (họng đã khô).</t>
    </r>
  </si>
  <si>
    <t xml:space="preserve">プール</t>
  </si>
  <si>
    <t xml:space="preserve">Bể bơi</t>
  </si>
  <si>
    <t xml:space="preserve">Từ 'pool'.</t>
  </si>
  <si>
    <t xml:space="preserve">びじゅつかん</t>
  </si>
  <si>
    <t xml:space="preserve">美術館</t>
  </si>
  <si>
    <t xml:space="preserve">Bảo tàng mỹ thuật</t>
  </si>
  <si>
    <r>
      <rPr>
        <sz val="10"/>
        <rFont val="Arial"/>
        <family val="0"/>
        <charset val="1"/>
      </rPr>
      <t xml:space="preserve">MỸ THUẬT QUÁN. </t>
    </r>
    <r>
      <rPr>
        <sz val="10"/>
        <rFont val="Noto Sans CJK SC"/>
        <family val="2"/>
      </rPr>
      <t xml:space="preserve">館 </t>
    </r>
    <r>
      <rPr>
        <sz val="10"/>
        <rFont val="Arial"/>
        <family val="0"/>
        <charset val="1"/>
      </rPr>
      <t xml:space="preserve">(quán) = tòa nhà lớn: </t>
    </r>
    <r>
      <rPr>
        <sz val="10"/>
        <rFont val="Noto Sans CJK SC"/>
        <family val="2"/>
      </rPr>
      <t xml:space="preserve">図書館</t>
    </r>
    <r>
      <rPr>
        <sz val="10"/>
        <rFont val="Arial"/>
        <family val="0"/>
        <charset val="1"/>
      </rPr>
      <t xml:space="preserve">, </t>
    </r>
    <r>
      <rPr>
        <sz val="10"/>
        <rFont val="Noto Sans CJK SC"/>
        <family val="2"/>
      </rPr>
      <t xml:space="preserve">大使館</t>
    </r>
    <r>
      <rPr>
        <sz val="10"/>
        <rFont val="Arial"/>
        <family val="0"/>
        <charset val="1"/>
      </rPr>
      <t xml:space="preserve">.</t>
    </r>
  </si>
  <si>
    <t xml:space="preserve">おんせん</t>
  </si>
  <si>
    <t xml:space="preserve">温泉</t>
  </si>
  <si>
    <t xml:space="preserve">Suối nước nóng</t>
  </si>
  <si>
    <r>
      <rPr>
        <sz val="10"/>
        <rFont val="Arial"/>
        <family val="0"/>
        <charset val="1"/>
      </rPr>
      <t xml:space="preserve">ÔN TUYỀN = suối ấm. </t>
    </r>
    <r>
      <rPr>
        <sz val="10"/>
        <rFont val="Noto Sans CJK SC"/>
        <family val="2"/>
      </rPr>
      <t xml:space="preserve">温 </t>
    </r>
    <r>
      <rPr>
        <sz val="10"/>
        <rFont val="Arial"/>
        <family val="0"/>
        <charset val="1"/>
      </rPr>
      <t xml:space="preserve">có </t>
    </r>
    <r>
      <rPr>
        <sz val="10"/>
        <rFont val="Noto Sans CJK SC"/>
        <family val="2"/>
      </rPr>
      <t xml:space="preserve">氵 </t>
    </r>
    <r>
      <rPr>
        <sz val="10"/>
        <rFont val="Arial"/>
        <family val="0"/>
        <charset val="1"/>
      </rPr>
      <t xml:space="preserve">(nước) + </t>
    </r>
    <r>
      <rPr>
        <sz val="10"/>
        <rFont val="Noto Sans CJK SC"/>
        <family val="2"/>
      </rPr>
      <t xml:space="preserve">日 </t>
    </r>
    <r>
      <rPr>
        <sz val="10"/>
        <rFont val="Arial"/>
        <family val="0"/>
        <charset val="1"/>
      </rPr>
      <t xml:space="preserve">(mặt trời).</t>
    </r>
  </si>
  <si>
    <r>
      <rPr>
        <b val="true"/>
        <sz val="12"/>
        <rFont val="Noto Sans CJK SC"/>
        <family val="2"/>
      </rPr>
      <t xml:space="preserve">どこか </t>
    </r>
    <r>
      <rPr>
        <b val="true"/>
        <sz val="12"/>
        <rFont val="Arial"/>
        <family val="0"/>
        <charset val="1"/>
      </rPr>
      <t xml:space="preserve">/ </t>
    </r>
    <r>
      <rPr>
        <b val="true"/>
        <sz val="12"/>
        <rFont val="Noto Sans CJK SC"/>
        <family val="2"/>
      </rPr>
      <t xml:space="preserve">なにか</t>
    </r>
  </si>
  <si>
    <t xml:space="preserve">Đâu đó / cái gì đó</t>
  </si>
  <si>
    <r>
      <rPr>
        <sz val="10"/>
        <rFont val="Arial"/>
        <family val="0"/>
        <charset val="1"/>
      </rPr>
      <t xml:space="preserve">Thêm </t>
    </r>
    <r>
      <rPr>
        <sz val="10"/>
        <rFont val="Noto Sans CJK SC"/>
        <family val="2"/>
      </rPr>
      <t xml:space="preserve">か </t>
    </r>
    <r>
      <rPr>
        <sz val="10"/>
        <rFont val="Arial"/>
        <family val="0"/>
        <charset val="1"/>
      </rPr>
      <t xml:space="preserve">vào từ để hỏi → thành từ bất định.</t>
    </r>
  </si>
  <si>
    <r>
      <rPr>
        <b val="true"/>
        <sz val="12"/>
        <color rgb="FFFFFFFF"/>
        <rFont val="Arial"/>
        <family val="0"/>
        <charset val="1"/>
      </rPr>
      <t xml:space="preserve">▌ BÀI 14  ·  Thể </t>
    </r>
    <r>
      <rPr>
        <b val="true"/>
        <sz val="12"/>
        <color rgb="FFFFFFFF"/>
        <rFont val="Noto Sans CJK SC"/>
        <family val="2"/>
      </rPr>
      <t xml:space="preserve">て </t>
    </r>
    <r>
      <rPr>
        <b val="true"/>
        <sz val="12"/>
        <color rgb="FFFFFFFF"/>
        <rFont val="Arial"/>
        <family val="0"/>
        <charset val="1"/>
      </rPr>
      <t xml:space="preserve">&amp; Yêu cầu  (14 từ)</t>
    </r>
  </si>
  <si>
    <t xml:space="preserve">つけます</t>
  </si>
  <si>
    <t xml:space="preserve">Bật (điện, máy)</t>
  </si>
  <si>
    <r>
      <rPr>
        <sz val="10"/>
        <rFont val="Arial"/>
        <family val="0"/>
        <charset val="1"/>
      </rPr>
      <t xml:space="preserve">Đối lập với </t>
    </r>
    <r>
      <rPr>
        <sz val="10"/>
        <rFont val="Noto Sans CJK SC"/>
        <family val="2"/>
      </rPr>
      <t xml:space="preserve">消します </t>
    </r>
    <r>
      <rPr>
        <sz val="10"/>
        <rFont val="Arial"/>
        <family val="0"/>
        <charset val="1"/>
      </rPr>
      <t xml:space="preserve">(tắt). </t>
    </r>
    <r>
      <rPr>
        <sz val="10"/>
        <rFont val="Noto Sans CJK SC"/>
        <family val="2"/>
      </rPr>
      <t xml:space="preserve">エアコンを つけます。</t>
    </r>
  </si>
  <si>
    <t xml:space="preserve">けします</t>
  </si>
  <si>
    <t xml:space="preserve">消します</t>
  </si>
  <si>
    <t xml:space="preserve">Tắt, xóa</t>
  </si>
  <si>
    <r>
      <rPr>
        <sz val="10"/>
        <rFont val="Noto Sans CJK SC"/>
        <family val="2"/>
      </rPr>
      <t xml:space="preserve">消 </t>
    </r>
    <r>
      <rPr>
        <sz val="10"/>
        <rFont val="Arial"/>
        <family val="0"/>
        <charset val="1"/>
      </rPr>
      <t xml:space="preserve">có </t>
    </r>
    <r>
      <rPr>
        <sz val="10"/>
        <rFont val="Noto Sans CJK SC"/>
        <family val="2"/>
      </rPr>
      <t xml:space="preserve">氵 </t>
    </r>
    <r>
      <rPr>
        <sz val="10"/>
        <rFont val="Arial"/>
        <family val="0"/>
        <charset val="1"/>
      </rPr>
      <t xml:space="preserve">(nước) → dội nước làm TẮT lửa.</t>
    </r>
  </si>
  <si>
    <t xml:space="preserve">あけます</t>
  </si>
  <si>
    <t xml:space="preserve">開けます</t>
  </si>
  <si>
    <t xml:space="preserve">Mở</t>
  </si>
  <si>
    <r>
      <rPr>
        <sz val="10"/>
        <rFont val="Noto Sans CJK SC"/>
        <family val="2"/>
      </rPr>
      <t xml:space="preserve">開 </t>
    </r>
    <r>
      <rPr>
        <sz val="10"/>
        <rFont val="Arial"/>
        <family val="0"/>
        <charset val="1"/>
      </rPr>
      <t xml:space="preserve">có bộ </t>
    </r>
    <r>
      <rPr>
        <sz val="10"/>
        <rFont val="Noto Sans CJK SC"/>
        <family val="2"/>
      </rPr>
      <t xml:space="preserve">門 </t>
    </r>
    <r>
      <rPr>
        <sz val="10"/>
        <rFont val="Arial"/>
        <family val="0"/>
        <charset val="1"/>
      </rPr>
      <t xml:space="preserve">(cửa) → mở cánh cửa.</t>
    </r>
  </si>
  <si>
    <t xml:space="preserve">しめます</t>
  </si>
  <si>
    <t xml:space="preserve">閉めます</t>
  </si>
  <si>
    <t xml:space="preserve">Đóng</t>
  </si>
  <si>
    <r>
      <rPr>
        <sz val="10"/>
        <rFont val="Noto Sans CJK SC"/>
        <family val="2"/>
      </rPr>
      <t xml:space="preserve">閉 </t>
    </r>
    <r>
      <rPr>
        <sz val="10"/>
        <rFont val="Arial"/>
        <family val="0"/>
        <charset val="1"/>
      </rPr>
      <t xml:space="preserve">cũng có </t>
    </r>
    <r>
      <rPr>
        <sz val="10"/>
        <rFont val="Noto Sans CJK SC"/>
        <family val="2"/>
      </rPr>
      <t xml:space="preserve">門</t>
    </r>
    <r>
      <rPr>
        <sz val="10"/>
        <rFont val="Arial"/>
        <family val="0"/>
        <charset val="1"/>
      </rPr>
      <t xml:space="preserve">, bên trong có then cài → ĐÓNG lại.</t>
    </r>
  </si>
  <si>
    <t xml:space="preserve">いそぎます</t>
  </si>
  <si>
    <t xml:space="preserve">急ぎます</t>
  </si>
  <si>
    <t xml:space="preserve">Vội, gấp</t>
  </si>
  <si>
    <r>
      <rPr>
        <sz val="10"/>
        <rFont val="Noto Sans CJK SC"/>
        <family val="2"/>
      </rPr>
      <t xml:space="preserve">急 </t>
    </r>
    <r>
      <rPr>
        <sz val="10"/>
        <rFont val="Arial"/>
        <family val="0"/>
        <charset val="1"/>
      </rPr>
      <t xml:space="preserve">có bộ </t>
    </r>
    <r>
      <rPr>
        <sz val="10"/>
        <rFont val="Noto Sans CJK SC"/>
        <family val="2"/>
      </rPr>
      <t xml:space="preserve">心 </t>
    </r>
    <r>
      <rPr>
        <sz val="10"/>
        <rFont val="Arial"/>
        <family val="0"/>
        <charset val="1"/>
      </rPr>
      <t xml:space="preserve">(tim) → tim đập nhanh vì VỘI.</t>
    </r>
  </si>
  <si>
    <t xml:space="preserve">まちます</t>
  </si>
  <si>
    <t xml:space="preserve">待ちます</t>
  </si>
  <si>
    <t xml:space="preserve">Đợi</t>
  </si>
  <si>
    <r>
      <rPr>
        <sz val="10"/>
        <rFont val="Noto Sans CJK SC"/>
        <family val="2"/>
      </rPr>
      <t xml:space="preserve">待 </t>
    </r>
    <r>
      <rPr>
        <sz val="10"/>
        <rFont val="Arial"/>
        <family val="0"/>
        <charset val="1"/>
      </rPr>
      <t xml:space="preserve">có bộ </t>
    </r>
    <r>
      <rPr>
        <sz val="10"/>
        <rFont val="Noto Sans CJK SC"/>
        <family val="2"/>
      </rPr>
      <t xml:space="preserve">彳 </t>
    </r>
    <r>
      <rPr>
        <sz val="10"/>
        <rFont val="Arial"/>
        <family val="0"/>
        <charset val="1"/>
      </rPr>
      <t xml:space="preserve">(bước đi) + </t>
    </r>
    <r>
      <rPr>
        <sz val="10"/>
        <rFont val="Noto Sans CJK SC"/>
        <family val="2"/>
      </rPr>
      <t xml:space="preserve">寺 </t>
    </r>
    <r>
      <rPr>
        <sz val="10"/>
        <rFont val="Arial"/>
        <family val="0"/>
        <charset val="1"/>
      </rPr>
      <t xml:space="preserve">(chùa) → đứng ở chùa mà ĐỢI.</t>
    </r>
  </si>
  <si>
    <t xml:space="preserve">とめます</t>
  </si>
  <si>
    <t xml:space="preserve">止めます</t>
  </si>
  <si>
    <t xml:space="preserve">Dừng, đỗ (xe)</t>
  </si>
  <si>
    <r>
      <rPr>
        <sz val="10"/>
        <rFont val="Noto Sans CJK SC"/>
        <family val="2"/>
      </rPr>
      <t xml:space="preserve">止 </t>
    </r>
    <r>
      <rPr>
        <sz val="10"/>
        <rFont val="Arial"/>
        <family val="0"/>
        <charset val="1"/>
      </rPr>
      <t xml:space="preserve">nhìn như bàn chân đứng yên → DỪNG.</t>
    </r>
  </si>
  <si>
    <t xml:space="preserve">まがります</t>
  </si>
  <si>
    <t xml:space="preserve">曲がります</t>
  </si>
  <si>
    <t xml:space="preserve">Rẽ</t>
  </si>
  <si>
    <r>
      <rPr>
        <sz val="10"/>
        <rFont val="Noto Sans CJK SC"/>
        <family val="2"/>
      </rPr>
      <t xml:space="preserve">曲 </t>
    </r>
    <r>
      <rPr>
        <sz val="10"/>
        <rFont val="Arial"/>
        <family val="0"/>
        <charset val="1"/>
      </rPr>
      <t xml:space="preserve">nhìn như con đường uốn cong → RẼ.</t>
    </r>
  </si>
  <si>
    <t xml:space="preserve">もちます</t>
  </si>
  <si>
    <t xml:space="preserve">持ちます</t>
  </si>
  <si>
    <t xml:space="preserve">Cầm, mang</t>
  </si>
  <si>
    <r>
      <rPr>
        <sz val="10"/>
        <rFont val="Noto Sans CJK SC"/>
        <family val="2"/>
      </rPr>
      <t xml:space="preserve">持 </t>
    </r>
    <r>
      <rPr>
        <sz val="10"/>
        <rFont val="Arial"/>
        <family val="0"/>
        <charset val="1"/>
      </rPr>
      <t xml:space="preserve">có </t>
    </r>
    <r>
      <rPr>
        <sz val="10"/>
        <rFont val="Noto Sans CJK SC"/>
        <family val="2"/>
      </rPr>
      <t xml:space="preserve">扌 </t>
    </r>
    <r>
      <rPr>
        <sz val="10"/>
        <rFont val="Arial"/>
        <family val="0"/>
        <charset val="1"/>
      </rPr>
      <t xml:space="preserve">(tay) → dùng tay CẦM.</t>
    </r>
  </si>
  <si>
    <t xml:space="preserve">てつだいます</t>
  </si>
  <si>
    <t xml:space="preserve">手伝います</t>
  </si>
  <si>
    <t xml:space="preserve">Giúp đỡ</t>
  </si>
  <si>
    <t xml:space="preserve">THỦ TRUYỀN = đưa tay ra giúp.</t>
  </si>
  <si>
    <t xml:space="preserve">よびます</t>
  </si>
  <si>
    <t xml:space="preserve">呼びます</t>
  </si>
  <si>
    <t xml:space="preserve">Gọi (người)</t>
  </si>
  <si>
    <r>
      <rPr>
        <sz val="10"/>
        <rFont val="Noto Sans CJK SC"/>
        <family val="2"/>
      </rPr>
      <t xml:space="preserve">呼 </t>
    </r>
    <r>
      <rPr>
        <sz val="10"/>
        <rFont val="Arial"/>
        <family val="0"/>
        <charset val="1"/>
      </rPr>
      <t xml:space="preserve">có </t>
    </r>
    <r>
      <rPr>
        <sz val="10"/>
        <rFont val="Noto Sans CJK SC"/>
        <family val="2"/>
      </rPr>
      <t xml:space="preserve">口 </t>
    </r>
    <r>
      <rPr>
        <sz val="10"/>
        <rFont val="Arial"/>
        <family val="0"/>
        <charset val="1"/>
      </rPr>
      <t xml:space="preserve">(miệng) → dùng miệng GỌI.</t>
    </r>
  </si>
  <si>
    <t xml:space="preserve">みせます</t>
  </si>
  <si>
    <t xml:space="preserve">見せます</t>
  </si>
  <si>
    <t xml:space="preserve">Cho xem</t>
  </si>
  <si>
    <r>
      <rPr>
        <sz val="10"/>
        <rFont val="Noto Sans CJK SC"/>
        <family val="2"/>
      </rPr>
      <t xml:space="preserve">見 </t>
    </r>
    <r>
      <rPr>
        <sz val="10"/>
        <rFont val="Arial"/>
        <family val="0"/>
        <charset val="1"/>
      </rPr>
      <t xml:space="preserve">(nhìn) → làm cho người khác nhìn = CHO XEM.</t>
    </r>
  </si>
  <si>
    <t xml:space="preserve">ゆっくり</t>
  </si>
  <si>
    <t xml:space="preserve">Từ từ, thong thả</t>
  </si>
  <si>
    <r>
      <rPr>
        <sz val="10"/>
        <rFont val="Noto Sans CJK SC"/>
        <family val="2"/>
      </rPr>
      <t xml:space="preserve">ゆっくり 話して ください </t>
    </r>
    <r>
      <rPr>
        <sz val="10"/>
        <rFont val="Arial"/>
        <family val="0"/>
        <charset val="1"/>
      </rPr>
      <t xml:space="preserve">= xin nói chậm lại.</t>
    </r>
  </si>
  <si>
    <t xml:space="preserve">すぐ</t>
  </si>
  <si>
    <t xml:space="preserve">Ngay lập tức</t>
  </si>
  <si>
    <r>
      <rPr>
        <sz val="10"/>
        <rFont val="Noto Sans CJK SC"/>
        <family val="2"/>
      </rPr>
      <t xml:space="preserve">すぐ 行きます </t>
    </r>
    <r>
      <rPr>
        <sz val="10"/>
        <rFont val="Arial"/>
        <family val="0"/>
        <charset val="1"/>
      </rPr>
      <t xml:space="preserve">= tôi đi ngay đây.</t>
    </r>
  </si>
  <si>
    <t xml:space="preserve">▌ BÀI 15  ·  Cho phép &amp; Cấm đoán  (14 từ)</t>
  </si>
  <si>
    <t xml:space="preserve">すみます</t>
  </si>
  <si>
    <t xml:space="preserve">住みます</t>
  </si>
  <si>
    <t xml:space="preserve">Sống, cư trú</t>
  </si>
  <si>
    <r>
      <rPr>
        <sz val="10"/>
        <rFont val="Noto Sans CJK SC"/>
        <family val="2"/>
      </rPr>
      <t xml:space="preserve">住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主 </t>
    </r>
    <r>
      <rPr>
        <sz val="10"/>
        <rFont val="Arial"/>
        <family val="0"/>
        <charset val="1"/>
      </rPr>
      <t xml:space="preserve">(chủ) → người làm chủ chỗ ở. Luôn dùng thể </t>
    </r>
    <r>
      <rPr>
        <sz val="10"/>
        <rFont val="Noto Sans CJK SC"/>
        <family val="2"/>
      </rPr>
      <t xml:space="preserve">住んで います</t>
    </r>
    <r>
      <rPr>
        <sz val="10"/>
        <rFont val="Arial"/>
        <family val="0"/>
        <charset val="1"/>
      </rPr>
      <t xml:space="preserve">.</t>
    </r>
  </si>
  <si>
    <t xml:space="preserve">つかいます</t>
  </si>
  <si>
    <t xml:space="preserve">使います</t>
  </si>
  <si>
    <t xml:space="preserve">Dùng, sử dụng</t>
  </si>
  <si>
    <r>
      <rPr>
        <sz val="10"/>
        <rFont val="Noto Sans CJK SC"/>
        <family val="2"/>
      </rPr>
      <t xml:space="preserve">使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吏 → </t>
    </r>
    <r>
      <rPr>
        <sz val="10"/>
        <rFont val="Arial"/>
        <family val="0"/>
        <charset val="1"/>
      </rPr>
      <t xml:space="preserve">sai người làm việc → SỬ DỤNG.</t>
    </r>
  </si>
  <si>
    <t xml:space="preserve">しります</t>
  </si>
  <si>
    <t xml:space="preserve">知ります</t>
  </si>
  <si>
    <t xml:space="preserve">Biết</t>
  </si>
  <si>
    <r>
      <rPr>
        <sz val="10"/>
        <rFont val="Noto Sans CJK SC"/>
        <family val="2"/>
      </rPr>
      <t xml:space="preserve">知 </t>
    </r>
    <r>
      <rPr>
        <sz val="10"/>
        <rFont val="Arial"/>
        <family val="0"/>
        <charset val="1"/>
      </rPr>
      <t xml:space="preserve">= </t>
    </r>
    <r>
      <rPr>
        <sz val="10"/>
        <rFont val="Noto Sans CJK SC"/>
        <family val="2"/>
      </rPr>
      <t xml:space="preserve">矢 </t>
    </r>
    <r>
      <rPr>
        <sz val="10"/>
        <rFont val="Arial"/>
        <family val="0"/>
        <charset val="1"/>
      </rPr>
      <t xml:space="preserve">(mũi tên) + </t>
    </r>
    <r>
      <rPr>
        <sz val="10"/>
        <rFont val="Noto Sans CJK SC"/>
        <family val="2"/>
      </rPr>
      <t xml:space="preserve">口 → </t>
    </r>
    <r>
      <rPr>
        <sz val="10"/>
        <rFont val="Arial"/>
        <family val="0"/>
        <charset val="1"/>
      </rPr>
      <t xml:space="preserve">lời nói bắn thẳng như tên = BIẾT rõ.</t>
    </r>
  </si>
  <si>
    <t xml:space="preserve">つくります</t>
  </si>
  <si>
    <t xml:space="preserve">作ります</t>
  </si>
  <si>
    <t xml:space="preserve">Làm, chế tạo</t>
  </si>
  <si>
    <r>
      <rPr>
        <sz val="10"/>
        <rFont val="Noto Sans CJK SC"/>
        <family val="2"/>
      </rPr>
      <t xml:space="preserve">作 </t>
    </r>
    <r>
      <rPr>
        <sz val="10"/>
        <rFont val="Arial"/>
        <family val="0"/>
        <charset val="1"/>
      </rPr>
      <t xml:space="preserve">= </t>
    </r>
    <r>
      <rPr>
        <sz val="10"/>
        <rFont val="Noto Sans CJK SC"/>
        <family val="2"/>
      </rPr>
      <t xml:space="preserve">亻 </t>
    </r>
    <r>
      <rPr>
        <sz val="10"/>
        <rFont val="Arial"/>
        <family val="0"/>
        <charset val="1"/>
      </rPr>
      <t xml:space="preserve">(người) + </t>
    </r>
    <r>
      <rPr>
        <sz val="10"/>
        <rFont val="Noto Sans CJK SC"/>
        <family val="2"/>
      </rPr>
      <t xml:space="preserve">乍 → </t>
    </r>
    <r>
      <rPr>
        <sz val="10"/>
        <rFont val="Arial"/>
        <family val="0"/>
        <charset val="1"/>
      </rPr>
      <t xml:space="preserve">người tạo ra vật.</t>
    </r>
  </si>
  <si>
    <t xml:space="preserve">うります</t>
  </si>
  <si>
    <t xml:space="preserve">売ります</t>
  </si>
  <si>
    <t xml:space="preserve">Bán</t>
  </si>
  <si>
    <r>
      <rPr>
        <sz val="10"/>
        <rFont val="Noto Sans CJK SC"/>
        <family val="2"/>
      </rPr>
      <t xml:space="preserve">売 </t>
    </r>
    <r>
      <rPr>
        <sz val="10"/>
        <rFont val="Arial"/>
        <family val="0"/>
        <charset val="1"/>
      </rPr>
      <t xml:space="preserve">nhìn giống </t>
    </r>
    <r>
      <rPr>
        <sz val="10"/>
        <rFont val="Noto Sans CJK SC"/>
        <family val="2"/>
      </rPr>
      <t xml:space="preserve">買 </t>
    </r>
    <r>
      <rPr>
        <sz val="10"/>
        <rFont val="Arial"/>
        <family val="0"/>
        <charset val="1"/>
      </rPr>
      <t xml:space="preserve">lộn ngược nghĩa. </t>
    </r>
    <r>
      <rPr>
        <sz val="10"/>
        <rFont val="Noto Sans CJK SC"/>
        <family val="2"/>
      </rPr>
      <t xml:space="preserve">売り </t>
    </r>
    <r>
      <rPr>
        <sz val="10"/>
        <rFont val="Arial"/>
        <family val="0"/>
        <charset val="1"/>
      </rPr>
      <t xml:space="preserve">buôn — </t>
    </r>
    <r>
      <rPr>
        <sz val="10"/>
        <rFont val="Noto Sans CJK SC"/>
        <family val="2"/>
      </rPr>
      <t xml:space="preserve">買い </t>
    </r>
    <r>
      <rPr>
        <sz val="10"/>
        <rFont val="Arial"/>
        <family val="0"/>
        <charset val="1"/>
      </rPr>
      <t xml:space="preserve">mua.</t>
    </r>
  </si>
  <si>
    <t xml:space="preserve">しっています</t>
  </si>
  <si>
    <t xml:space="preserve">知っています</t>
  </si>
  <si>
    <r>
      <rPr>
        <sz val="10"/>
        <rFont val="Arial"/>
        <family val="0"/>
        <charset val="1"/>
      </rPr>
      <t xml:space="preserve">Phủ định là </t>
    </r>
    <r>
      <rPr>
        <sz val="10"/>
        <rFont val="Noto Sans CJK SC"/>
        <family val="2"/>
      </rPr>
      <t xml:space="preserve">知りません</t>
    </r>
    <r>
      <rPr>
        <sz val="10"/>
        <rFont val="Arial"/>
        <family val="0"/>
        <charset val="1"/>
      </rPr>
      <t xml:space="preserve">, KHÔNG phải </t>
    </r>
    <r>
      <rPr>
        <sz val="10"/>
        <rFont val="Noto Sans CJK SC"/>
        <family val="2"/>
      </rPr>
      <t xml:space="preserve">知っていません</t>
    </r>
    <r>
      <rPr>
        <sz val="10"/>
        <rFont val="Arial"/>
        <family val="0"/>
        <charset val="1"/>
      </rPr>
      <t xml:space="preserve">. Đây là bẫy đề thi.</t>
    </r>
  </si>
  <si>
    <t xml:space="preserve">けんきゅうしゃ</t>
  </si>
  <si>
    <t xml:space="preserve">研究者</t>
  </si>
  <si>
    <t xml:space="preserve">Nhà nghiên cứu</t>
  </si>
  <si>
    <r>
      <rPr>
        <sz val="10"/>
        <rFont val="Arial"/>
        <family val="0"/>
        <charset val="1"/>
      </rPr>
      <t xml:space="preserve">NGHIÊN CỨU GIẢ. </t>
    </r>
    <r>
      <rPr>
        <sz val="10"/>
        <rFont val="Noto Sans CJK SC"/>
        <family val="2"/>
      </rPr>
      <t xml:space="preserve">者 </t>
    </r>
    <r>
      <rPr>
        <sz val="10"/>
        <rFont val="Arial"/>
        <family val="0"/>
        <charset val="1"/>
      </rPr>
      <t xml:space="preserve">(giả) = người, đã gặp ở </t>
    </r>
    <r>
      <rPr>
        <sz val="10"/>
        <rFont val="Noto Sans CJK SC"/>
        <family val="2"/>
      </rPr>
      <t xml:space="preserve">医者</t>
    </r>
    <r>
      <rPr>
        <sz val="10"/>
        <rFont val="Arial"/>
        <family val="0"/>
        <charset val="1"/>
      </rPr>
      <t xml:space="preserve">.</t>
    </r>
  </si>
  <si>
    <t xml:space="preserve">こうこう</t>
  </si>
  <si>
    <t xml:space="preserve">高校</t>
  </si>
  <si>
    <t xml:space="preserve">Trường cấp 3</t>
  </si>
  <si>
    <r>
      <rPr>
        <sz val="10"/>
        <rFont val="Arial"/>
        <family val="0"/>
        <charset val="1"/>
      </rPr>
      <t xml:space="preserve">CAO HIỆU = trường bậc cao. Rút gọn từ </t>
    </r>
    <r>
      <rPr>
        <sz val="10"/>
        <rFont val="Noto Sans CJK SC"/>
        <family val="2"/>
      </rPr>
      <t xml:space="preserve">高等学校</t>
    </r>
    <r>
      <rPr>
        <sz val="10"/>
        <rFont val="Arial"/>
        <family val="0"/>
        <charset val="1"/>
      </rPr>
      <t xml:space="preserve">.</t>
    </r>
  </si>
  <si>
    <t xml:space="preserve">びょういん</t>
  </si>
  <si>
    <t xml:space="preserve">病院</t>
  </si>
  <si>
    <t xml:space="preserve">Bệnh viện</t>
  </si>
  <si>
    <t xml:space="preserve">BỆNH VIỆN — âm Hán Việt y hệt tiếng Việt.</t>
  </si>
  <si>
    <t xml:space="preserve">かぞく</t>
  </si>
  <si>
    <t xml:space="preserve">家族</t>
  </si>
  <si>
    <t xml:space="preserve">Gia đình</t>
  </si>
  <si>
    <t xml:space="preserve">GIA TỘC = người trong nhà.</t>
  </si>
  <si>
    <t xml:space="preserve">どくしん</t>
  </si>
  <si>
    <t xml:space="preserve">独身</t>
  </si>
  <si>
    <t xml:space="preserve">Độc thân</t>
  </si>
  <si>
    <t xml:space="preserve">ĐỘC THÂN — âm Hán Việt y hệt.</t>
  </si>
  <si>
    <t xml:space="preserve">しゃしん</t>
  </si>
  <si>
    <t xml:space="preserve">写真</t>
  </si>
  <si>
    <t xml:space="preserve">Ảnh</t>
  </si>
  <si>
    <r>
      <rPr>
        <sz val="10"/>
        <rFont val="Arial"/>
        <family val="0"/>
        <charset val="1"/>
      </rPr>
      <t xml:space="preserve">TẢ CHÂN = ghi lại sự thật. </t>
    </r>
    <r>
      <rPr>
        <sz val="10"/>
        <rFont val="Noto Sans CJK SC"/>
        <family val="2"/>
      </rPr>
      <t xml:space="preserve">写真を 撮ります </t>
    </r>
    <r>
      <rPr>
        <sz val="10"/>
        <rFont val="Arial"/>
        <family val="0"/>
        <charset val="1"/>
      </rPr>
      <t xml:space="preserve">= chụp ảnh.</t>
    </r>
  </si>
  <si>
    <t xml:space="preserve">でんわばんごう</t>
  </si>
  <si>
    <t xml:space="preserve">電話番号</t>
  </si>
  <si>
    <t xml:space="preserve">Số điện thoại</t>
  </si>
  <si>
    <r>
      <rPr>
        <sz val="10"/>
        <rFont val="Arial"/>
        <family val="0"/>
        <charset val="1"/>
      </rPr>
      <t xml:space="preserve">ĐIỆN THOẠI PHIÊN HIỆU. </t>
    </r>
    <r>
      <rPr>
        <sz val="10"/>
        <rFont val="Noto Sans CJK SC"/>
        <family val="2"/>
      </rPr>
      <t xml:space="preserve">番号 </t>
    </r>
    <r>
      <rPr>
        <sz val="10"/>
        <rFont val="Arial"/>
        <family val="0"/>
        <charset val="1"/>
      </rPr>
      <t xml:space="preserve">(phiên hiệu) = con số thứ tự.</t>
    </r>
  </si>
  <si>
    <t xml:space="preserve">たばこ</t>
  </si>
  <si>
    <t xml:space="preserve">Thuốc lá</t>
  </si>
  <si>
    <r>
      <rPr>
        <sz val="10"/>
        <rFont val="Noto Sans CJK SC"/>
        <family val="2"/>
      </rPr>
      <t xml:space="preserve">たばこを 吸います — </t>
    </r>
    <r>
      <rPr>
        <sz val="10"/>
        <rFont val="Arial"/>
        <family val="0"/>
        <charset val="1"/>
      </rPr>
      <t xml:space="preserve">dùng </t>
    </r>
    <r>
      <rPr>
        <sz val="10"/>
        <rFont val="Noto Sans CJK SC"/>
        <family val="2"/>
      </rPr>
      <t xml:space="preserve">吸います </t>
    </r>
    <r>
      <rPr>
        <sz val="10"/>
        <rFont val="Arial"/>
        <family val="0"/>
        <charset val="1"/>
      </rPr>
      <t xml:space="preserve">(hút vào) chứ không dùng </t>
    </r>
    <r>
      <rPr>
        <sz val="10"/>
        <rFont val="Noto Sans CJK SC"/>
        <family val="2"/>
      </rPr>
      <t xml:space="preserve">飲みます</t>
    </r>
    <r>
      <rPr>
        <sz val="10"/>
        <rFont val="Arial"/>
        <family val="0"/>
        <charset val="1"/>
      </rPr>
      <t xml:space="preserve">.</t>
    </r>
  </si>
  <si>
    <r>
      <rPr>
        <b val="true"/>
        <sz val="12"/>
        <color rgb="FFFFFFFF"/>
        <rFont val="Arial"/>
        <family val="0"/>
        <charset val="1"/>
      </rPr>
      <t xml:space="preserve">▌ BÀI 16  ·  Nối câu bằng thể </t>
    </r>
    <r>
      <rPr>
        <b val="true"/>
        <sz val="12"/>
        <color rgb="FFFFFFFF"/>
        <rFont val="Noto Sans CJK SC"/>
        <family val="2"/>
      </rPr>
      <t xml:space="preserve">て  </t>
    </r>
    <r>
      <rPr>
        <b val="true"/>
        <sz val="12"/>
        <color rgb="FFFFFFFF"/>
        <rFont val="Arial"/>
        <family val="0"/>
        <charset val="1"/>
      </rPr>
      <t xml:space="preserve">(14 từ)</t>
    </r>
  </si>
  <si>
    <t xml:space="preserve">あびます</t>
  </si>
  <si>
    <t xml:space="preserve">浴びます</t>
  </si>
  <si>
    <t xml:space="preserve">Tắm (vòi sen)</t>
  </si>
  <si>
    <r>
      <rPr>
        <sz val="10"/>
        <rFont val="Noto Sans CJK SC"/>
        <family val="2"/>
      </rPr>
      <t xml:space="preserve">シャワーを 浴びます</t>
    </r>
    <r>
      <rPr>
        <sz val="10"/>
        <rFont val="Arial"/>
        <family val="0"/>
        <charset val="1"/>
      </rPr>
      <t xml:space="preserve">. </t>
    </r>
    <r>
      <rPr>
        <sz val="10"/>
        <rFont val="Noto Sans CJK SC"/>
        <family val="2"/>
      </rPr>
      <t xml:space="preserve">浴 </t>
    </r>
    <r>
      <rPr>
        <sz val="10"/>
        <rFont val="Arial"/>
        <family val="0"/>
        <charset val="1"/>
      </rPr>
      <t xml:space="preserve">có </t>
    </r>
    <r>
      <rPr>
        <sz val="10"/>
        <rFont val="Noto Sans CJK SC"/>
        <family val="2"/>
      </rPr>
      <t xml:space="preserve">氵 </t>
    </r>
    <r>
      <rPr>
        <sz val="10"/>
        <rFont val="Arial"/>
        <family val="0"/>
        <charset val="1"/>
      </rPr>
      <t xml:space="preserve">(nước) → dội nước lên người.</t>
    </r>
  </si>
  <si>
    <t xml:space="preserve">いれます</t>
  </si>
  <si>
    <t xml:space="preserve">入れます</t>
  </si>
  <si>
    <t xml:space="preserve">Cho vào, bỏ vào</t>
  </si>
  <si>
    <r>
      <rPr>
        <sz val="10"/>
        <rFont val="Noto Sans CJK SC"/>
        <family val="2"/>
      </rPr>
      <t xml:space="preserve">入 </t>
    </r>
    <r>
      <rPr>
        <sz val="10"/>
        <rFont val="Arial"/>
        <family val="0"/>
        <charset val="1"/>
      </rPr>
      <t xml:space="preserve">(nhập) = vào. Tha động từ của </t>
    </r>
    <r>
      <rPr>
        <sz val="10"/>
        <rFont val="Noto Sans CJK SC"/>
        <family val="2"/>
      </rPr>
      <t xml:space="preserve">入ります</t>
    </r>
    <r>
      <rPr>
        <sz val="10"/>
        <rFont val="Arial"/>
        <family val="0"/>
        <charset val="1"/>
      </rPr>
      <t xml:space="preserve">.</t>
    </r>
  </si>
  <si>
    <t xml:space="preserve">だします</t>
  </si>
  <si>
    <t xml:space="preserve">出します</t>
  </si>
  <si>
    <t xml:space="preserve">Lấy ra, nộp</t>
  </si>
  <si>
    <r>
      <rPr>
        <sz val="10"/>
        <rFont val="Noto Sans CJK SC"/>
        <family val="2"/>
      </rPr>
      <t xml:space="preserve">出 </t>
    </r>
    <r>
      <rPr>
        <sz val="10"/>
        <rFont val="Arial"/>
        <family val="0"/>
        <charset val="1"/>
      </rPr>
      <t xml:space="preserve">(xuất) = ra. </t>
    </r>
    <r>
      <rPr>
        <sz val="10"/>
        <rFont val="Noto Sans CJK SC"/>
        <family val="2"/>
      </rPr>
      <t xml:space="preserve">レポートを 出します </t>
    </r>
    <r>
      <rPr>
        <sz val="10"/>
        <rFont val="Arial"/>
        <family val="0"/>
        <charset val="1"/>
      </rPr>
      <t xml:space="preserve">= nộp báo cáo.</t>
    </r>
  </si>
  <si>
    <t xml:space="preserve">おします</t>
  </si>
  <si>
    <t xml:space="preserve">押します</t>
  </si>
  <si>
    <t xml:space="preserve">Ấn, đẩy</t>
  </si>
  <si>
    <r>
      <rPr>
        <sz val="10"/>
        <rFont val="Noto Sans CJK SC"/>
        <family val="2"/>
      </rPr>
      <t xml:space="preserve">押 </t>
    </r>
    <r>
      <rPr>
        <sz val="10"/>
        <rFont val="Arial"/>
        <family val="0"/>
        <charset val="1"/>
      </rPr>
      <t xml:space="preserve">có </t>
    </r>
    <r>
      <rPr>
        <sz val="10"/>
        <rFont val="Noto Sans CJK SC"/>
        <family val="2"/>
      </rPr>
      <t xml:space="preserve">扌 </t>
    </r>
    <r>
      <rPr>
        <sz val="10"/>
        <rFont val="Arial"/>
        <family val="0"/>
        <charset val="1"/>
      </rPr>
      <t xml:space="preserve">(tay) → dùng tay ẤN. Trên cửa Nhật hay ghi </t>
    </r>
    <r>
      <rPr>
        <sz val="10"/>
        <rFont val="Noto Sans CJK SC"/>
        <family val="2"/>
      </rPr>
      <t xml:space="preserve">押</t>
    </r>
    <r>
      <rPr>
        <sz val="10"/>
        <rFont val="Arial"/>
        <family val="0"/>
        <charset val="1"/>
      </rPr>
      <t xml:space="preserve">/</t>
    </r>
    <r>
      <rPr>
        <sz val="10"/>
        <rFont val="Noto Sans CJK SC"/>
        <family val="2"/>
      </rPr>
      <t xml:space="preserve">引</t>
    </r>
    <r>
      <rPr>
        <sz val="10"/>
        <rFont val="Arial"/>
        <family val="0"/>
        <charset val="1"/>
      </rPr>
      <t xml:space="preserve">.</t>
    </r>
  </si>
  <si>
    <t xml:space="preserve">ひきます</t>
  </si>
  <si>
    <t xml:space="preserve">引きます</t>
  </si>
  <si>
    <t xml:space="preserve">Kéo</t>
  </si>
  <si>
    <r>
      <rPr>
        <sz val="10"/>
        <rFont val="Arial"/>
        <family val="0"/>
        <charset val="1"/>
      </rPr>
      <t xml:space="preserve">Đối lập với </t>
    </r>
    <r>
      <rPr>
        <sz val="10"/>
        <rFont val="Noto Sans CJK SC"/>
        <family val="2"/>
      </rPr>
      <t xml:space="preserve">押します</t>
    </r>
    <r>
      <rPr>
        <sz val="10"/>
        <rFont val="Arial"/>
        <family val="0"/>
        <charset val="1"/>
      </rPr>
      <t xml:space="preserve">. </t>
    </r>
    <r>
      <rPr>
        <sz val="10"/>
        <rFont val="Noto Sans CJK SC"/>
        <family val="2"/>
      </rPr>
      <t xml:space="preserve">引 </t>
    </r>
    <r>
      <rPr>
        <sz val="10"/>
        <rFont val="Arial"/>
        <family val="0"/>
        <charset val="1"/>
      </rPr>
      <t xml:space="preserve">nhìn như dây cung đang KÉO căng.</t>
    </r>
  </si>
  <si>
    <t xml:space="preserve">あるきます</t>
  </si>
  <si>
    <t xml:space="preserve">歩きます</t>
  </si>
  <si>
    <r>
      <rPr>
        <sz val="10"/>
        <rFont val="Noto Sans CJK SC"/>
        <family val="2"/>
      </rPr>
      <t xml:space="preserve">歩 </t>
    </r>
    <r>
      <rPr>
        <sz val="10"/>
        <rFont val="Arial"/>
        <family val="0"/>
        <charset val="1"/>
      </rPr>
      <t xml:space="preserve">có bộ </t>
    </r>
    <r>
      <rPr>
        <sz val="10"/>
        <rFont val="Noto Sans CJK SC"/>
        <family val="2"/>
      </rPr>
      <t xml:space="preserve">止 </t>
    </r>
    <r>
      <rPr>
        <sz val="10"/>
        <rFont val="Arial"/>
        <family val="0"/>
        <charset val="1"/>
      </rPr>
      <t xml:space="preserve">(bàn chân) → dùng chân bước.</t>
    </r>
  </si>
  <si>
    <t xml:space="preserve">わたります</t>
  </si>
  <si>
    <t xml:space="preserve">渡ります</t>
  </si>
  <si>
    <t xml:space="preserve">Băng qua</t>
  </si>
  <si>
    <r>
      <rPr>
        <sz val="10"/>
        <rFont val="Noto Sans CJK SC"/>
        <family val="2"/>
      </rPr>
      <t xml:space="preserve">渡 </t>
    </r>
    <r>
      <rPr>
        <sz val="10"/>
        <rFont val="Arial"/>
        <family val="0"/>
        <charset val="1"/>
      </rPr>
      <t xml:space="preserve">có </t>
    </r>
    <r>
      <rPr>
        <sz val="10"/>
        <rFont val="Noto Sans CJK SC"/>
        <family val="2"/>
      </rPr>
      <t xml:space="preserve">氵 </t>
    </r>
    <r>
      <rPr>
        <sz val="10"/>
        <rFont val="Arial"/>
        <family val="0"/>
        <charset val="1"/>
      </rPr>
      <t xml:space="preserve">(nước) → lội qua sông. </t>
    </r>
    <r>
      <rPr>
        <sz val="10"/>
        <rFont val="Noto Sans CJK SC"/>
        <family val="2"/>
      </rPr>
      <t xml:space="preserve">橋を 渡ります </t>
    </r>
    <r>
      <rPr>
        <sz val="10"/>
        <rFont val="Arial"/>
        <family val="0"/>
        <charset val="1"/>
      </rPr>
      <t xml:space="preserve">= qua cầu.</t>
    </r>
  </si>
  <si>
    <t xml:space="preserve">ひろい</t>
  </si>
  <si>
    <t xml:space="preserve">広い</t>
  </si>
  <si>
    <t xml:space="preserve">Rộng</t>
  </si>
  <si>
    <r>
      <rPr>
        <sz val="10"/>
        <rFont val="Noto Sans CJK SC"/>
        <family val="2"/>
      </rPr>
      <t xml:space="preserve">広 </t>
    </r>
    <r>
      <rPr>
        <sz val="10"/>
        <rFont val="Arial"/>
        <family val="0"/>
        <charset val="1"/>
      </rPr>
      <t xml:space="preserve">có bộ </t>
    </r>
    <r>
      <rPr>
        <sz val="10"/>
        <rFont val="Noto Sans CJK SC"/>
        <family val="2"/>
      </rPr>
      <t xml:space="preserve">广 </t>
    </r>
    <r>
      <rPr>
        <sz val="10"/>
        <rFont val="Arial"/>
        <family val="0"/>
        <charset val="1"/>
      </rPr>
      <t xml:space="preserve">(mái hiên) → mái che một khoảng RỘNG.</t>
    </r>
  </si>
  <si>
    <t xml:space="preserve">せまい</t>
  </si>
  <si>
    <t xml:space="preserve">狭い</t>
  </si>
  <si>
    <t xml:space="preserve">Chật, hẹp</t>
  </si>
  <si>
    <r>
      <rPr>
        <sz val="10"/>
        <rFont val="Noto Sans CJK SC"/>
        <family val="2"/>
      </rPr>
      <t xml:space="preserve">狭 </t>
    </r>
    <r>
      <rPr>
        <sz val="10"/>
        <rFont val="Arial"/>
        <family val="0"/>
        <charset val="1"/>
      </rPr>
      <t xml:space="preserve">có bộ </t>
    </r>
    <r>
      <rPr>
        <sz val="10"/>
        <rFont val="Noto Sans CJK SC"/>
        <family val="2"/>
      </rPr>
      <t xml:space="preserve">犭 </t>
    </r>
    <r>
      <rPr>
        <sz val="10"/>
        <rFont val="Arial"/>
        <family val="0"/>
        <charset val="1"/>
      </rPr>
      <t xml:space="preserve">(con thú) → chuồng thú chật chội.</t>
    </r>
  </si>
  <si>
    <t xml:space="preserve">あかるい</t>
  </si>
  <si>
    <t xml:space="preserve">明るい</t>
  </si>
  <si>
    <t xml:space="preserve">Sáng</t>
  </si>
  <si>
    <r>
      <rPr>
        <sz val="10"/>
        <rFont val="Noto Sans CJK SC"/>
        <family val="2"/>
      </rPr>
      <t xml:space="preserve">明 </t>
    </r>
    <r>
      <rPr>
        <sz val="10"/>
        <rFont val="Arial"/>
        <family val="0"/>
        <charset val="1"/>
      </rPr>
      <t xml:space="preserve">= </t>
    </r>
    <r>
      <rPr>
        <sz val="10"/>
        <rFont val="Noto Sans CJK SC"/>
        <family val="2"/>
      </rPr>
      <t xml:space="preserve">日 </t>
    </r>
    <r>
      <rPr>
        <sz val="10"/>
        <rFont val="Arial"/>
        <family val="0"/>
        <charset val="1"/>
      </rPr>
      <t xml:space="preserve">(mặt trời) + </t>
    </r>
    <r>
      <rPr>
        <sz val="10"/>
        <rFont val="Noto Sans CJK SC"/>
        <family val="2"/>
      </rPr>
      <t xml:space="preserve">月 </t>
    </r>
    <r>
      <rPr>
        <sz val="10"/>
        <rFont val="Arial"/>
        <family val="0"/>
        <charset val="1"/>
      </rPr>
      <t xml:space="preserve">(mặt trăng) → cả hai cùng chiếu = SÁNG.</t>
    </r>
  </si>
  <si>
    <t xml:space="preserve">くらい</t>
  </si>
  <si>
    <t xml:space="preserve">暗い</t>
  </si>
  <si>
    <t xml:space="preserve">Tối</t>
  </si>
  <si>
    <r>
      <rPr>
        <sz val="10"/>
        <rFont val="Noto Sans CJK SC"/>
        <family val="2"/>
      </rPr>
      <t xml:space="preserve">暗 </t>
    </r>
    <r>
      <rPr>
        <sz val="10"/>
        <rFont val="Arial"/>
        <family val="0"/>
        <charset val="1"/>
      </rPr>
      <t xml:space="preserve">= </t>
    </r>
    <r>
      <rPr>
        <sz val="10"/>
        <rFont val="Noto Sans CJK SC"/>
        <family val="2"/>
      </rPr>
      <t xml:space="preserve">日 </t>
    </r>
    <r>
      <rPr>
        <sz val="10"/>
        <rFont val="Arial"/>
        <family val="0"/>
        <charset val="1"/>
      </rPr>
      <t xml:space="preserve">(mặt trời) + </t>
    </r>
    <r>
      <rPr>
        <sz val="10"/>
        <rFont val="Noto Sans CJK SC"/>
        <family val="2"/>
      </rPr>
      <t xml:space="preserve">音 </t>
    </r>
    <r>
      <rPr>
        <sz val="10"/>
        <rFont val="Arial"/>
        <family val="0"/>
        <charset val="1"/>
      </rPr>
      <t xml:space="preserve">(âm thanh) → chỉ nghe tiếng, không thấy gì = TỐI.</t>
    </r>
  </si>
  <si>
    <t xml:space="preserve">わかい</t>
  </si>
  <si>
    <t xml:space="preserve">若い</t>
  </si>
  <si>
    <t xml:space="preserve">Trẻ</t>
  </si>
  <si>
    <r>
      <rPr>
        <sz val="10"/>
        <rFont val="Noto Sans CJK SC"/>
        <family val="2"/>
      </rPr>
      <t xml:space="preserve">若 </t>
    </r>
    <r>
      <rPr>
        <sz val="10"/>
        <rFont val="Arial"/>
        <family val="0"/>
        <charset val="1"/>
      </rPr>
      <t xml:space="preserve">có bộ </t>
    </r>
    <r>
      <rPr>
        <sz val="10"/>
        <rFont val="Noto Sans CJK SC"/>
        <family val="2"/>
      </rPr>
      <t xml:space="preserve">艹 </t>
    </r>
    <r>
      <rPr>
        <sz val="10"/>
        <rFont val="Arial"/>
        <family val="0"/>
        <charset val="1"/>
      </rPr>
      <t xml:space="preserve">(cỏ non) → mầm non = TRẺ.</t>
    </r>
  </si>
  <si>
    <t xml:space="preserve">しんごう</t>
  </si>
  <si>
    <t xml:space="preserve">信号</t>
  </si>
  <si>
    <t xml:space="preserve">Đèn giao thông</t>
  </si>
  <si>
    <r>
      <rPr>
        <sz val="10"/>
        <rFont val="Arial"/>
        <family val="0"/>
        <charset val="1"/>
      </rPr>
      <t xml:space="preserve">TÍN HIỆU. </t>
    </r>
    <r>
      <rPr>
        <sz val="10"/>
        <rFont val="Noto Sans CJK SC"/>
        <family val="2"/>
      </rPr>
      <t xml:space="preserve">信号を 右へ 曲がります </t>
    </r>
    <r>
      <rPr>
        <sz val="10"/>
        <rFont val="Arial"/>
        <family val="0"/>
        <charset val="1"/>
      </rPr>
      <t xml:space="preserve">= rẽ phải ở đèn giao thông.</t>
    </r>
  </si>
  <si>
    <t xml:space="preserve">こうさてん</t>
  </si>
  <si>
    <t xml:space="preserve">交差点</t>
  </si>
  <si>
    <t xml:space="preserve">Ngã tư</t>
  </si>
  <si>
    <t xml:space="preserve">GIAO SAI ĐIỂM = điểm giao cắt.</t>
  </si>
  <si>
    <r>
      <rPr>
        <b val="true"/>
        <sz val="12"/>
        <color rgb="FFFFFFFF"/>
        <rFont val="Arial"/>
        <family val="0"/>
        <charset val="1"/>
      </rPr>
      <t xml:space="preserve">▌ BÀI 17  ·  Thể </t>
    </r>
    <r>
      <rPr>
        <b val="true"/>
        <sz val="12"/>
        <color rgb="FFFFFFFF"/>
        <rFont val="Noto Sans CJK SC"/>
        <family val="2"/>
      </rPr>
      <t xml:space="preserve">ない — </t>
    </r>
    <r>
      <rPr>
        <b val="true"/>
        <sz val="12"/>
        <color rgb="FFFFFFFF"/>
        <rFont val="Arial"/>
        <family val="0"/>
        <charset val="1"/>
      </rPr>
      <t xml:space="preserve">Cấm, Bắt buộc, Không cần  (14 từ)</t>
    </r>
  </si>
  <si>
    <t xml:space="preserve">ぬぎます</t>
  </si>
  <si>
    <t xml:space="preserve">脱ぎます</t>
  </si>
  <si>
    <t xml:space="preserve">Cởi (quần áo, giày)</t>
  </si>
  <si>
    <r>
      <rPr>
        <sz val="10"/>
        <rFont val="Noto Sans CJK SC"/>
        <family val="2"/>
      </rPr>
      <t xml:space="preserve">脱 </t>
    </r>
    <r>
      <rPr>
        <sz val="10"/>
        <rFont val="Arial"/>
        <family val="0"/>
        <charset val="1"/>
      </rPr>
      <t xml:space="preserve">có bộ </t>
    </r>
    <r>
      <rPr>
        <sz val="10"/>
        <rFont val="Noto Sans CJK SC"/>
        <family val="2"/>
      </rPr>
      <t xml:space="preserve">月 </t>
    </r>
    <r>
      <rPr>
        <sz val="10"/>
        <rFont val="Arial"/>
        <family val="0"/>
        <charset val="1"/>
      </rPr>
      <t xml:space="preserve">(thân thể) → tách khỏi thân = CỞI.</t>
    </r>
  </si>
  <si>
    <t xml:space="preserve">もっていきます</t>
  </si>
  <si>
    <t xml:space="preserve">持って 行きます</t>
  </si>
  <si>
    <t xml:space="preserve">Mang đi</t>
  </si>
  <si>
    <r>
      <rPr>
        <sz val="10"/>
        <rFont val="Noto Sans CJK SC"/>
        <family val="2"/>
      </rPr>
      <t xml:space="preserve">持つ </t>
    </r>
    <r>
      <rPr>
        <sz val="10"/>
        <rFont val="Arial"/>
        <family val="0"/>
        <charset val="1"/>
      </rPr>
      <t xml:space="preserve">(cầm) + </t>
    </r>
    <r>
      <rPr>
        <sz val="10"/>
        <rFont val="Noto Sans CJK SC"/>
        <family val="2"/>
      </rPr>
      <t xml:space="preserve">行く </t>
    </r>
    <r>
      <rPr>
        <sz val="10"/>
        <rFont val="Arial"/>
        <family val="0"/>
        <charset val="1"/>
      </rPr>
      <t xml:space="preserve">(đi) = cầm mà đi.</t>
    </r>
  </si>
  <si>
    <t xml:space="preserve">もってきます</t>
  </si>
  <si>
    <t xml:space="preserve">持って 来ます</t>
  </si>
  <si>
    <t xml:space="preserve">Mang đến</t>
  </si>
  <si>
    <r>
      <rPr>
        <sz val="10"/>
        <rFont val="Noto Sans CJK SC"/>
        <family val="2"/>
      </rPr>
      <t xml:space="preserve">持つ </t>
    </r>
    <r>
      <rPr>
        <sz val="10"/>
        <rFont val="Arial"/>
        <family val="0"/>
        <charset val="1"/>
      </rPr>
      <t xml:space="preserve">(cầm) + </t>
    </r>
    <r>
      <rPr>
        <sz val="10"/>
        <rFont val="Noto Sans CJK SC"/>
        <family val="2"/>
      </rPr>
      <t xml:space="preserve">来る </t>
    </r>
    <r>
      <rPr>
        <sz val="10"/>
        <rFont val="Arial"/>
        <family val="0"/>
        <charset val="1"/>
      </rPr>
      <t xml:space="preserve">(đến) = cầm mà đến.</t>
    </r>
  </si>
  <si>
    <t xml:space="preserve">しんぱいします</t>
  </si>
  <si>
    <t xml:space="preserve">心配します</t>
  </si>
  <si>
    <t xml:space="preserve">Lo lắng</t>
  </si>
  <si>
    <r>
      <rPr>
        <sz val="10"/>
        <rFont val="Arial"/>
        <family val="0"/>
        <charset val="1"/>
      </rPr>
      <t xml:space="preserve">TÂM PHỐI = lòng bị phân chia → LO. </t>
    </r>
    <r>
      <rPr>
        <sz val="10"/>
        <rFont val="Noto Sans CJK SC"/>
        <family val="2"/>
      </rPr>
      <t xml:space="preserve">心配しないで ください </t>
    </r>
    <r>
      <rPr>
        <sz val="10"/>
        <rFont val="Arial"/>
        <family val="0"/>
        <charset val="1"/>
      </rPr>
      <t xml:space="preserve">= đừng lo.</t>
    </r>
  </si>
  <si>
    <t xml:space="preserve">ざんぎょうします</t>
  </si>
  <si>
    <t xml:space="preserve">残業します</t>
  </si>
  <si>
    <t xml:space="preserve">Làm thêm giờ</t>
  </si>
  <si>
    <t xml:space="preserve">TÀN NGHIỆP = việc còn sót lại, làm nốt sau giờ.</t>
  </si>
  <si>
    <t xml:space="preserve">しゅっちょうします</t>
  </si>
  <si>
    <t xml:space="preserve">出張します</t>
  </si>
  <si>
    <t xml:space="preserve">Đi công tác</t>
  </si>
  <si>
    <t xml:space="preserve">XUẤT TRƯƠNG = ra ngoài mở rộng công việc.</t>
  </si>
  <si>
    <t xml:space="preserve">Uống (cả thuốc)</t>
  </si>
  <si>
    <r>
      <rPr>
        <sz val="10"/>
        <rFont val="Noto Sans CJK SC"/>
        <family val="2"/>
      </rPr>
      <t xml:space="preserve">薬を 飲みます </t>
    </r>
    <r>
      <rPr>
        <sz val="10"/>
        <rFont val="Arial"/>
        <family val="0"/>
        <charset val="1"/>
      </rPr>
      <t xml:space="preserve">= UỐNG thuốc. Tiếng Nhật uống thuốc, không 'ăn' thuốc.</t>
    </r>
  </si>
  <si>
    <t xml:space="preserve">だいじょうぶ</t>
  </si>
  <si>
    <t xml:space="preserve">大丈夫</t>
  </si>
  <si>
    <t xml:space="preserve">Không sao, ổn</t>
  </si>
  <si>
    <t xml:space="preserve">ĐẠI TRƯỢNG PHU = đàn ông vững vàng → không sao đâu.</t>
  </si>
  <si>
    <t xml:space="preserve">たいへん</t>
  </si>
  <si>
    <t xml:space="preserve">大変</t>
  </si>
  <si>
    <t xml:space="preserve">Vất vả, ghê gớm</t>
  </si>
  <si>
    <t xml:space="preserve">ĐẠI BIẾN = biến cố lớn → vất vả.</t>
  </si>
  <si>
    <t xml:space="preserve">パスポート</t>
  </si>
  <si>
    <t xml:space="preserve">Hộ chiếu</t>
  </si>
  <si>
    <t xml:space="preserve">Từ 'passport'.</t>
  </si>
  <si>
    <t xml:space="preserve">びょうき</t>
  </si>
  <si>
    <t xml:space="preserve">病気</t>
  </si>
  <si>
    <t xml:space="preserve">Bệnh</t>
  </si>
  <si>
    <t xml:space="preserve">BỆNH KHÍ = khí bệnh trong người.</t>
  </si>
  <si>
    <t xml:space="preserve">ねつ</t>
  </si>
  <si>
    <t xml:space="preserve">熱</t>
  </si>
  <si>
    <t xml:space="preserve">Sốt</t>
  </si>
  <si>
    <r>
      <rPr>
        <sz val="10"/>
        <rFont val="Noto Sans CJK SC"/>
        <family val="2"/>
      </rPr>
      <t xml:space="preserve">熱 </t>
    </r>
    <r>
      <rPr>
        <sz val="10"/>
        <rFont val="Arial"/>
        <family val="0"/>
        <charset val="1"/>
      </rPr>
      <t xml:space="preserve">có </t>
    </r>
    <r>
      <rPr>
        <sz val="10"/>
        <rFont val="Noto Sans CJK SC"/>
        <family val="2"/>
      </rPr>
      <t xml:space="preserve">灬 </t>
    </r>
    <r>
      <rPr>
        <sz val="10"/>
        <rFont val="Arial"/>
        <family val="0"/>
        <charset val="1"/>
      </rPr>
      <t xml:space="preserve">(lửa) ở dưới → người nóng như lửa = SỐT.</t>
    </r>
  </si>
  <si>
    <t xml:space="preserve">くすり</t>
  </si>
  <si>
    <t xml:space="preserve">薬</t>
  </si>
  <si>
    <t xml:space="preserve">Thuốc</t>
  </si>
  <si>
    <r>
      <rPr>
        <sz val="10"/>
        <rFont val="Noto Sans CJK SC"/>
        <family val="2"/>
      </rPr>
      <t xml:space="preserve">薬 </t>
    </r>
    <r>
      <rPr>
        <sz val="10"/>
        <rFont val="Arial"/>
        <family val="0"/>
        <charset val="1"/>
      </rPr>
      <t xml:space="preserve">có bộ </t>
    </r>
    <r>
      <rPr>
        <sz val="10"/>
        <rFont val="Noto Sans CJK SC"/>
        <family val="2"/>
      </rPr>
      <t xml:space="preserve">艹 </t>
    </r>
    <r>
      <rPr>
        <sz val="10"/>
        <rFont val="Arial"/>
        <family val="0"/>
        <charset val="1"/>
      </rPr>
      <t xml:space="preserve">(cỏ cây) + </t>
    </r>
    <r>
      <rPr>
        <sz val="10"/>
        <rFont val="Noto Sans CJK SC"/>
        <family val="2"/>
      </rPr>
      <t xml:space="preserve">楽 </t>
    </r>
    <r>
      <rPr>
        <sz val="10"/>
        <rFont val="Arial"/>
        <family val="0"/>
        <charset val="1"/>
      </rPr>
      <t xml:space="preserve">(vui) → cây cỏ làm ta khỏe vui = THUỐC.</t>
    </r>
  </si>
  <si>
    <r>
      <rPr>
        <b val="true"/>
        <sz val="12"/>
        <rFont val="Noto Sans CJK SC"/>
        <family val="2"/>
      </rPr>
      <t xml:space="preserve">たいせつ</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</si>
  <si>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r>
      <rPr>
        <sz val="12"/>
        <rFont val="Noto Sans CJK SC"/>
        <family val="2"/>
      </rPr>
      <t xml:space="preserve">大切</t>
    </r>
    <r>
      <rPr>
        <sz val="12"/>
        <rFont val="Arial"/>
        <family val="0"/>
        <charset val="1"/>
      </rPr>
      <t xml:space="preserve">[</t>
    </r>
    <r>
      <rPr>
        <sz val="12"/>
        <rFont val="Noto Sans CJK SC"/>
        <family val="2"/>
      </rPr>
      <t xml:space="preserve">な</t>
    </r>
    <r>
      <rPr>
        <sz val="12"/>
        <rFont val="Arial"/>
        <family val="0"/>
        <charset val="1"/>
      </rPr>
      <t xml:space="preserve">]</t>
    </r>
  </si>
  <si>
    <t xml:space="preserve">Quan trọng</t>
  </si>
  <si>
    <t xml:space="preserve">ĐẠI THIẾT = cắt ra phần lớn nhất → điều quan trọng nhất.</t>
  </si>
  <si>
    <t xml:space="preserve">▌ BÀI 18  ·  Thể từ điển &amp; Khả năng  (14 từ)</t>
  </si>
  <si>
    <t xml:space="preserve">できます</t>
  </si>
  <si>
    <t xml:space="preserve">Có thể, làm được</t>
  </si>
  <si>
    <r>
      <rPr>
        <sz val="10"/>
        <rFont val="Arial"/>
        <family val="0"/>
        <charset val="1"/>
      </rPr>
      <t xml:space="preserve">Đối tượng dùng </t>
    </r>
    <r>
      <rPr>
        <sz val="10"/>
        <rFont val="Noto Sans CJK SC"/>
        <family val="2"/>
      </rPr>
      <t xml:space="preserve">が</t>
    </r>
    <r>
      <rPr>
        <sz val="10"/>
        <rFont val="Arial"/>
        <family val="0"/>
        <charset val="1"/>
      </rPr>
      <t xml:space="preserve">: </t>
    </r>
    <r>
      <rPr>
        <sz val="10"/>
        <rFont val="Noto Sans CJK SC"/>
        <family val="2"/>
      </rPr>
      <t xml:space="preserve">日本語が できます</t>
    </r>
    <r>
      <rPr>
        <sz val="10"/>
        <rFont val="Arial"/>
        <family val="0"/>
        <charset val="1"/>
      </rPr>
      <t xml:space="preserve">.</t>
    </r>
  </si>
  <si>
    <t xml:space="preserve">弾きます</t>
  </si>
  <si>
    <t xml:space="preserve">Chơi (nhạc cụ dây, phím)</t>
  </si>
  <si>
    <r>
      <rPr>
        <sz val="10"/>
        <rFont val="Noto Sans CJK SC"/>
        <family val="2"/>
      </rPr>
      <t xml:space="preserve">ピアノを 弾きます</t>
    </r>
    <r>
      <rPr>
        <sz val="10"/>
        <rFont val="Arial"/>
        <family val="0"/>
        <charset val="1"/>
      </rPr>
      <t xml:space="preserve">. Khác với </t>
    </r>
    <r>
      <rPr>
        <sz val="10"/>
        <rFont val="Noto Sans CJK SC"/>
        <family val="2"/>
      </rPr>
      <t xml:space="preserve">歌います </t>
    </r>
    <r>
      <rPr>
        <sz val="10"/>
        <rFont val="Arial"/>
        <family val="0"/>
        <charset val="1"/>
      </rPr>
      <t xml:space="preserve">(hát).</t>
    </r>
  </si>
  <si>
    <t xml:space="preserve">うたいます</t>
  </si>
  <si>
    <t xml:space="preserve">歌います</t>
  </si>
  <si>
    <t xml:space="preserve">Hát</t>
  </si>
  <si>
    <r>
      <rPr>
        <sz val="10"/>
        <rFont val="Noto Sans CJK SC"/>
        <family val="2"/>
      </rPr>
      <t xml:space="preserve">歌 </t>
    </r>
    <r>
      <rPr>
        <sz val="10"/>
        <rFont val="Arial"/>
        <family val="0"/>
        <charset val="1"/>
      </rPr>
      <t xml:space="preserve">có bộ </t>
    </r>
    <r>
      <rPr>
        <sz val="10"/>
        <rFont val="Noto Sans CJK SC"/>
        <family val="2"/>
      </rPr>
      <t xml:space="preserve">欠 </t>
    </r>
    <r>
      <rPr>
        <sz val="10"/>
        <rFont val="Arial"/>
        <family val="0"/>
        <charset val="1"/>
      </rPr>
      <t xml:space="preserve">(há miệng) → há miệng mà HÁT.</t>
    </r>
  </si>
  <si>
    <t xml:space="preserve">あつめます</t>
  </si>
  <si>
    <t xml:space="preserve">集めます</t>
  </si>
  <si>
    <t xml:space="preserve">Sưu tầm, tập hợp</t>
  </si>
  <si>
    <r>
      <rPr>
        <sz val="10"/>
        <rFont val="Noto Sans CJK SC"/>
        <family val="2"/>
      </rPr>
      <t xml:space="preserve">集 </t>
    </r>
    <r>
      <rPr>
        <sz val="10"/>
        <rFont val="Arial"/>
        <family val="0"/>
        <charset val="1"/>
      </rPr>
      <t xml:space="preserve">= </t>
    </r>
    <r>
      <rPr>
        <sz val="10"/>
        <rFont val="Noto Sans CJK SC"/>
        <family val="2"/>
      </rPr>
      <t xml:space="preserve">隹 </t>
    </r>
    <r>
      <rPr>
        <sz val="10"/>
        <rFont val="Arial"/>
        <family val="0"/>
        <charset val="1"/>
      </rPr>
      <t xml:space="preserve">(con chim) trên </t>
    </r>
    <r>
      <rPr>
        <sz val="10"/>
        <rFont val="Noto Sans CJK SC"/>
        <family val="2"/>
      </rPr>
      <t xml:space="preserve">木 </t>
    </r>
    <r>
      <rPr>
        <sz val="10"/>
        <rFont val="Arial"/>
        <family val="0"/>
        <charset val="1"/>
      </rPr>
      <t xml:space="preserve">(cây) → chim TỤ TẬP trên cây.</t>
    </r>
  </si>
  <si>
    <t xml:space="preserve">すてます</t>
  </si>
  <si>
    <t xml:space="preserve">捨てます</t>
  </si>
  <si>
    <t xml:space="preserve">Vứt bỏ</t>
  </si>
  <si>
    <r>
      <rPr>
        <sz val="10"/>
        <rFont val="Noto Sans CJK SC"/>
        <family val="2"/>
      </rPr>
      <t xml:space="preserve">捨 </t>
    </r>
    <r>
      <rPr>
        <sz val="10"/>
        <rFont val="Arial"/>
        <family val="0"/>
        <charset val="1"/>
      </rPr>
      <t xml:space="preserve">có </t>
    </r>
    <r>
      <rPr>
        <sz val="10"/>
        <rFont val="Noto Sans CJK SC"/>
        <family val="2"/>
      </rPr>
      <t xml:space="preserve">扌 </t>
    </r>
    <r>
      <rPr>
        <sz val="10"/>
        <rFont val="Arial"/>
        <family val="0"/>
        <charset val="1"/>
      </rPr>
      <t xml:space="preserve">(tay) → tay ném đi = VỨT.</t>
    </r>
  </si>
  <si>
    <t xml:space="preserve">うんてんします</t>
  </si>
  <si>
    <t xml:space="preserve">運転します</t>
  </si>
  <si>
    <t xml:space="preserve">Lái xe</t>
  </si>
  <si>
    <t xml:space="preserve">VẬN CHUYỂN = điều khiển cho di chuyển.</t>
  </si>
  <si>
    <t xml:space="preserve">よやくします</t>
  </si>
  <si>
    <t xml:space="preserve">予約します</t>
  </si>
  <si>
    <t xml:space="preserve">Đặt trước</t>
  </si>
  <si>
    <t xml:space="preserve">DỰ ƯỚC = hẹn trước.</t>
  </si>
  <si>
    <t xml:space="preserve">しゅみ</t>
  </si>
  <si>
    <t xml:space="preserve">趣味</t>
  </si>
  <si>
    <t xml:space="preserve">Sở thích</t>
  </si>
  <si>
    <t xml:space="preserve">THÚ VỊ = điều thấy thú vị.</t>
  </si>
  <si>
    <t xml:space="preserve">にっき</t>
  </si>
  <si>
    <t xml:space="preserve">日記</t>
  </si>
  <si>
    <t xml:space="preserve">Nhật ký</t>
  </si>
  <si>
    <t xml:space="preserve">NHẬT KÝ — âm Hán Việt y hệt tiếng Việt.</t>
  </si>
  <si>
    <t xml:space="preserve">ピアノ</t>
  </si>
  <si>
    <t xml:space="preserve">Đàn piano</t>
  </si>
  <si>
    <t xml:space="preserve">Từ 'piano'.</t>
  </si>
  <si>
    <t xml:space="preserve">インターネット</t>
  </si>
  <si>
    <t xml:space="preserve">Internet</t>
  </si>
  <si>
    <t xml:space="preserve">Từ 'internet'.</t>
  </si>
  <si>
    <t xml:space="preserve">はいります</t>
  </si>
  <si>
    <t xml:space="preserve">入ります</t>
  </si>
  <si>
    <r>
      <rPr>
        <sz val="10"/>
        <rFont val="Noto Sans CJK SC"/>
        <family val="2"/>
      </rPr>
      <t xml:space="preserve">お風呂に 入ります </t>
    </r>
    <r>
      <rPr>
        <sz val="10"/>
        <rFont val="Arial"/>
        <family val="0"/>
        <charset val="1"/>
      </rPr>
      <t xml:space="preserve">= đi tắm bồn. Dùng trợ từ </t>
    </r>
    <r>
      <rPr>
        <sz val="10"/>
        <rFont val="Noto Sans CJK SC"/>
        <family val="2"/>
      </rPr>
      <t xml:space="preserve">に</t>
    </r>
    <r>
      <rPr>
        <sz val="10"/>
        <rFont val="Arial"/>
        <family val="0"/>
        <charset val="1"/>
      </rPr>
      <t xml:space="preserve">.</t>
    </r>
  </si>
  <si>
    <t xml:space="preserve">あたま</t>
  </si>
  <si>
    <t xml:space="preserve">頭</t>
  </si>
  <si>
    <t xml:space="preserve">Đầu</t>
  </si>
  <si>
    <r>
      <rPr>
        <sz val="10"/>
        <rFont val="Noto Sans CJK SC"/>
        <family val="2"/>
      </rPr>
      <t xml:space="preserve">頭 </t>
    </r>
    <r>
      <rPr>
        <sz val="10"/>
        <rFont val="Arial"/>
        <family val="0"/>
        <charset val="1"/>
      </rPr>
      <t xml:space="preserve">có bộ </t>
    </r>
    <r>
      <rPr>
        <sz val="10"/>
        <rFont val="Noto Sans CJK SC"/>
        <family val="2"/>
      </rPr>
      <t xml:space="preserve">頁 </t>
    </r>
    <r>
      <rPr>
        <sz val="10"/>
        <rFont val="Arial"/>
        <family val="0"/>
        <charset val="1"/>
      </rPr>
      <t xml:space="preserve">(cái đầu người). </t>
    </r>
    <r>
      <rPr>
        <sz val="10"/>
        <rFont val="Noto Sans CJK SC"/>
        <family val="2"/>
      </rPr>
      <t xml:space="preserve">頭が いい </t>
    </r>
    <r>
      <rPr>
        <sz val="10"/>
        <rFont val="Arial"/>
        <family val="0"/>
        <charset val="1"/>
      </rPr>
      <t xml:space="preserve">= thông minh.</t>
    </r>
  </si>
  <si>
    <t xml:space="preserve">いちど</t>
  </si>
  <si>
    <t xml:space="preserve">一度</t>
  </si>
  <si>
    <t xml:space="preserve">Một lần</t>
  </si>
  <si>
    <r>
      <rPr>
        <sz val="10"/>
        <rFont val="Arial"/>
        <family val="0"/>
        <charset val="1"/>
      </rPr>
      <t xml:space="preserve">NHẤT ĐỘ. </t>
    </r>
    <r>
      <rPr>
        <sz val="10"/>
        <rFont val="Noto Sans CJK SC"/>
        <family val="2"/>
      </rPr>
      <t xml:space="preserve">もう一度 </t>
    </r>
    <r>
      <rPr>
        <sz val="10"/>
        <rFont val="Arial"/>
        <family val="0"/>
        <charset val="1"/>
      </rPr>
      <t xml:space="preserve">= một lần nữa — câu cực kỳ hay dùng.</t>
    </r>
  </si>
  <si>
    <r>
      <rPr>
        <b val="true"/>
        <sz val="12"/>
        <color rgb="FFFFFFFF"/>
        <rFont val="Arial"/>
        <family val="0"/>
        <charset val="1"/>
      </rPr>
      <t xml:space="preserve">▌ BÀI 19  ·  Thể </t>
    </r>
    <r>
      <rPr>
        <b val="true"/>
        <sz val="12"/>
        <color rgb="FFFFFFFF"/>
        <rFont val="Noto Sans CJK SC"/>
        <family val="2"/>
      </rPr>
      <t xml:space="preserve">た — </t>
    </r>
    <r>
      <rPr>
        <b val="true"/>
        <sz val="12"/>
        <color rgb="FFFFFFFF"/>
        <rFont val="Arial"/>
        <family val="0"/>
        <charset val="1"/>
      </rPr>
      <t xml:space="preserve">Kinh nghiệm &amp; Liệt kê  (14 từ)</t>
    </r>
  </si>
  <si>
    <t xml:space="preserve">のぼります</t>
  </si>
  <si>
    <t xml:space="preserve">登ります</t>
  </si>
  <si>
    <t xml:space="preserve">Leo, trèo</t>
  </si>
  <si>
    <r>
      <rPr>
        <sz val="10"/>
        <rFont val="Noto Sans CJK SC"/>
        <family val="2"/>
      </rPr>
      <t xml:space="preserve">山に 登ります </t>
    </r>
    <r>
      <rPr>
        <sz val="10"/>
        <rFont val="Arial"/>
        <family val="0"/>
        <charset val="1"/>
      </rPr>
      <t xml:space="preserve">= leo núi. Dùng trợ từ </t>
    </r>
    <r>
      <rPr>
        <sz val="10"/>
        <rFont val="Noto Sans CJK SC"/>
        <family val="2"/>
      </rPr>
      <t xml:space="preserve">に</t>
    </r>
    <r>
      <rPr>
        <sz val="10"/>
        <rFont val="Arial"/>
        <family val="0"/>
        <charset val="1"/>
      </rPr>
      <t xml:space="preserve">.</t>
    </r>
  </si>
  <si>
    <t xml:space="preserve">とまります</t>
  </si>
  <si>
    <t xml:space="preserve">泊まります</t>
  </si>
  <si>
    <t xml:space="preserve">Nghỉ lại qua đêm</t>
  </si>
  <si>
    <r>
      <rPr>
        <sz val="10"/>
        <rFont val="Noto Sans CJK SC"/>
        <family val="2"/>
      </rPr>
      <t xml:space="preserve">泊 </t>
    </r>
    <r>
      <rPr>
        <sz val="10"/>
        <rFont val="Arial"/>
        <family val="0"/>
        <charset val="1"/>
      </rPr>
      <t xml:space="preserve">có </t>
    </r>
    <r>
      <rPr>
        <sz val="10"/>
        <rFont val="Noto Sans CJK SC"/>
        <family val="2"/>
      </rPr>
      <t xml:space="preserve">氵 </t>
    </r>
    <r>
      <rPr>
        <sz val="10"/>
        <rFont val="Arial"/>
        <family val="0"/>
        <charset val="1"/>
      </rPr>
      <t xml:space="preserve">(nước) + </t>
    </r>
    <r>
      <rPr>
        <sz val="10"/>
        <rFont val="Noto Sans CJK SC"/>
        <family val="2"/>
      </rPr>
      <t xml:space="preserve">白 → </t>
    </r>
    <r>
      <rPr>
        <sz val="10"/>
        <rFont val="Arial"/>
        <family val="0"/>
        <charset val="1"/>
      </rPr>
      <t xml:space="preserve">thuyền neo lại bến. Khác </t>
    </r>
    <r>
      <rPr>
        <sz val="10"/>
        <rFont val="Noto Sans CJK SC"/>
        <family val="2"/>
      </rPr>
      <t xml:space="preserve">止まります </t>
    </r>
    <r>
      <rPr>
        <sz val="10"/>
        <rFont val="Arial"/>
        <family val="0"/>
        <charset val="1"/>
      </rPr>
      <t xml:space="preserve">(dừng).</t>
    </r>
  </si>
  <si>
    <t xml:space="preserve">そうじします</t>
  </si>
  <si>
    <t xml:space="preserve">掃除します</t>
  </si>
  <si>
    <t xml:space="preserve">Dọn dẹp</t>
  </si>
  <si>
    <t xml:space="preserve">TẢO TRỪ = quét và loại bỏ.</t>
  </si>
  <si>
    <t xml:space="preserve">せんたくします</t>
  </si>
  <si>
    <t xml:space="preserve">洗濯します</t>
  </si>
  <si>
    <t xml:space="preserve">Giặt giũ</t>
  </si>
  <si>
    <r>
      <rPr>
        <sz val="10"/>
        <rFont val="Arial"/>
        <family val="0"/>
        <charset val="1"/>
      </rPr>
      <t xml:space="preserve">TẨY TRẠC = giặt sạch. </t>
    </r>
    <r>
      <rPr>
        <sz val="10"/>
        <rFont val="Noto Sans CJK SC"/>
        <family val="2"/>
      </rPr>
      <t xml:space="preserve">洗 </t>
    </r>
    <r>
      <rPr>
        <sz val="10"/>
        <rFont val="Arial"/>
        <family val="0"/>
        <charset val="1"/>
      </rPr>
      <t xml:space="preserve">có </t>
    </r>
    <r>
      <rPr>
        <sz val="10"/>
        <rFont val="Noto Sans CJK SC"/>
        <family val="2"/>
      </rPr>
      <t xml:space="preserve">氵 </t>
    </r>
    <r>
      <rPr>
        <sz val="10"/>
        <rFont val="Arial"/>
        <family val="0"/>
        <charset val="1"/>
      </rPr>
      <t xml:space="preserve">(nước).</t>
    </r>
  </si>
  <si>
    <t xml:space="preserve">れんしゅうします</t>
  </si>
  <si>
    <t xml:space="preserve">練習します</t>
  </si>
  <si>
    <t xml:space="preserve">Luyện tập</t>
  </si>
  <si>
    <t xml:space="preserve">LUYỆN TẬP — âm Hán Việt y hệt.</t>
  </si>
  <si>
    <t xml:space="preserve">なります</t>
  </si>
  <si>
    <t xml:space="preserve">Trở nên</t>
  </si>
  <si>
    <r>
      <rPr>
        <sz val="10"/>
        <rFont val="Arial"/>
        <family val="0"/>
        <charset val="1"/>
      </rPr>
      <t xml:space="preserve">Adj </t>
    </r>
    <r>
      <rPr>
        <sz val="10"/>
        <rFont val="Noto Sans CJK SC"/>
        <family val="2"/>
      </rPr>
      <t xml:space="preserve">い → く なります</t>
    </r>
    <r>
      <rPr>
        <sz val="10"/>
        <rFont val="Arial"/>
        <family val="0"/>
        <charset val="1"/>
      </rPr>
      <t xml:space="preserve">; Adj </t>
    </r>
    <r>
      <rPr>
        <sz val="10"/>
        <rFont val="Noto Sans CJK SC"/>
        <family val="2"/>
      </rPr>
      <t xml:space="preserve">な </t>
    </r>
    <r>
      <rPr>
        <sz val="10"/>
        <rFont val="Arial"/>
        <family val="0"/>
        <charset val="1"/>
      </rPr>
      <t xml:space="preserve">/ N → </t>
    </r>
    <r>
      <rPr>
        <sz val="10"/>
        <rFont val="Noto Sans CJK SC"/>
        <family val="2"/>
      </rPr>
      <t xml:space="preserve">に なります</t>
    </r>
    <r>
      <rPr>
        <sz val="10"/>
        <rFont val="Arial"/>
        <family val="0"/>
        <charset val="1"/>
      </rPr>
      <t xml:space="preserve">.</t>
    </r>
  </si>
  <si>
    <t xml:space="preserve">つよい</t>
  </si>
  <si>
    <t xml:space="preserve">強い</t>
  </si>
  <si>
    <t xml:space="preserve">Mạnh</t>
  </si>
  <si>
    <r>
      <rPr>
        <sz val="10"/>
        <rFont val="Noto Sans CJK SC"/>
        <family val="2"/>
      </rPr>
      <t xml:space="preserve">強 </t>
    </r>
    <r>
      <rPr>
        <sz val="10"/>
        <rFont val="Arial"/>
        <family val="0"/>
        <charset val="1"/>
      </rPr>
      <t xml:space="preserve">có bộ </t>
    </r>
    <r>
      <rPr>
        <sz val="10"/>
        <rFont val="Noto Sans CJK SC"/>
        <family val="2"/>
      </rPr>
      <t xml:space="preserve">弓 </t>
    </r>
    <r>
      <rPr>
        <sz val="10"/>
        <rFont val="Arial"/>
        <family val="0"/>
        <charset val="1"/>
      </rPr>
      <t xml:space="preserve">(cây cung) → cung căng mạnh.</t>
    </r>
  </si>
  <si>
    <t xml:space="preserve">よわい</t>
  </si>
  <si>
    <t xml:space="preserve">弱い</t>
  </si>
  <si>
    <t xml:space="preserve">Yếu</t>
  </si>
  <si>
    <r>
      <rPr>
        <sz val="10"/>
        <rFont val="Noto Sans CJK SC"/>
        <family val="2"/>
      </rPr>
      <t xml:space="preserve">弱 </t>
    </r>
    <r>
      <rPr>
        <sz val="10"/>
        <rFont val="Arial"/>
        <family val="0"/>
        <charset val="1"/>
      </rPr>
      <t xml:space="preserve">nhìn như hai cây cung gãy → YẾU.</t>
    </r>
  </si>
  <si>
    <t xml:space="preserve">ちょうし</t>
  </si>
  <si>
    <t xml:space="preserve">調子</t>
  </si>
  <si>
    <t xml:space="preserve">Tình trạng, phong độ</t>
  </si>
  <si>
    <r>
      <rPr>
        <sz val="10"/>
        <rFont val="Arial"/>
        <family val="0"/>
        <charset val="1"/>
      </rPr>
      <t xml:space="preserve">ĐIỀU TỬ = nhịp điệu cơ thể. </t>
    </r>
    <r>
      <rPr>
        <sz val="10"/>
        <rFont val="Noto Sans CJK SC"/>
        <family val="2"/>
      </rPr>
      <t xml:space="preserve">調子が いいです </t>
    </r>
    <r>
      <rPr>
        <sz val="10"/>
        <rFont val="Arial"/>
        <family val="0"/>
        <charset val="1"/>
      </rPr>
      <t xml:space="preserve">= trạng thái tốt.</t>
    </r>
  </si>
  <si>
    <t xml:space="preserve">だんだん</t>
  </si>
  <si>
    <t xml:space="preserve">Dần dần</t>
  </si>
  <si>
    <r>
      <rPr>
        <sz val="10"/>
        <rFont val="Noto Sans CJK SC"/>
        <family val="2"/>
      </rPr>
      <t xml:space="preserve">だんだん 寒く なります </t>
    </r>
    <r>
      <rPr>
        <sz val="10"/>
        <rFont val="Arial"/>
        <family val="0"/>
        <charset val="1"/>
      </rPr>
      <t xml:space="preserve">= trời dần lạnh đi.</t>
    </r>
  </si>
  <si>
    <t xml:space="preserve">もうすぐ</t>
  </si>
  <si>
    <t xml:space="preserve">Sắp, sắp sửa</t>
  </si>
  <si>
    <r>
      <rPr>
        <sz val="10"/>
        <rFont val="Noto Sans CJK SC"/>
        <family val="2"/>
      </rPr>
      <t xml:space="preserve">もうすぐ 春です </t>
    </r>
    <r>
      <rPr>
        <sz val="10"/>
        <rFont val="Arial"/>
        <family val="0"/>
        <charset val="1"/>
      </rPr>
      <t xml:space="preserve">= sắp đến mùa xuân rồi.</t>
    </r>
  </si>
  <si>
    <t xml:space="preserve">ゴルフ</t>
  </si>
  <si>
    <t xml:space="preserve">Golf</t>
  </si>
  <si>
    <t xml:space="preserve">Từ 'golf'.</t>
  </si>
  <si>
    <t xml:space="preserve">おちゃ</t>
  </si>
  <si>
    <t xml:space="preserve">お茶</t>
  </si>
  <si>
    <t xml:space="preserve">Trà</t>
  </si>
  <si>
    <r>
      <rPr>
        <sz val="10"/>
        <rFont val="Noto Sans CJK SC"/>
        <family val="2"/>
      </rPr>
      <t xml:space="preserve">茶 </t>
    </r>
    <r>
      <rPr>
        <sz val="10"/>
        <rFont val="Arial"/>
        <family val="0"/>
        <charset val="1"/>
      </rPr>
      <t xml:space="preserve">có bộ </t>
    </r>
    <r>
      <rPr>
        <sz val="10"/>
        <rFont val="Noto Sans CJK SC"/>
        <family val="2"/>
      </rPr>
      <t xml:space="preserve">艹 </t>
    </r>
    <r>
      <rPr>
        <sz val="10"/>
        <rFont val="Arial"/>
        <family val="0"/>
        <charset val="1"/>
      </rPr>
      <t xml:space="preserve">(cỏ cây) → lá cây pha nước = TRÀ.</t>
    </r>
  </si>
  <si>
    <t xml:space="preserve">さいきん</t>
  </si>
  <si>
    <t xml:space="preserve">最近</t>
  </si>
  <si>
    <t xml:space="preserve">TỐI CẬN = gần nhất về thời gian.</t>
  </si>
  <si>
    <r>
      <rPr>
        <b val="true"/>
        <sz val="12"/>
        <color rgb="FFFFFFFF"/>
        <rFont val="Arial"/>
        <family val="0"/>
        <charset val="1"/>
      </rPr>
      <t xml:space="preserve">▌ BÀI 20  ·  Thể thông thường (</t>
    </r>
    <r>
      <rPr>
        <b val="true"/>
        <sz val="12"/>
        <color rgb="FFFFFFFF"/>
        <rFont val="Noto Sans CJK SC"/>
        <family val="2"/>
      </rPr>
      <t xml:space="preserve">普通形</t>
    </r>
    <r>
      <rPr>
        <b val="true"/>
        <sz val="12"/>
        <color rgb="FFFFFFFF"/>
        <rFont val="Arial"/>
        <family val="0"/>
        <charset val="1"/>
      </rPr>
      <t xml:space="preserve">)  (14 từ)</t>
    </r>
  </si>
  <si>
    <t xml:space="preserve">いります</t>
  </si>
  <si>
    <t xml:space="preserve">要ります</t>
  </si>
  <si>
    <t xml:space="preserve">Cần</t>
  </si>
  <si>
    <r>
      <rPr>
        <sz val="10"/>
        <rFont val="Noto Sans CJK SC"/>
        <family val="2"/>
      </rPr>
      <t xml:space="preserve">ビザが 要ります </t>
    </r>
    <r>
      <rPr>
        <sz val="10"/>
        <rFont val="Arial"/>
        <family val="0"/>
        <charset val="1"/>
      </rPr>
      <t xml:space="preserve">= cần visa. Dùng trợ từ </t>
    </r>
    <r>
      <rPr>
        <sz val="10"/>
        <rFont val="Noto Sans CJK SC"/>
        <family val="2"/>
      </rPr>
      <t xml:space="preserve">が</t>
    </r>
    <r>
      <rPr>
        <sz val="10"/>
        <rFont val="Arial"/>
        <family val="0"/>
        <charset val="1"/>
      </rPr>
      <t xml:space="preserve">.</t>
    </r>
  </si>
  <si>
    <t xml:space="preserve">しらべます</t>
  </si>
  <si>
    <t xml:space="preserve">調べます</t>
  </si>
  <si>
    <t xml:space="preserve">Tra cứu, điều tra</t>
  </si>
  <si>
    <r>
      <rPr>
        <sz val="10"/>
        <rFont val="Noto Sans CJK SC"/>
        <family val="2"/>
      </rPr>
      <t xml:space="preserve">調 </t>
    </r>
    <r>
      <rPr>
        <sz val="10"/>
        <rFont val="Arial"/>
        <family val="0"/>
        <charset val="1"/>
      </rPr>
      <t xml:space="preserve">(điều) = điều tra. </t>
    </r>
    <r>
      <rPr>
        <sz val="10"/>
        <rFont val="Noto Sans CJK SC"/>
        <family val="2"/>
      </rPr>
      <t xml:space="preserve">辞書で 調べます </t>
    </r>
    <r>
      <rPr>
        <sz val="10"/>
        <rFont val="Arial"/>
        <family val="0"/>
        <charset val="1"/>
      </rPr>
      <t xml:space="preserve">= tra từ điển.</t>
    </r>
  </si>
  <si>
    <t xml:space="preserve">なおします</t>
  </si>
  <si>
    <t xml:space="preserve">直します</t>
  </si>
  <si>
    <t xml:space="preserve">Sửa chữa</t>
  </si>
  <si>
    <r>
      <rPr>
        <sz val="10"/>
        <rFont val="Noto Sans CJK SC"/>
        <family val="2"/>
      </rPr>
      <t xml:space="preserve">直 </t>
    </r>
    <r>
      <rPr>
        <sz val="10"/>
        <rFont val="Arial"/>
        <family val="0"/>
        <charset val="1"/>
      </rPr>
      <t xml:space="preserve">(trực) = làm cho thẳng lại → SỬA.</t>
    </r>
  </si>
  <si>
    <t xml:space="preserve">こわれます</t>
  </si>
  <si>
    <t xml:space="preserve">壊れます</t>
  </si>
  <si>
    <t xml:space="preserve">Bị hỏng</t>
  </si>
  <si>
    <r>
      <rPr>
        <sz val="10"/>
        <rFont val="Noto Sans CJK SC"/>
        <family val="2"/>
      </rPr>
      <t xml:space="preserve">壊 </t>
    </r>
    <r>
      <rPr>
        <sz val="10"/>
        <rFont val="Arial"/>
        <family val="0"/>
        <charset val="1"/>
      </rPr>
      <t xml:space="preserve">có bộ </t>
    </r>
    <r>
      <rPr>
        <sz val="10"/>
        <rFont val="Noto Sans CJK SC"/>
        <family val="2"/>
      </rPr>
      <t xml:space="preserve">土 </t>
    </r>
    <r>
      <rPr>
        <sz val="10"/>
        <rFont val="Arial"/>
        <family val="0"/>
        <charset val="1"/>
      </rPr>
      <t xml:space="preserve">(đất) → đổ vỡ thành đất cát.</t>
    </r>
  </si>
  <si>
    <t xml:space="preserve">ぼく</t>
  </si>
  <si>
    <t xml:space="preserve">僕</t>
  </si>
  <si>
    <t xml:space="preserve">Tớ, tôi (nam giới)</t>
  </si>
  <si>
    <r>
      <rPr>
        <sz val="10"/>
        <rFont val="Arial"/>
        <family val="0"/>
        <charset val="1"/>
      </rPr>
      <t xml:space="preserve">Nam giới dùng trong hội thoại thân mật, thay cho </t>
    </r>
    <r>
      <rPr>
        <sz val="10"/>
        <rFont val="Noto Sans CJK SC"/>
        <family val="2"/>
      </rPr>
      <t xml:space="preserve">わたし</t>
    </r>
    <r>
      <rPr>
        <sz val="10"/>
        <rFont val="Arial"/>
        <family val="0"/>
        <charset val="1"/>
      </rPr>
      <t xml:space="preserve">.</t>
    </r>
  </si>
  <si>
    <t xml:space="preserve">きみ</t>
  </si>
  <si>
    <t xml:space="preserve">君</t>
  </si>
  <si>
    <t xml:space="preserve">Cậu, bạn (thân mật)</t>
  </si>
  <si>
    <t xml:space="preserve">Dùng với người ngang hàng hoặc dưới. Cẩn thận khi dùng.</t>
  </si>
  <si>
    <t xml:space="preserve">ふつう</t>
  </si>
  <si>
    <t xml:space="preserve">普通</t>
  </si>
  <si>
    <t xml:space="preserve">Thông thường</t>
  </si>
  <si>
    <r>
      <rPr>
        <sz val="10"/>
        <rFont val="Arial"/>
        <family val="0"/>
        <charset val="1"/>
      </rPr>
      <t xml:space="preserve">PHỔ THÔNG = bình thường. </t>
    </r>
    <r>
      <rPr>
        <sz val="10"/>
        <rFont val="Noto Sans CJK SC"/>
        <family val="2"/>
      </rPr>
      <t xml:space="preserve">普通形 </t>
    </r>
    <r>
      <rPr>
        <sz val="10"/>
        <rFont val="Arial"/>
        <family val="0"/>
        <charset val="1"/>
      </rPr>
      <t xml:space="preserve">= thể thông thường.</t>
    </r>
  </si>
  <si>
    <t xml:space="preserve">けんきゅうします</t>
  </si>
  <si>
    <t xml:space="preserve">研究します</t>
  </si>
  <si>
    <t xml:space="preserve">Nghiên cứu</t>
  </si>
  <si>
    <t xml:space="preserve">NGHIÊN CỨU — âm Hán Việt y hệt.</t>
  </si>
  <si>
    <t xml:space="preserve">だいがくいん</t>
  </si>
  <si>
    <t xml:space="preserve">大学院</t>
  </si>
  <si>
    <t xml:space="preserve">Cao học</t>
  </si>
  <si>
    <t xml:space="preserve">ĐẠI HỌC VIỆN = viện sau đại học.</t>
  </si>
  <si>
    <t xml:space="preserve">こくさい〜</t>
  </si>
  <si>
    <t xml:space="preserve">国際〜</t>
  </si>
  <si>
    <t xml:space="preserve">Quốc tế ~</t>
  </si>
  <si>
    <r>
      <rPr>
        <sz val="10"/>
        <rFont val="Arial"/>
        <family val="0"/>
        <charset val="1"/>
      </rPr>
      <t xml:space="preserve">QUỐC TẾ. </t>
    </r>
    <r>
      <rPr>
        <sz val="10"/>
        <rFont val="Noto Sans CJK SC"/>
        <family val="2"/>
      </rPr>
      <t xml:space="preserve">国際電話 </t>
    </r>
    <r>
      <rPr>
        <sz val="10"/>
        <rFont val="Arial"/>
        <family val="0"/>
        <charset val="1"/>
      </rPr>
      <t xml:space="preserve">= điện thoại quốc tế.</t>
    </r>
  </si>
  <si>
    <t xml:space="preserve">じゃあ</t>
  </si>
  <si>
    <t xml:space="preserve">Vậy thì</t>
  </si>
  <si>
    <r>
      <rPr>
        <sz val="10"/>
        <rFont val="Arial"/>
        <family val="0"/>
        <charset val="1"/>
      </rPr>
      <t xml:space="preserve">Rút gọn của </t>
    </r>
    <r>
      <rPr>
        <sz val="10"/>
        <rFont val="Noto Sans CJK SC"/>
        <family val="2"/>
      </rPr>
      <t xml:space="preserve">では</t>
    </r>
    <r>
      <rPr>
        <sz val="10"/>
        <rFont val="Arial"/>
        <family val="0"/>
        <charset val="1"/>
      </rPr>
      <t xml:space="preserve">, dùng nhiều trong hội thoại.</t>
    </r>
  </si>
  <si>
    <r>
      <rPr>
        <b val="true"/>
        <sz val="12"/>
        <rFont val="Noto Sans CJK SC"/>
        <family val="2"/>
      </rPr>
      <t xml:space="preserve">うん </t>
    </r>
    <r>
      <rPr>
        <b val="true"/>
        <sz val="12"/>
        <rFont val="Arial"/>
        <family val="0"/>
        <charset val="1"/>
      </rPr>
      <t xml:space="preserve">/ </t>
    </r>
    <r>
      <rPr>
        <b val="true"/>
        <sz val="12"/>
        <rFont val="Noto Sans CJK SC"/>
        <family val="2"/>
      </rPr>
      <t xml:space="preserve">ううん</t>
    </r>
  </si>
  <si>
    <t xml:space="preserve">Ừ / không</t>
  </si>
  <si>
    <r>
      <rPr>
        <sz val="10"/>
        <rFont val="Arial"/>
        <family val="0"/>
        <charset val="1"/>
      </rPr>
      <t xml:space="preserve">Dạng thân mật của </t>
    </r>
    <r>
      <rPr>
        <sz val="10"/>
        <rFont val="Noto Sans CJK SC"/>
        <family val="2"/>
      </rPr>
      <t xml:space="preserve">はい </t>
    </r>
    <r>
      <rPr>
        <sz val="10"/>
        <rFont val="Arial"/>
        <family val="0"/>
        <charset val="1"/>
      </rPr>
      <t xml:space="preserve">/ </t>
    </r>
    <r>
      <rPr>
        <sz val="10"/>
        <rFont val="Noto Sans CJK SC"/>
        <family val="2"/>
      </rPr>
      <t xml:space="preserve">いいえ</t>
    </r>
    <r>
      <rPr>
        <sz val="10"/>
        <rFont val="Arial"/>
        <family val="0"/>
        <charset val="1"/>
      </rPr>
      <t xml:space="preserve">.</t>
    </r>
  </si>
  <si>
    <t xml:space="preserve">すごい</t>
  </si>
  <si>
    <t xml:space="preserve">Tuyệt, ghê gớm</t>
  </si>
  <si>
    <t xml:space="preserve">Vừa khen vừa chê tùy ngữ cảnh — nghe rất nhiều trong đời sống.</t>
  </si>
  <si>
    <t xml:space="preserve">〜けど</t>
  </si>
  <si>
    <t xml:space="preserve">Nhưng</t>
  </si>
  <si>
    <r>
      <rPr>
        <sz val="10"/>
        <rFont val="Arial"/>
        <family val="0"/>
        <charset val="1"/>
      </rPr>
      <t xml:space="preserve">Dạng thân mật của </t>
    </r>
    <r>
      <rPr>
        <sz val="10"/>
        <rFont val="Noto Sans CJK SC"/>
        <family val="2"/>
      </rPr>
      <t xml:space="preserve">〜が</t>
    </r>
    <r>
      <rPr>
        <sz val="10"/>
        <rFont val="Arial"/>
        <family val="0"/>
        <charset val="1"/>
      </rPr>
      <t xml:space="preserve">.</t>
    </r>
  </si>
  <si>
    <r>
      <rPr>
        <b val="true"/>
        <sz val="12"/>
        <color rgb="FFFFFFFF"/>
        <rFont val="Arial"/>
        <family val="0"/>
        <charset val="1"/>
      </rPr>
      <t xml:space="preserve">▌ BÀI 21  ·  Ý kiến — </t>
    </r>
    <r>
      <rPr>
        <b val="true"/>
        <sz val="12"/>
        <color rgb="FFFFFFFF"/>
        <rFont val="Noto Sans CJK SC"/>
        <family val="2"/>
      </rPr>
      <t xml:space="preserve">と 思います </t>
    </r>
    <r>
      <rPr>
        <b val="true"/>
        <sz val="12"/>
        <color rgb="FFFFFFFF"/>
        <rFont val="Arial"/>
        <family val="0"/>
        <charset val="1"/>
      </rPr>
      <t xml:space="preserve">/ </t>
    </r>
    <r>
      <rPr>
        <b val="true"/>
        <sz val="12"/>
        <color rgb="FFFFFFFF"/>
        <rFont val="Noto Sans CJK SC"/>
        <family val="2"/>
      </rPr>
      <t xml:space="preserve">と 言います  </t>
    </r>
    <r>
      <rPr>
        <b val="true"/>
        <sz val="12"/>
        <color rgb="FFFFFFFF"/>
        <rFont val="Arial"/>
        <family val="0"/>
        <charset val="1"/>
      </rPr>
      <t xml:space="preserve">(14 từ)</t>
    </r>
  </si>
  <si>
    <t xml:space="preserve">おもいます</t>
  </si>
  <si>
    <t xml:space="preserve">思います</t>
  </si>
  <si>
    <t xml:space="preserve">Nghĩ</t>
  </si>
  <si>
    <r>
      <rPr>
        <sz val="10"/>
        <rFont val="Noto Sans CJK SC"/>
        <family val="2"/>
      </rPr>
      <t xml:space="preserve">思 </t>
    </r>
    <r>
      <rPr>
        <sz val="10"/>
        <rFont val="Arial"/>
        <family val="0"/>
        <charset val="1"/>
      </rPr>
      <t xml:space="preserve">= </t>
    </r>
    <r>
      <rPr>
        <sz val="10"/>
        <rFont val="Noto Sans CJK SC"/>
        <family val="2"/>
      </rPr>
      <t xml:space="preserve">田 </t>
    </r>
    <r>
      <rPr>
        <sz val="10"/>
        <rFont val="Arial"/>
        <family val="0"/>
        <charset val="1"/>
      </rPr>
      <t xml:space="preserve">(ruộng/não) + </t>
    </r>
    <r>
      <rPr>
        <sz val="10"/>
        <rFont val="Noto Sans CJK SC"/>
        <family val="2"/>
      </rPr>
      <t xml:space="preserve">心 </t>
    </r>
    <r>
      <rPr>
        <sz val="10"/>
        <rFont val="Arial"/>
        <family val="0"/>
        <charset val="1"/>
      </rPr>
      <t xml:space="preserve">(tim) → đầu và tim cùng NGHĨ.</t>
    </r>
  </si>
  <si>
    <t xml:space="preserve">いいます</t>
  </si>
  <si>
    <t xml:space="preserve">言います</t>
  </si>
  <si>
    <t xml:space="preserve">Nói</t>
  </si>
  <si>
    <r>
      <rPr>
        <sz val="10"/>
        <rFont val="Noto Sans CJK SC"/>
        <family val="2"/>
      </rPr>
      <t xml:space="preserve">言 </t>
    </r>
    <r>
      <rPr>
        <sz val="10"/>
        <rFont val="Arial"/>
        <family val="0"/>
        <charset val="1"/>
      </rPr>
      <t xml:space="preserve">= miệng phát ra sóng âm.</t>
    </r>
  </si>
  <si>
    <t xml:space="preserve">たります</t>
  </si>
  <si>
    <t xml:space="preserve">足ります</t>
  </si>
  <si>
    <t xml:space="preserve">Đủ</t>
  </si>
  <si>
    <r>
      <rPr>
        <sz val="10"/>
        <rFont val="Noto Sans CJK SC"/>
        <family val="2"/>
      </rPr>
      <t xml:space="preserve">足 </t>
    </r>
    <r>
      <rPr>
        <sz val="10"/>
        <rFont val="Arial"/>
        <family val="0"/>
        <charset val="1"/>
      </rPr>
      <t xml:space="preserve">(chân/đủ). </t>
    </r>
    <r>
      <rPr>
        <sz val="10"/>
        <rFont val="Noto Sans CJK SC"/>
        <family val="2"/>
      </rPr>
      <t xml:space="preserve">お金が 足りません </t>
    </r>
    <r>
      <rPr>
        <sz val="10"/>
        <rFont val="Arial"/>
        <family val="0"/>
        <charset val="1"/>
      </rPr>
      <t xml:space="preserve">= không đủ tiền.</t>
    </r>
  </si>
  <si>
    <t xml:space="preserve">かちます</t>
  </si>
  <si>
    <t xml:space="preserve">勝ちます</t>
  </si>
  <si>
    <t xml:space="preserve">Thắng</t>
  </si>
  <si>
    <r>
      <rPr>
        <sz val="10"/>
        <rFont val="Noto Sans CJK SC"/>
        <family val="2"/>
      </rPr>
      <t xml:space="preserve">勝 </t>
    </r>
    <r>
      <rPr>
        <sz val="10"/>
        <rFont val="Arial"/>
        <family val="0"/>
        <charset val="1"/>
      </rPr>
      <t xml:space="preserve">có bộ </t>
    </r>
    <r>
      <rPr>
        <sz val="10"/>
        <rFont val="Noto Sans CJK SC"/>
        <family val="2"/>
      </rPr>
      <t xml:space="preserve">力 </t>
    </r>
    <r>
      <rPr>
        <sz val="10"/>
        <rFont val="Arial"/>
        <family val="0"/>
        <charset val="1"/>
      </rPr>
      <t xml:space="preserve">(sức mạnh) → có sức thì THẮNG.</t>
    </r>
  </si>
  <si>
    <t xml:space="preserve">まけます</t>
  </si>
  <si>
    <t xml:space="preserve">負けます</t>
  </si>
  <si>
    <t xml:space="preserve">Thua</t>
  </si>
  <si>
    <r>
      <rPr>
        <sz val="10"/>
        <rFont val="Noto Sans CJK SC"/>
        <family val="2"/>
      </rPr>
      <t xml:space="preserve">負 </t>
    </r>
    <r>
      <rPr>
        <sz val="10"/>
        <rFont val="Arial"/>
        <family val="0"/>
        <charset val="1"/>
      </rPr>
      <t xml:space="preserve">có </t>
    </r>
    <r>
      <rPr>
        <sz val="10"/>
        <rFont val="Noto Sans CJK SC"/>
        <family val="2"/>
      </rPr>
      <t xml:space="preserve">貝 </t>
    </r>
    <r>
      <rPr>
        <sz val="10"/>
        <rFont val="Arial"/>
        <family val="0"/>
        <charset val="1"/>
      </rPr>
      <t xml:space="preserve">(tiền) → thua là mất tiền.</t>
    </r>
  </si>
  <si>
    <t xml:space="preserve">いけん</t>
  </si>
  <si>
    <t xml:space="preserve">意見</t>
  </si>
  <si>
    <t xml:space="preserve">Ý kiến</t>
  </si>
  <si>
    <t xml:space="preserve">Ý KIẾN — âm Hán Việt y hệt tiếng Việt.</t>
  </si>
  <si>
    <t xml:space="preserve">かいぎ</t>
  </si>
  <si>
    <t xml:space="preserve">会議</t>
  </si>
  <si>
    <t xml:space="preserve">Cuộc họp</t>
  </si>
  <si>
    <r>
      <rPr>
        <sz val="10"/>
        <rFont val="Arial"/>
        <family val="0"/>
        <charset val="1"/>
      </rPr>
      <t xml:space="preserve">HỘI NGHỊ. </t>
    </r>
    <r>
      <rPr>
        <sz val="10"/>
        <rFont val="Noto Sans CJK SC"/>
        <family val="2"/>
      </rPr>
      <t xml:space="preserve">会議室 </t>
    </r>
    <r>
      <rPr>
        <sz val="10"/>
        <rFont val="Arial"/>
        <family val="0"/>
        <charset val="1"/>
      </rPr>
      <t xml:space="preserve">= phòng họp, đã học ở bài 3.</t>
    </r>
  </si>
  <si>
    <t xml:space="preserve">ニュース</t>
  </si>
  <si>
    <t xml:space="preserve">Tin tức</t>
  </si>
  <si>
    <t xml:space="preserve">Từ 'news'.</t>
  </si>
  <si>
    <t xml:space="preserve">せいじ</t>
  </si>
  <si>
    <t xml:space="preserve">政治</t>
  </si>
  <si>
    <t xml:space="preserve">Chính trị</t>
  </si>
  <si>
    <t xml:space="preserve">CHÍNH TRỊ — âm Hán Việt y hệt.</t>
  </si>
  <si>
    <t xml:space="preserve">しあい</t>
  </si>
  <si>
    <t xml:space="preserve">試合</t>
  </si>
  <si>
    <t xml:space="preserve">Trận đấu</t>
  </si>
  <si>
    <r>
      <rPr>
        <sz val="10"/>
        <rFont val="Arial"/>
        <family val="0"/>
        <charset val="1"/>
      </rPr>
      <t xml:space="preserve">THÍ HỢP = cuộc thử sức. </t>
    </r>
    <r>
      <rPr>
        <sz val="10"/>
        <rFont val="Noto Sans CJK SC"/>
        <family val="2"/>
      </rPr>
      <t xml:space="preserve">サッカーの 試合 </t>
    </r>
    <r>
      <rPr>
        <sz val="10"/>
        <rFont val="Arial"/>
        <family val="0"/>
        <charset val="1"/>
      </rPr>
      <t xml:space="preserve">= trận bóng đá.</t>
    </r>
  </si>
  <si>
    <r>
      <rPr>
        <b val="true"/>
        <sz val="12"/>
        <rFont val="Noto Sans CJK SC"/>
        <family val="2"/>
      </rPr>
      <t xml:space="preserve">むだ</t>
    </r>
    <r>
      <rPr>
        <b val="true"/>
        <sz val="12"/>
        <rFont val="Arial"/>
        <family val="0"/>
        <charset val="1"/>
      </rPr>
      <t xml:space="preserve">[</t>
    </r>
    <r>
      <rPr>
        <b val="true"/>
        <sz val="12"/>
        <rFont val="Noto Sans CJK SC"/>
        <family val="2"/>
      </rPr>
      <t xml:space="preserve">な</t>
    </r>
    <r>
      <rPr>
        <b val="true"/>
        <sz val="12"/>
        <rFont val="Arial"/>
        <family val="0"/>
        <charset val="1"/>
      </rPr>
      <t xml:space="preserve">]</t>
    </r>
  </si>
  <si>
    <t xml:space="preserve">Lãng phí, vô ích</t>
  </si>
  <si>
    <r>
      <rPr>
        <sz val="10"/>
        <rFont val="Noto Sans CJK SC"/>
        <family val="2"/>
      </rPr>
      <t xml:space="preserve">むだな 時間 </t>
    </r>
    <r>
      <rPr>
        <sz val="10"/>
        <rFont val="Arial"/>
        <family val="0"/>
        <charset val="1"/>
      </rPr>
      <t xml:space="preserve">= thời gian lãng phí.</t>
    </r>
  </si>
  <si>
    <t xml:space="preserve">ほんとう</t>
  </si>
  <si>
    <t xml:space="preserve">本当</t>
  </si>
  <si>
    <t xml:space="preserve">Thật, sự thật</t>
  </si>
  <si>
    <r>
      <rPr>
        <sz val="10"/>
        <rFont val="Arial"/>
        <family val="0"/>
        <charset val="1"/>
      </rPr>
      <t xml:space="preserve">BẢN ĐƯƠNG = đúng như bản chất. </t>
    </r>
    <r>
      <rPr>
        <sz val="10"/>
        <rFont val="Noto Sans CJK SC"/>
        <family val="2"/>
      </rPr>
      <t xml:space="preserve">ほんとうですか </t>
    </r>
    <r>
      <rPr>
        <sz val="10"/>
        <rFont val="Arial"/>
        <family val="0"/>
        <charset val="1"/>
      </rPr>
      <t xml:space="preserve">= thật à?</t>
    </r>
  </si>
  <si>
    <t xml:space="preserve">たぶん</t>
  </si>
  <si>
    <t xml:space="preserve">多分</t>
  </si>
  <si>
    <t xml:space="preserve">Có lẽ</t>
  </si>
  <si>
    <t xml:space="preserve">ĐA PHÂN = phần nhiều khả năng là vậy.</t>
  </si>
  <si>
    <t xml:space="preserve">きっと</t>
  </si>
  <si>
    <t xml:space="preserve">Chắc chắn</t>
  </si>
  <si>
    <r>
      <rPr>
        <sz val="10"/>
        <rFont val="Arial"/>
        <family val="0"/>
        <charset val="1"/>
      </rPr>
      <t xml:space="preserve">Mạnh hơn </t>
    </r>
    <r>
      <rPr>
        <sz val="10"/>
        <rFont val="Noto Sans CJK SC"/>
        <family val="2"/>
      </rPr>
      <t xml:space="preserve">たぶん</t>
    </r>
    <r>
      <rPr>
        <sz val="10"/>
        <rFont val="Arial"/>
        <family val="0"/>
        <charset val="1"/>
      </rPr>
      <t xml:space="preserve">. </t>
    </r>
    <r>
      <rPr>
        <sz val="10"/>
        <rFont val="Noto Sans CJK SC"/>
        <family val="2"/>
      </rPr>
      <t xml:space="preserve">きっと 来ます </t>
    </r>
    <r>
      <rPr>
        <sz val="10"/>
        <rFont val="Arial"/>
        <family val="0"/>
        <charset val="1"/>
      </rPr>
      <t xml:space="preserve">= chắc chắn sẽ đến.</t>
    </r>
  </si>
  <si>
    <t xml:space="preserve">▌ BÀI 22  ·  Mệnh đề bổ nghĩa danh từ  (14 từ)</t>
  </si>
  <si>
    <t xml:space="preserve">着ます</t>
  </si>
  <si>
    <t xml:space="preserve">Mặc (áo)</t>
  </si>
  <si>
    <r>
      <rPr>
        <sz val="10"/>
        <rFont val="Noto Sans CJK SC"/>
        <family val="2"/>
      </rPr>
      <t xml:space="preserve">着 </t>
    </r>
    <r>
      <rPr>
        <sz val="10"/>
        <rFont val="Arial"/>
        <family val="0"/>
        <charset val="1"/>
      </rPr>
      <t xml:space="preserve">dùng cho phần thân trên. Quần và giày dùng </t>
    </r>
    <r>
      <rPr>
        <sz val="10"/>
        <rFont val="Noto Sans CJK SC"/>
        <family val="2"/>
      </rPr>
      <t xml:space="preserve">はきます</t>
    </r>
    <r>
      <rPr>
        <sz val="10"/>
        <rFont val="Arial"/>
        <family val="0"/>
        <charset val="1"/>
      </rPr>
      <t xml:space="preserve">.</t>
    </r>
  </si>
  <si>
    <t xml:space="preserve">はきます</t>
  </si>
  <si>
    <t xml:space="preserve">Mang, đi (quần, giày)</t>
  </si>
  <si>
    <r>
      <rPr>
        <sz val="10"/>
        <rFont val="Arial"/>
        <family val="0"/>
        <charset val="1"/>
      </rPr>
      <t xml:space="preserve">Phần thân dưới: </t>
    </r>
    <r>
      <rPr>
        <sz val="10"/>
        <rFont val="Noto Sans CJK SC"/>
        <family val="2"/>
      </rPr>
      <t xml:space="preserve">ズボン</t>
    </r>
    <r>
      <rPr>
        <sz val="10"/>
        <rFont val="Arial"/>
        <family val="0"/>
        <charset val="1"/>
      </rPr>
      <t xml:space="preserve">, </t>
    </r>
    <r>
      <rPr>
        <sz val="10"/>
        <rFont val="Noto Sans CJK SC"/>
        <family val="2"/>
      </rPr>
      <t xml:space="preserve">くつ</t>
    </r>
    <r>
      <rPr>
        <sz val="10"/>
        <rFont val="Arial"/>
        <family val="0"/>
        <charset val="1"/>
      </rPr>
      <t xml:space="preserve">, </t>
    </r>
    <r>
      <rPr>
        <sz val="10"/>
        <rFont val="Noto Sans CJK SC"/>
        <family val="2"/>
      </rPr>
      <t xml:space="preserve">くつした</t>
    </r>
    <r>
      <rPr>
        <sz val="10"/>
        <rFont val="Arial"/>
        <family val="0"/>
        <charset val="1"/>
      </rPr>
      <t xml:space="preserve">.</t>
    </r>
  </si>
  <si>
    <t xml:space="preserve">かぶります</t>
  </si>
  <si>
    <t xml:space="preserve">Đội (mũ)</t>
  </si>
  <si>
    <r>
      <rPr>
        <sz val="10"/>
        <rFont val="Noto Sans CJK SC"/>
        <family val="2"/>
      </rPr>
      <t xml:space="preserve">帽子を かぶります </t>
    </r>
    <r>
      <rPr>
        <sz val="10"/>
        <rFont val="Arial"/>
        <family val="0"/>
        <charset val="1"/>
      </rPr>
      <t xml:space="preserve">= đội mũ.</t>
    </r>
  </si>
  <si>
    <t xml:space="preserve">Đeo (kính)</t>
  </si>
  <si>
    <r>
      <rPr>
        <sz val="10"/>
        <rFont val="Noto Sans CJK SC"/>
        <family val="2"/>
      </rPr>
      <t xml:space="preserve">めがねを かけます </t>
    </r>
    <r>
      <rPr>
        <sz val="10"/>
        <rFont val="Arial"/>
        <family val="0"/>
        <charset val="1"/>
      </rPr>
      <t xml:space="preserve">= đeo kính.</t>
    </r>
  </si>
  <si>
    <t xml:space="preserve">うまれます</t>
  </si>
  <si>
    <t xml:space="preserve">生まれます</t>
  </si>
  <si>
    <t xml:space="preserve">Được sinh ra</t>
  </si>
  <si>
    <r>
      <rPr>
        <sz val="10"/>
        <rFont val="Noto Sans CJK SC"/>
        <family val="2"/>
      </rPr>
      <t xml:space="preserve">生 </t>
    </r>
    <r>
      <rPr>
        <sz val="10"/>
        <rFont val="Arial"/>
        <family val="0"/>
        <charset val="1"/>
      </rPr>
      <t xml:space="preserve">(sinh). 1990</t>
    </r>
    <r>
      <rPr>
        <sz val="10"/>
        <rFont val="Noto Sans CJK SC"/>
        <family val="2"/>
      </rPr>
      <t xml:space="preserve">年に 生まれました </t>
    </r>
    <r>
      <rPr>
        <sz val="10"/>
        <rFont val="Arial"/>
        <family val="0"/>
        <charset val="1"/>
      </rPr>
      <t xml:space="preserve">= sinh năm 1990.</t>
    </r>
  </si>
  <si>
    <t xml:space="preserve">ようじ</t>
  </si>
  <si>
    <t xml:space="preserve">用事</t>
  </si>
  <si>
    <t xml:space="preserve">Việc bận</t>
  </si>
  <si>
    <r>
      <rPr>
        <sz val="10"/>
        <rFont val="Arial"/>
        <family val="0"/>
        <charset val="1"/>
      </rPr>
      <t xml:space="preserve">DỤNG SỰ = việc cần làm. </t>
    </r>
    <r>
      <rPr>
        <sz val="10"/>
        <rFont val="Noto Sans CJK SC"/>
        <family val="2"/>
      </rPr>
      <t xml:space="preserve">用事が あります </t>
    </r>
    <r>
      <rPr>
        <sz val="10"/>
        <rFont val="Arial"/>
        <family val="0"/>
        <charset val="1"/>
      </rPr>
      <t xml:space="preserve">= tôi có việc bận.</t>
    </r>
  </si>
  <si>
    <t xml:space="preserve">やくそく</t>
  </si>
  <si>
    <t xml:space="preserve">約束</t>
  </si>
  <si>
    <t xml:space="preserve">Lời hứa, cuộc hẹn</t>
  </si>
  <si>
    <t xml:space="preserve">ƯỚC THÚC = ràng buộc bằng lời hứa.</t>
  </si>
  <si>
    <t xml:space="preserve">じかん</t>
  </si>
  <si>
    <t xml:space="preserve">時間</t>
  </si>
  <si>
    <t xml:space="preserve">Thời gian</t>
  </si>
  <si>
    <t xml:space="preserve">THỜI GIAN — âm Hán Việt y hệt tiếng Việt.</t>
  </si>
  <si>
    <t xml:space="preserve">ようふく</t>
  </si>
  <si>
    <t xml:space="preserve">洋服</t>
  </si>
  <si>
    <t xml:space="preserve">Quần áo (kiểu Tây)</t>
  </si>
  <si>
    <r>
      <rPr>
        <sz val="10"/>
        <rFont val="Arial"/>
        <family val="0"/>
        <charset val="1"/>
      </rPr>
      <t xml:space="preserve">DƯƠNG PHỤC = trang phục phương Tây. Đối lại: </t>
    </r>
    <r>
      <rPr>
        <sz val="10"/>
        <rFont val="Noto Sans CJK SC"/>
        <family val="2"/>
      </rPr>
      <t xml:space="preserve">和服 </t>
    </r>
    <r>
      <rPr>
        <sz val="10"/>
        <rFont val="Arial"/>
        <family val="0"/>
        <charset val="1"/>
      </rPr>
      <t xml:space="preserve">(kimono).</t>
    </r>
  </si>
  <si>
    <t xml:space="preserve">ぼうし</t>
  </si>
  <si>
    <t xml:space="preserve">帽子</t>
  </si>
  <si>
    <t xml:space="preserve">Mũ</t>
  </si>
  <si>
    <r>
      <rPr>
        <sz val="10"/>
        <rFont val="Arial"/>
        <family val="0"/>
        <charset val="1"/>
      </rPr>
      <t xml:space="preserve">MẠO TỬ. </t>
    </r>
    <r>
      <rPr>
        <sz val="10"/>
        <rFont val="Noto Sans CJK SC"/>
        <family val="2"/>
      </rPr>
      <t xml:space="preserve">子 </t>
    </r>
    <r>
      <rPr>
        <sz val="10"/>
        <rFont val="Arial"/>
        <family val="0"/>
        <charset val="1"/>
      </rPr>
      <t xml:space="preserve">ở đây chỉ là hậu tố, không có nghĩa 'con'.</t>
    </r>
  </si>
  <si>
    <t xml:space="preserve">めがね</t>
  </si>
  <si>
    <t xml:space="preserve">Kính mắt</t>
  </si>
  <si>
    <t xml:space="preserve">ME-GA-NE: 'mê ga nê' — đeo kính vào nhìn mê ly.</t>
  </si>
  <si>
    <t xml:space="preserve">ケーキ</t>
  </si>
  <si>
    <t xml:space="preserve">Bánh ngọt</t>
  </si>
  <si>
    <t xml:space="preserve">Từ 'cake'.</t>
  </si>
  <si>
    <t xml:space="preserve">HÀ VẬT = đồ mang vác.</t>
  </si>
  <si>
    <t xml:space="preserve">しゅっしん</t>
  </si>
  <si>
    <t xml:space="preserve">出身</t>
  </si>
  <si>
    <t xml:space="preserve">Quê quán</t>
  </si>
  <si>
    <t xml:space="preserve">XUẤT THÂN — âm Hán Việt y hệt tiếng Việt.</t>
  </si>
  <si>
    <r>
      <rPr>
        <b val="true"/>
        <sz val="12"/>
        <color rgb="FFFFFFFF"/>
        <rFont val="Arial"/>
        <family val="0"/>
        <charset val="1"/>
      </rPr>
      <t xml:space="preserve">▌ BÀI 23  ·  </t>
    </r>
    <r>
      <rPr>
        <b val="true"/>
        <sz val="12"/>
        <color rgb="FFFFFFFF"/>
        <rFont val="Noto Sans CJK SC"/>
        <family val="2"/>
      </rPr>
      <t xml:space="preserve">とき </t>
    </r>
    <r>
      <rPr>
        <b val="true"/>
        <sz val="12"/>
        <color rgb="FFFFFFFF"/>
        <rFont val="Arial"/>
        <family val="0"/>
        <charset val="1"/>
      </rPr>
      <t xml:space="preserve">&amp; Điều kiện </t>
    </r>
    <r>
      <rPr>
        <b val="true"/>
        <sz val="12"/>
        <color rgb="FFFFFFFF"/>
        <rFont val="Noto Sans CJK SC"/>
        <family val="2"/>
      </rPr>
      <t xml:space="preserve">と  </t>
    </r>
    <r>
      <rPr>
        <b val="true"/>
        <sz val="12"/>
        <color rgb="FFFFFFFF"/>
        <rFont val="Arial"/>
        <family val="0"/>
        <charset val="1"/>
      </rPr>
      <t xml:space="preserve">(14 từ)</t>
    </r>
  </si>
  <si>
    <t xml:space="preserve">まわします</t>
  </si>
  <si>
    <t xml:space="preserve">回します</t>
  </si>
  <si>
    <t xml:space="preserve">Xoay, vặn</t>
  </si>
  <si>
    <r>
      <rPr>
        <sz val="10"/>
        <rFont val="Noto Sans CJK SC"/>
        <family val="2"/>
      </rPr>
      <t xml:space="preserve">回 </t>
    </r>
    <r>
      <rPr>
        <sz val="10"/>
        <rFont val="Arial"/>
        <family val="0"/>
        <charset val="1"/>
      </rPr>
      <t xml:space="preserve">nhìn như vòng tròn trong vòng tròn → XOAY.</t>
    </r>
  </si>
  <si>
    <r>
      <rPr>
        <sz val="10"/>
        <rFont val="Arial"/>
        <family val="0"/>
        <charset val="1"/>
      </rPr>
      <t xml:space="preserve">Đối lập với </t>
    </r>
    <r>
      <rPr>
        <sz val="10"/>
        <rFont val="Noto Sans CJK SC"/>
        <family val="2"/>
      </rPr>
      <t xml:space="preserve">押します </t>
    </r>
    <r>
      <rPr>
        <sz val="10"/>
        <rFont val="Arial"/>
        <family val="0"/>
        <charset val="1"/>
      </rPr>
      <t xml:space="preserve">(đẩy).</t>
    </r>
  </si>
  <si>
    <t xml:space="preserve">かえます</t>
  </si>
  <si>
    <t xml:space="preserve">変えます</t>
  </si>
  <si>
    <t xml:space="preserve">Thay đổi</t>
  </si>
  <si>
    <r>
      <rPr>
        <sz val="10"/>
        <rFont val="Noto Sans CJK SC"/>
        <family val="2"/>
      </rPr>
      <t xml:space="preserve">変 </t>
    </r>
    <r>
      <rPr>
        <sz val="10"/>
        <rFont val="Arial"/>
        <family val="0"/>
        <charset val="1"/>
      </rPr>
      <t xml:space="preserve">(BIẾN) = biến đổi.</t>
    </r>
  </si>
  <si>
    <t xml:space="preserve">さわります</t>
  </si>
  <si>
    <t xml:space="preserve">触ります</t>
  </si>
  <si>
    <t xml:space="preserve">Chạm vào</t>
  </si>
  <si>
    <r>
      <rPr>
        <sz val="10"/>
        <rFont val="Arial"/>
        <family val="0"/>
        <charset val="1"/>
      </rPr>
      <t xml:space="preserve">Dùng trợ từ </t>
    </r>
    <r>
      <rPr>
        <sz val="10"/>
        <rFont val="Noto Sans CJK SC"/>
        <family val="2"/>
      </rPr>
      <t xml:space="preserve">に</t>
    </r>
    <r>
      <rPr>
        <sz val="10"/>
        <rFont val="Arial"/>
        <family val="0"/>
        <charset val="1"/>
      </rPr>
      <t xml:space="preserve">: </t>
    </r>
    <r>
      <rPr>
        <sz val="10"/>
        <rFont val="Noto Sans CJK SC"/>
        <family val="2"/>
      </rPr>
      <t xml:space="preserve">ドアに 触ります</t>
    </r>
    <r>
      <rPr>
        <sz val="10"/>
        <rFont val="Arial"/>
        <family val="0"/>
        <charset val="1"/>
      </rPr>
      <t xml:space="preserve">.</t>
    </r>
  </si>
  <si>
    <t xml:space="preserve">こしょうします</t>
  </si>
  <si>
    <t xml:space="preserve">故障します</t>
  </si>
  <si>
    <t xml:space="preserve">Bị hỏng (máy móc)</t>
  </si>
  <si>
    <r>
      <rPr>
        <sz val="10"/>
        <rFont val="Arial"/>
        <family val="0"/>
        <charset val="1"/>
      </rPr>
      <t xml:space="preserve">CỐ CHƯỚNG = trục trặc. Dùng cho máy móc, khác </t>
    </r>
    <r>
      <rPr>
        <sz val="10"/>
        <rFont val="Noto Sans CJK SC"/>
        <family val="2"/>
      </rPr>
      <t xml:space="preserve">壊れます</t>
    </r>
    <r>
      <rPr>
        <sz val="10"/>
        <rFont val="Arial"/>
        <family val="0"/>
        <charset val="1"/>
      </rPr>
      <t xml:space="preserve">.</t>
    </r>
  </si>
  <si>
    <r>
      <rPr>
        <sz val="10"/>
        <rFont val="Noto Sans CJK SC"/>
        <family val="2"/>
      </rPr>
      <t xml:space="preserve">橋を 渡ります </t>
    </r>
    <r>
      <rPr>
        <sz val="10"/>
        <rFont val="Arial"/>
        <family val="0"/>
        <charset val="1"/>
      </rPr>
      <t xml:space="preserve">= qua cầu.</t>
    </r>
  </si>
  <si>
    <t xml:space="preserve">つまみ</t>
  </si>
  <si>
    <t xml:space="preserve">Núm vặn</t>
  </si>
  <si>
    <t xml:space="preserve">Danh từ đồ vật thường gặp trong hướng dẫn sử dụng.</t>
  </si>
  <si>
    <t xml:space="preserve">こしょう</t>
  </si>
  <si>
    <t xml:space="preserve">故障</t>
  </si>
  <si>
    <t xml:space="preserve">Sự hỏng hóc</t>
  </si>
  <si>
    <r>
      <rPr>
        <sz val="10"/>
        <rFont val="Noto Sans CJK SC"/>
        <family val="2"/>
      </rPr>
      <t xml:space="preserve">故障中 </t>
    </r>
    <r>
      <rPr>
        <sz val="10"/>
        <rFont val="Arial"/>
        <family val="0"/>
        <charset val="1"/>
      </rPr>
      <t xml:space="preserve">= đang hỏng — biển báo hay gặp ở Nhật.</t>
    </r>
  </si>
  <si>
    <t xml:space="preserve">Con đường</t>
  </si>
  <si>
    <r>
      <rPr>
        <sz val="10"/>
        <rFont val="Noto Sans CJK SC"/>
        <family val="2"/>
      </rPr>
      <t xml:space="preserve">道 </t>
    </r>
    <r>
      <rPr>
        <sz val="10"/>
        <rFont val="Arial"/>
        <family val="0"/>
        <charset val="1"/>
      </rPr>
      <t xml:space="preserve">= </t>
    </r>
    <r>
      <rPr>
        <sz val="10"/>
        <rFont val="Noto Sans CJK SC"/>
        <family val="2"/>
      </rPr>
      <t xml:space="preserve">辶 </t>
    </r>
    <r>
      <rPr>
        <sz val="10"/>
        <rFont val="Arial"/>
        <family val="0"/>
        <charset val="1"/>
      </rPr>
      <t xml:space="preserve">(di chuyển) + </t>
    </r>
    <r>
      <rPr>
        <sz val="10"/>
        <rFont val="Noto Sans CJK SC"/>
        <family val="2"/>
      </rPr>
      <t xml:space="preserve">首 </t>
    </r>
    <r>
      <rPr>
        <sz val="10"/>
        <rFont val="Arial"/>
        <family val="0"/>
        <charset val="1"/>
      </rPr>
      <t xml:space="preserve">(đầu) → ngẩng đầu bước đi.</t>
    </r>
  </si>
  <si>
    <t xml:space="preserve">GIAO SAI ĐIỂM.</t>
  </si>
  <si>
    <t xml:space="preserve">TÍN HIỆU.</t>
  </si>
  <si>
    <t xml:space="preserve">かど</t>
  </si>
  <si>
    <t xml:space="preserve">角</t>
  </si>
  <si>
    <t xml:space="preserve">Góc phố</t>
  </si>
  <si>
    <r>
      <rPr>
        <sz val="10"/>
        <rFont val="Noto Sans CJK SC"/>
        <family val="2"/>
      </rPr>
      <t xml:space="preserve">角 </t>
    </r>
    <r>
      <rPr>
        <sz val="10"/>
        <rFont val="Arial"/>
        <family val="0"/>
        <charset val="1"/>
      </rPr>
      <t xml:space="preserve">(GIÁC) = góc. </t>
    </r>
    <r>
      <rPr>
        <sz val="10"/>
        <rFont val="Noto Sans CJK SC"/>
        <family val="2"/>
      </rPr>
      <t xml:space="preserve">角を 右へ 曲がります </t>
    </r>
    <r>
      <rPr>
        <sz val="10"/>
        <rFont val="Arial"/>
        <family val="0"/>
        <charset val="1"/>
      </rPr>
      <t xml:space="preserve">= rẽ phải ở góc phố.</t>
    </r>
  </si>
  <si>
    <t xml:space="preserve">橋</t>
  </si>
  <si>
    <t xml:space="preserve">Cây cầu</t>
  </si>
  <si>
    <r>
      <rPr>
        <sz val="10"/>
        <rFont val="Noto Sans CJK SC"/>
        <family val="2"/>
      </rPr>
      <t xml:space="preserve">橋 </t>
    </r>
    <r>
      <rPr>
        <sz val="10"/>
        <rFont val="Arial"/>
        <family val="0"/>
        <charset val="1"/>
      </rPr>
      <t xml:space="preserve">có bộ </t>
    </r>
    <r>
      <rPr>
        <sz val="10"/>
        <rFont val="Noto Sans CJK SC"/>
        <family val="2"/>
      </rPr>
      <t xml:space="preserve">木 </t>
    </r>
    <r>
      <rPr>
        <sz val="10"/>
        <rFont val="Arial"/>
        <family val="0"/>
        <charset val="1"/>
      </rPr>
      <t xml:space="preserve">(gỗ) → cầu gỗ. Khác </t>
    </r>
    <r>
      <rPr>
        <sz val="10"/>
        <rFont val="Noto Sans CJK SC"/>
        <family val="2"/>
      </rPr>
      <t xml:space="preserve">箸 </t>
    </r>
    <r>
      <rPr>
        <sz val="10"/>
        <rFont val="Arial"/>
        <family val="0"/>
        <charset val="1"/>
      </rPr>
      <t xml:space="preserve">(đũa, bộ tre) và </t>
    </r>
    <r>
      <rPr>
        <sz val="10"/>
        <rFont val="Noto Sans CJK SC"/>
        <family val="2"/>
      </rPr>
      <t xml:space="preserve">はし </t>
    </r>
    <r>
      <rPr>
        <sz val="10"/>
        <rFont val="Arial"/>
        <family val="0"/>
        <charset val="1"/>
      </rPr>
      <t xml:space="preserve">(đầu mút).</t>
    </r>
  </si>
  <si>
    <t xml:space="preserve">こども</t>
  </si>
  <si>
    <t xml:space="preserve">子ども</t>
  </si>
  <si>
    <t xml:space="preserve">Trẻ con</t>
  </si>
  <si>
    <r>
      <rPr>
        <sz val="10"/>
        <rFont val="Noto Sans CJK SC"/>
        <family val="2"/>
      </rPr>
      <t xml:space="preserve">子 </t>
    </r>
    <r>
      <rPr>
        <sz val="10"/>
        <rFont val="Arial"/>
        <family val="0"/>
        <charset val="1"/>
      </rPr>
      <t xml:space="preserve">= hình em bé quấn tã dang tay.</t>
    </r>
  </si>
  <si>
    <r>
      <rPr>
        <b val="true"/>
        <sz val="12"/>
        <color rgb="FFFFFFFF"/>
        <rFont val="Arial"/>
        <family val="0"/>
        <charset val="1"/>
      </rPr>
      <t xml:space="preserve">▌ BÀI 24  ·  Cho &amp; Nhận nâng cao — </t>
    </r>
    <r>
      <rPr>
        <b val="true"/>
        <sz val="12"/>
        <color rgb="FFFFFFFF"/>
        <rFont val="Noto Sans CJK SC"/>
        <family val="2"/>
      </rPr>
      <t xml:space="preserve">てあげる </t>
    </r>
    <r>
      <rPr>
        <b val="true"/>
        <sz val="12"/>
        <color rgb="FFFFFFFF"/>
        <rFont val="Arial"/>
        <family val="0"/>
        <charset val="1"/>
      </rPr>
      <t xml:space="preserve">/ </t>
    </r>
    <r>
      <rPr>
        <b val="true"/>
        <sz val="12"/>
        <color rgb="FFFFFFFF"/>
        <rFont val="Noto Sans CJK SC"/>
        <family val="2"/>
      </rPr>
      <t xml:space="preserve">てもらう </t>
    </r>
    <r>
      <rPr>
        <b val="true"/>
        <sz val="12"/>
        <color rgb="FFFFFFFF"/>
        <rFont val="Arial"/>
        <family val="0"/>
        <charset val="1"/>
      </rPr>
      <t xml:space="preserve">/ </t>
    </r>
    <r>
      <rPr>
        <b val="true"/>
        <sz val="12"/>
        <color rgb="FFFFFFFF"/>
        <rFont val="Noto Sans CJK SC"/>
        <family val="2"/>
      </rPr>
      <t xml:space="preserve">てくれる  </t>
    </r>
    <r>
      <rPr>
        <b val="true"/>
        <sz val="12"/>
        <color rgb="FFFFFFFF"/>
        <rFont val="Arial"/>
        <family val="0"/>
        <charset val="1"/>
      </rPr>
      <t xml:space="preserve">(14 từ)</t>
    </r>
  </si>
  <si>
    <t xml:space="preserve">くれます</t>
  </si>
  <si>
    <t xml:space="preserve">Cho tôi</t>
  </si>
  <si>
    <t xml:space="preserve">Chỉ dùng khi người nhận là TÔI hoặc người thân của tôi.</t>
  </si>
  <si>
    <t xml:space="preserve">つれていきます</t>
  </si>
  <si>
    <t xml:space="preserve">連れて 行きます</t>
  </si>
  <si>
    <t xml:space="preserve">Dẫn ai đi</t>
  </si>
  <si>
    <r>
      <rPr>
        <sz val="10"/>
        <rFont val="Noto Sans CJK SC"/>
        <family val="2"/>
      </rPr>
      <t xml:space="preserve">連 </t>
    </r>
    <r>
      <rPr>
        <sz val="10"/>
        <rFont val="Arial"/>
        <family val="0"/>
        <charset val="1"/>
      </rPr>
      <t xml:space="preserve">có bộ </t>
    </r>
    <r>
      <rPr>
        <sz val="10"/>
        <rFont val="Noto Sans CJK SC"/>
        <family val="2"/>
      </rPr>
      <t xml:space="preserve">辶 → </t>
    </r>
    <r>
      <rPr>
        <sz val="10"/>
        <rFont val="Arial"/>
        <family val="0"/>
        <charset val="1"/>
      </rPr>
      <t xml:space="preserve">dắt người cùng di chuyển.</t>
    </r>
  </si>
  <si>
    <t xml:space="preserve">つれてきます</t>
  </si>
  <si>
    <t xml:space="preserve">連れて 来ます</t>
  </si>
  <si>
    <t xml:space="preserve">Dẫn ai đến</t>
  </si>
  <si>
    <r>
      <rPr>
        <sz val="10"/>
        <rFont val="Arial"/>
        <family val="0"/>
        <charset val="1"/>
      </rPr>
      <t xml:space="preserve">Cặp đôi với </t>
    </r>
    <r>
      <rPr>
        <sz val="10"/>
        <rFont val="Noto Sans CJK SC"/>
        <family val="2"/>
      </rPr>
      <t xml:space="preserve">連れて 行きます</t>
    </r>
    <r>
      <rPr>
        <sz val="10"/>
        <rFont val="Arial"/>
        <family val="0"/>
        <charset val="1"/>
      </rPr>
      <t xml:space="preserve">.</t>
    </r>
  </si>
  <si>
    <t xml:space="preserve">おくります</t>
  </si>
  <si>
    <t xml:space="preserve">送ります</t>
  </si>
  <si>
    <t xml:space="preserve">Gửi, tiễn</t>
  </si>
  <si>
    <r>
      <rPr>
        <sz val="10"/>
        <rFont val="Noto Sans CJK SC"/>
        <family val="2"/>
      </rPr>
      <t xml:space="preserve">送 </t>
    </r>
    <r>
      <rPr>
        <sz val="10"/>
        <rFont val="Arial"/>
        <family val="0"/>
        <charset val="1"/>
      </rPr>
      <t xml:space="preserve">có bộ </t>
    </r>
    <r>
      <rPr>
        <sz val="10"/>
        <rFont val="Noto Sans CJK SC"/>
        <family val="2"/>
      </rPr>
      <t xml:space="preserve">辶 → </t>
    </r>
    <r>
      <rPr>
        <sz val="10"/>
        <rFont val="Arial"/>
        <family val="0"/>
        <charset val="1"/>
      </rPr>
      <t xml:space="preserve">cho vật/người di chuyển đi.</t>
    </r>
  </si>
  <si>
    <t xml:space="preserve">しょうかいします</t>
  </si>
  <si>
    <t xml:space="preserve">紹介します</t>
  </si>
  <si>
    <t xml:space="preserve">Giới thiệu</t>
  </si>
  <si>
    <t xml:space="preserve">THIỆU GIỚI = giới thiệu. Đảo thứ tự so với tiếng Việt.</t>
  </si>
  <si>
    <t xml:space="preserve">あんないします</t>
  </si>
  <si>
    <t xml:space="preserve">案内します</t>
  </si>
  <si>
    <t xml:space="preserve">Hướng dẫn, dẫn đường</t>
  </si>
  <si>
    <t xml:space="preserve">ÁN NỘI = chỉ dẫn vào trong.</t>
  </si>
  <si>
    <t xml:space="preserve">せつめいします</t>
  </si>
  <si>
    <t xml:space="preserve">説明します</t>
  </si>
  <si>
    <t xml:space="preserve">Giải thích</t>
  </si>
  <si>
    <t xml:space="preserve">THUYẾT MINH — âm Hán Việt y hệt tiếng Việt.</t>
  </si>
  <si>
    <t xml:space="preserve">Sửa</t>
  </si>
  <si>
    <r>
      <rPr>
        <sz val="10"/>
        <rFont val="Noto Sans CJK SC"/>
        <family val="2"/>
      </rPr>
      <t xml:space="preserve">直 </t>
    </r>
    <r>
      <rPr>
        <sz val="10"/>
        <rFont val="Arial"/>
        <family val="0"/>
        <charset val="1"/>
      </rPr>
      <t xml:space="preserve">(TRỰC) = làm cho thẳng lại.</t>
    </r>
  </si>
  <si>
    <r>
      <rPr>
        <b val="true"/>
        <sz val="12"/>
        <rFont val="Noto Sans CJK SC"/>
        <family val="2"/>
      </rPr>
      <t xml:space="preserve">おじいさん </t>
    </r>
    <r>
      <rPr>
        <b val="true"/>
        <sz val="12"/>
        <rFont val="Arial"/>
        <family val="0"/>
        <charset val="1"/>
      </rPr>
      <t xml:space="preserve">/ </t>
    </r>
    <r>
      <rPr>
        <b val="true"/>
        <sz val="12"/>
        <rFont val="Noto Sans CJK SC"/>
        <family val="2"/>
      </rPr>
      <t xml:space="preserve">おばあさん</t>
    </r>
  </si>
  <si>
    <t xml:space="preserve">Ông / bà</t>
  </si>
  <si>
    <t xml:space="preserve">Cũng dùng để gọi người già nói chung.</t>
  </si>
  <si>
    <r>
      <rPr>
        <b val="true"/>
        <sz val="12"/>
        <rFont val="Noto Sans CJK SC"/>
        <family val="2"/>
      </rPr>
      <t xml:space="preserve">そぼ </t>
    </r>
    <r>
      <rPr>
        <b val="true"/>
        <sz val="12"/>
        <rFont val="Arial"/>
        <family val="0"/>
        <charset val="1"/>
      </rPr>
      <t xml:space="preserve">/ </t>
    </r>
    <r>
      <rPr>
        <b val="true"/>
        <sz val="12"/>
        <rFont val="Noto Sans CJK SC"/>
        <family val="2"/>
      </rPr>
      <t xml:space="preserve">そふ</t>
    </r>
  </si>
  <si>
    <r>
      <rPr>
        <sz val="12"/>
        <rFont val="Noto Sans CJK SC"/>
        <family val="2"/>
      </rPr>
      <t xml:space="preserve">祖母 </t>
    </r>
    <r>
      <rPr>
        <sz val="12"/>
        <rFont val="Arial"/>
        <family val="0"/>
        <charset val="1"/>
      </rPr>
      <t xml:space="preserve">/ </t>
    </r>
    <r>
      <rPr>
        <sz val="12"/>
        <rFont val="Noto Sans CJK SC"/>
        <family val="2"/>
      </rPr>
      <t xml:space="preserve">祖父</t>
    </r>
  </si>
  <si>
    <t xml:space="preserve">Bà tôi / ông tôi</t>
  </si>
  <si>
    <t xml:space="preserve">TỔ MẪU / TỔ PHỤ. Nói về người nhà mình thì dùng dạng này.</t>
  </si>
  <si>
    <t xml:space="preserve">おべんとう</t>
  </si>
  <si>
    <t xml:space="preserve">お弁当</t>
  </si>
  <si>
    <t xml:space="preserve">Cơm hộp</t>
  </si>
  <si>
    <t xml:space="preserve">BIỆN ĐƯƠNG = suất ăn mang theo.</t>
  </si>
  <si>
    <t xml:space="preserve">ちず</t>
  </si>
  <si>
    <t xml:space="preserve">地図</t>
  </si>
  <si>
    <t xml:space="preserve">Bản đồ</t>
  </si>
  <si>
    <t xml:space="preserve">ĐỊA ĐỒ = hình vẽ mặt đất.</t>
  </si>
  <si>
    <t xml:space="preserve">じぶん</t>
  </si>
  <si>
    <t xml:space="preserve">自分</t>
  </si>
  <si>
    <t xml:space="preserve">Bản thân</t>
  </si>
  <si>
    <t xml:space="preserve">TỰ PHÂN = phần của chính mình.</t>
  </si>
  <si>
    <t xml:space="preserve">ひとりで</t>
  </si>
  <si>
    <t xml:space="preserve">一人で</t>
  </si>
  <si>
    <t xml:space="preserve">Một mình</t>
  </si>
  <si>
    <r>
      <rPr>
        <sz val="10"/>
        <rFont val="Arial"/>
        <family val="0"/>
        <charset val="1"/>
      </rPr>
      <t xml:space="preserve">Nhớ có </t>
    </r>
    <r>
      <rPr>
        <sz val="10"/>
        <rFont val="Noto Sans CJK SC"/>
        <family val="2"/>
      </rPr>
      <t xml:space="preserve">で </t>
    </r>
    <r>
      <rPr>
        <sz val="10"/>
        <rFont val="Arial"/>
        <family val="0"/>
        <charset val="1"/>
      </rPr>
      <t xml:space="preserve">ở cuối: </t>
    </r>
    <r>
      <rPr>
        <sz val="10"/>
        <rFont val="Noto Sans CJK SC"/>
        <family val="2"/>
      </rPr>
      <t xml:space="preserve">一人で 行きます </t>
    </r>
    <r>
      <rPr>
        <sz val="10"/>
        <rFont val="Arial"/>
        <family val="0"/>
        <charset val="1"/>
      </rPr>
      <t xml:space="preserve">= đi một mình.</t>
    </r>
  </si>
  <si>
    <r>
      <rPr>
        <b val="true"/>
        <sz val="12"/>
        <color rgb="FFFFFFFF"/>
        <rFont val="Arial"/>
        <family val="0"/>
        <charset val="1"/>
      </rPr>
      <t xml:space="preserve">▌ BÀI 25  ·  Giả định — </t>
    </r>
    <r>
      <rPr>
        <b val="true"/>
        <sz val="12"/>
        <color rgb="FFFFFFFF"/>
        <rFont val="Noto Sans CJK SC"/>
        <family val="2"/>
      </rPr>
      <t xml:space="preserve">たら </t>
    </r>
    <r>
      <rPr>
        <b val="true"/>
        <sz val="12"/>
        <color rgb="FFFFFFFF"/>
        <rFont val="Arial"/>
        <family val="0"/>
        <charset val="1"/>
      </rPr>
      <t xml:space="preserve">&amp; </t>
    </r>
    <r>
      <rPr>
        <b val="true"/>
        <sz val="12"/>
        <color rgb="FFFFFFFF"/>
        <rFont val="Noto Sans CJK SC"/>
        <family val="2"/>
      </rPr>
      <t xml:space="preserve">ても  </t>
    </r>
    <r>
      <rPr>
        <b val="true"/>
        <sz val="12"/>
        <color rgb="FFFFFFFF"/>
        <rFont val="Arial"/>
        <family val="0"/>
        <charset val="1"/>
      </rPr>
      <t xml:space="preserve">(14 từ)</t>
    </r>
  </si>
  <si>
    <t xml:space="preserve">ひっこしします</t>
  </si>
  <si>
    <t xml:space="preserve">引っ越しします</t>
  </si>
  <si>
    <t xml:space="preserve">Chuyển nhà</t>
  </si>
  <si>
    <r>
      <rPr>
        <sz val="10"/>
        <rFont val="Noto Sans CJK SC"/>
        <family val="2"/>
      </rPr>
      <t xml:space="preserve">引 </t>
    </r>
    <r>
      <rPr>
        <sz val="10"/>
        <rFont val="Arial"/>
        <family val="0"/>
        <charset val="1"/>
      </rPr>
      <t xml:space="preserve">(kéo) + </t>
    </r>
    <r>
      <rPr>
        <sz val="10"/>
        <rFont val="Noto Sans CJK SC"/>
        <family val="2"/>
      </rPr>
      <t xml:space="preserve">越 </t>
    </r>
    <r>
      <rPr>
        <sz val="10"/>
        <rFont val="Arial"/>
        <family val="0"/>
        <charset val="1"/>
      </rPr>
      <t xml:space="preserve">(vượt qua) → kéo đồ vượt sang chỗ mới.</t>
    </r>
  </si>
  <si>
    <t xml:space="preserve">かんがえます</t>
  </si>
  <si>
    <t xml:space="preserve">考えます</t>
  </si>
  <si>
    <t xml:space="preserve">Suy nghĩ</t>
  </si>
  <si>
    <r>
      <rPr>
        <sz val="10"/>
        <rFont val="Noto Sans CJK SC"/>
        <family val="2"/>
      </rPr>
      <t xml:space="preserve">考 </t>
    </r>
    <r>
      <rPr>
        <sz val="10"/>
        <rFont val="Arial"/>
        <family val="0"/>
        <charset val="1"/>
      </rPr>
      <t xml:space="preserve">có bộ </t>
    </r>
    <r>
      <rPr>
        <sz val="10"/>
        <rFont val="Noto Sans CJK SC"/>
        <family val="2"/>
      </rPr>
      <t xml:space="preserve">耂 </t>
    </r>
    <r>
      <rPr>
        <sz val="10"/>
        <rFont val="Arial"/>
        <family val="0"/>
        <charset val="1"/>
      </rPr>
      <t xml:space="preserve">(người già) → người già suy nghĩ chín chắn.</t>
    </r>
  </si>
  <si>
    <t xml:space="preserve">とります</t>
  </si>
  <si>
    <t xml:space="preserve">取ります</t>
  </si>
  <si>
    <t xml:space="preserve">Lấy, nhận</t>
  </si>
  <si>
    <r>
      <rPr>
        <sz val="10"/>
        <rFont val="Noto Sans CJK SC"/>
        <family val="2"/>
      </rPr>
      <t xml:space="preserve">取 </t>
    </r>
    <r>
      <rPr>
        <sz val="10"/>
        <rFont val="Arial"/>
        <family val="0"/>
        <charset val="1"/>
      </rPr>
      <t xml:space="preserve">= </t>
    </r>
    <r>
      <rPr>
        <sz val="10"/>
        <rFont val="Noto Sans CJK SC"/>
        <family val="2"/>
      </rPr>
      <t xml:space="preserve">耳 </t>
    </r>
    <r>
      <rPr>
        <sz val="10"/>
        <rFont val="Arial"/>
        <family val="0"/>
        <charset val="1"/>
      </rPr>
      <t xml:space="preserve">(tai) + </t>
    </r>
    <r>
      <rPr>
        <sz val="10"/>
        <rFont val="Noto Sans CJK SC"/>
        <family val="2"/>
      </rPr>
      <t xml:space="preserve">又 </t>
    </r>
    <r>
      <rPr>
        <sz val="10"/>
        <rFont val="Arial"/>
        <family val="0"/>
        <charset val="1"/>
      </rPr>
      <t xml:space="preserve">(tay) → tay túm lấy. </t>
    </r>
    <r>
      <rPr>
        <sz val="10"/>
        <rFont val="Noto Sans CJK SC"/>
        <family val="2"/>
      </rPr>
      <t xml:space="preserve">年を 取ります </t>
    </r>
    <r>
      <rPr>
        <sz val="10"/>
        <rFont val="Arial"/>
        <family val="0"/>
        <charset val="1"/>
      </rPr>
      <t xml:space="preserve">= già đi.</t>
    </r>
  </si>
  <si>
    <t xml:space="preserve">いなか</t>
  </si>
  <si>
    <t xml:space="preserve">田舎</t>
  </si>
  <si>
    <t xml:space="preserve">Quê, nông thôn</t>
  </si>
  <si>
    <t xml:space="preserve">ĐIỀN XÁ = nhà giữa ruộng đồng.</t>
  </si>
  <si>
    <t xml:space="preserve">チャンス</t>
  </si>
  <si>
    <t xml:space="preserve">Cơ hội</t>
  </si>
  <si>
    <t xml:space="preserve">Từ 'chance'.</t>
  </si>
  <si>
    <t xml:space="preserve">おく</t>
  </si>
  <si>
    <t xml:space="preserve">億</t>
  </si>
  <si>
    <t xml:space="preserve">Trăm triệu</t>
  </si>
  <si>
    <r>
      <rPr>
        <sz val="10"/>
        <rFont val="Arial"/>
        <family val="0"/>
        <charset val="1"/>
      </rPr>
      <t xml:space="preserve">ỨC. </t>
    </r>
    <r>
      <rPr>
        <sz val="10"/>
        <rFont val="Noto Sans CJK SC"/>
        <family val="2"/>
      </rPr>
      <t xml:space="preserve">一億円 </t>
    </r>
    <r>
      <rPr>
        <sz val="10"/>
        <rFont val="Arial"/>
        <family val="0"/>
        <charset val="1"/>
      </rPr>
      <t xml:space="preserve">= 100 triệu yên.</t>
    </r>
  </si>
  <si>
    <t xml:space="preserve">〜たら</t>
  </si>
  <si>
    <t xml:space="preserve">Nếu ~ thì</t>
  </si>
  <si>
    <r>
      <rPr>
        <sz val="10"/>
        <rFont val="Arial"/>
        <family val="0"/>
        <charset val="1"/>
      </rPr>
      <t xml:space="preserve">Chia như thể </t>
    </r>
    <r>
      <rPr>
        <sz val="10"/>
        <rFont val="Noto Sans CJK SC"/>
        <family val="2"/>
      </rPr>
      <t xml:space="preserve">た </t>
    </r>
    <r>
      <rPr>
        <sz val="10"/>
        <rFont val="Arial"/>
        <family val="0"/>
        <charset val="1"/>
      </rPr>
      <t xml:space="preserve">rồi thêm </t>
    </r>
    <r>
      <rPr>
        <sz val="10"/>
        <rFont val="Noto Sans CJK SC"/>
        <family val="2"/>
      </rPr>
      <t xml:space="preserve">ら</t>
    </r>
    <r>
      <rPr>
        <sz val="10"/>
        <rFont val="Arial"/>
        <family val="0"/>
        <charset val="1"/>
      </rPr>
      <t xml:space="preserve">: </t>
    </r>
    <r>
      <rPr>
        <sz val="10"/>
        <rFont val="Noto Sans CJK SC"/>
        <family val="2"/>
      </rPr>
      <t xml:space="preserve">行った → 行ったら</t>
    </r>
    <r>
      <rPr>
        <sz val="10"/>
        <rFont val="Arial"/>
        <family val="0"/>
        <charset val="1"/>
      </rPr>
      <t xml:space="preserve">.</t>
    </r>
  </si>
  <si>
    <t xml:space="preserve">〜ても</t>
  </si>
  <si>
    <t xml:space="preserve">Dù ~ thì</t>
  </si>
  <si>
    <r>
      <rPr>
        <sz val="10"/>
        <rFont val="Arial"/>
        <family val="0"/>
        <charset val="1"/>
      </rPr>
      <t xml:space="preserve">Chia như thể </t>
    </r>
    <r>
      <rPr>
        <sz val="10"/>
        <rFont val="Noto Sans CJK SC"/>
        <family val="2"/>
      </rPr>
      <t xml:space="preserve">て </t>
    </r>
    <r>
      <rPr>
        <sz val="10"/>
        <rFont val="Arial"/>
        <family val="0"/>
        <charset val="1"/>
      </rPr>
      <t xml:space="preserve">rồi thêm </t>
    </r>
    <r>
      <rPr>
        <sz val="10"/>
        <rFont val="Noto Sans CJK SC"/>
        <family val="2"/>
      </rPr>
      <t xml:space="preserve">も</t>
    </r>
    <r>
      <rPr>
        <sz val="10"/>
        <rFont val="Arial"/>
        <family val="0"/>
        <charset val="1"/>
      </rPr>
      <t xml:space="preserve">: </t>
    </r>
    <r>
      <rPr>
        <sz val="10"/>
        <rFont val="Noto Sans CJK SC"/>
        <family val="2"/>
      </rPr>
      <t xml:space="preserve">行って → 行っても</t>
    </r>
    <r>
      <rPr>
        <sz val="10"/>
        <rFont val="Arial"/>
        <family val="0"/>
        <charset val="1"/>
      </rPr>
      <t xml:space="preserve">.</t>
    </r>
  </si>
  <si>
    <t xml:space="preserve">もし</t>
  </si>
  <si>
    <t xml:space="preserve">Giả sử, nếu như</t>
  </si>
  <si>
    <t xml:space="preserve">Đứng đầu câu, báo hiệu đây là giả định.</t>
  </si>
  <si>
    <t xml:space="preserve">いくら〜ても</t>
  </si>
  <si>
    <t xml:space="preserve">Dù ~ bao nhiêu đi nữa</t>
  </si>
  <si>
    <r>
      <rPr>
        <sz val="10"/>
        <rFont val="Noto Sans CJK SC"/>
        <family val="2"/>
      </rPr>
      <t xml:space="preserve">いくら 高くても 買います </t>
    </r>
    <r>
      <rPr>
        <sz val="10"/>
        <rFont val="Arial"/>
        <family val="0"/>
        <charset val="1"/>
      </rPr>
      <t xml:space="preserve">= dù đắt mấy tôi cũng mua.</t>
    </r>
  </si>
  <si>
    <t xml:space="preserve">しゅうかん</t>
  </si>
  <si>
    <t xml:space="preserve">習慣</t>
  </si>
  <si>
    <t xml:space="preserve">Thói quen</t>
  </si>
  <si>
    <t xml:space="preserve">TẬP QUÁN — âm Hán Việt y hệt tiếng Việt.</t>
  </si>
  <si>
    <t xml:space="preserve">じんせい</t>
  </si>
  <si>
    <t xml:space="preserve">人生</t>
  </si>
  <si>
    <t xml:space="preserve">Cuộc đời</t>
  </si>
  <si>
    <t xml:space="preserve">NHÂN SINH = đời người.</t>
  </si>
  <si>
    <t xml:space="preserve">おせわに なりました</t>
  </si>
  <si>
    <t xml:space="preserve">お世話に なりました</t>
  </si>
  <si>
    <t xml:space="preserve">Cảm ơn vì đã giúp đỡ</t>
  </si>
  <si>
    <t xml:space="preserve">Câu chào chia tay quan trọng nhất khi rời công ty, trường học.</t>
  </si>
  <si>
    <t xml:space="preserve">がんばります</t>
  </si>
  <si>
    <t xml:space="preserve">頑張ります</t>
  </si>
  <si>
    <t xml:space="preserve">Cố gắng</t>
  </si>
  <si>
    <t xml:space="preserve">NGOAN TRƯƠNG = bướng bỉnh mà căng ra → CỐ GẮNG hết sức.</t>
  </si>
  <si>
    <t xml:space="preserve">LỊCH HỌC 25 BÀI MINNA NO NIHONGO I — bài nào rơi vào ngày nào</t>
  </si>
  <si>
    <t xml:space="preserve">Bài</t>
  </si>
  <si>
    <t xml:space="preserve">Tên bài (chủ điểm ngữ pháp)</t>
  </si>
  <si>
    <t xml:space="preserve">Số ngày</t>
  </si>
  <si>
    <t xml:space="preserve">Từ vựng</t>
  </si>
  <si>
    <t xml:space="preserve">Điểm cần chú ý</t>
  </si>
  <si>
    <t xml:space="preserve">Bài 1</t>
  </si>
  <si>
    <t xml:space="preserve">Ngày 15–16</t>
  </si>
  <si>
    <t xml:space="preserve">5 mẫu</t>
  </si>
  <si>
    <t xml:space="preserve">14 từ</t>
  </si>
  <si>
    <r>
      <rPr>
        <sz val="10"/>
        <rFont val="Arial"/>
        <family val="0"/>
        <charset val="1"/>
      </rPr>
      <t xml:space="preserve">Trợ từ </t>
    </r>
    <r>
      <rPr>
        <sz val="10"/>
        <rFont val="Noto Sans CJK SC"/>
        <family val="2"/>
      </rPr>
      <t xml:space="preserve">は </t>
    </r>
    <r>
      <rPr>
        <sz val="10"/>
        <rFont val="Arial"/>
        <family val="0"/>
        <charset val="1"/>
      </rPr>
      <t xml:space="preserve">đọc là 'wa'. Không dùng </t>
    </r>
    <r>
      <rPr>
        <sz val="10"/>
        <rFont val="Noto Sans CJK SC"/>
        <family val="2"/>
      </rPr>
      <t xml:space="preserve">あなた </t>
    </r>
    <r>
      <rPr>
        <sz val="10"/>
        <rFont val="Arial"/>
        <family val="0"/>
        <charset val="1"/>
      </rPr>
      <t xml:space="preserve">bừa bãi — người Nhật gọi bằng tên.</t>
    </r>
  </si>
  <si>
    <t xml:space="preserve">Bài 2</t>
  </si>
  <si>
    <t xml:space="preserve">Ngày 17–18</t>
  </si>
  <si>
    <r>
      <rPr>
        <sz val="10"/>
        <rFont val="Arial"/>
        <family val="0"/>
        <charset val="1"/>
      </rPr>
      <t xml:space="preserve">Phân biệt </t>
    </r>
    <r>
      <rPr>
        <sz val="10"/>
        <rFont val="Noto Sans CJK SC"/>
        <family val="2"/>
      </rPr>
      <t xml:space="preserve">これ </t>
    </r>
    <r>
      <rPr>
        <sz val="10"/>
        <rFont val="Arial"/>
        <family val="0"/>
        <charset val="1"/>
      </rPr>
      <t xml:space="preserve">(đứng một mình) với </t>
    </r>
    <r>
      <rPr>
        <sz val="10"/>
        <rFont val="Noto Sans CJK SC"/>
        <family val="2"/>
      </rPr>
      <t xml:space="preserve">この </t>
    </r>
    <r>
      <rPr>
        <sz val="10"/>
        <rFont val="Arial"/>
        <family val="0"/>
        <charset val="1"/>
      </rPr>
      <t xml:space="preserve">(phải có danh từ theo sau).</t>
    </r>
  </si>
  <si>
    <t xml:space="preserve">Bài 3</t>
  </si>
  <si>
    <t xml:space="preserve">Ngày 19–20</t>
  </si>
  <si>
    <r>
      <rPr>
        <sz val="10"/>
        <rFont val="Noto Sans CJK SC"/>
        <family val="2"/>
      </rPr>
      <t xml:space="preserve">こちら </t>
    </r>
    <r>
      <rPr>
        <sz val="10"/>
        <rFont val="Arial"/>
        <family val="0"/>
        <charset val="1"/>
      </rPr>
      <t xml:space="preserve">lịch sự hơn </t>
    </r>
    <r>
      <rPr>
        <sz val="10"/>
        <rFont val="Noto Sans CJK SC"/>
        <family val="2"/>
      </rPr>
      <t xml:space="preserve">ここ</t>
    </r>
    <r>
      <rPr>
        <sz val="10"/>
        <rFont val="Arial"/>
        <family val="0"/>
        <charset val="1"/>
      </rPr>
      <t xml:space="preserve">, dùng khi giới thiệu người hoặc nói chuyện với khách.</t>
    </r>
  </si>
  <si>
    <t xml:space="preserve">Bài 4</t>
  </si>
  <si>
    <t xml:space="preserve">Ngày 22–23</t>
  </si>
  <si>
    <t xml:space="preserve">6 mẫu</t>
  </si>
  <si>
    <r>
      <rPr>
        <sz val="10"/>
        <rFont val="Arial"/>
        <family val="0"/>
        <charset val="1"/>
      </rPr>
      <t xml:space="preserve">Giờ đọc bất quy tắc: 4</t>
    </r>
    <r>
      <rPr>
        <sz val="10"/>
        <rFont val="Noto Sans CJK SC"/>
        <family val="2"/>
      </rPr>
      <t xml:space="preserve">時 よじ</t>
    </r>
    <r>
      <rPr>
        <sz val="10"/>
        <rFont val="Arial"/>
        <family val="0"/>
        <charset val="1"/>
      </rPr>
      <t xml:space="preserve">, 7</t>
    </r>
    <r>
      <rPr>
        <sz val="10"/>
        <rFont val="Noto Sans CJK SC"/>
        <family val="2"/>
      </rPr>
      <t xml:space="preserve">時 しちじ</t>
    </r>
    <r>
      <rPr>
        <sz val="10"/>
        <rFont val="Arial"/>
        <family val="0"/>
        <charset val="1"/>
      </rPr>
      <t xml:space="preserve">, 9</t>
    </r>
    <r>
      <rPr>
        <sz val="10"/>
        <rFont val="Noto Sans CJK SC"/>
        <family val="2"/>
      </rPr>
      <t xml:space="preserve">時 くじ</t>
    </r>
    <r>
      <rPr>
        <sz val="10"/>
        <rFont val="Arial"/>
        <family val="0"/>
        <charset val="1"/>
      </rPr>
      <t xml:space="preserve">. Phút cũng biến âm nhiều.</t>
    </r>
  </si>
  <si>
    <t xml:space="preserve">Bài 5</t>
  </si>
  <si>
    <t xml:space="preserve">Ngày 24–25</t>
  </si>
  <si>
    <r>
      <rPr>
        <sz val="10"/>
        <rFont val="Noto Sans CJK SC"/>
        <family val="2"/>
      </rPr>
      <t xml:space="preserve">へ </t>
    </r>
    <r>
      <rPr>
        <sz val="10"/>
        <rFont val="Arial"/>
        <family val="0"/>
        <charset val="1"/>
      </rPr>
      <t xml:space="preserve">đọc là 'e'. 'Đi bộ' là </t>
    </r>
    <r>
      <rPr>
        <sz val="10"/>
        <rFont val="Noto Sans CJK SC"/>
        <family val="2"/>
      </rPr>
      <t xml:space="preserve">歩いて</t>
    </r>
    <r>
      <rPr>
        <sz val="10"/>
        <rFont val="Arial"/>
        <family val="0"/>
        <charset val="1"/>
      </rPr>
      <t xml:space="preserve">, tuyệt đối không nói </t>
    </r>
    <r>
      <rPr>
        <sz val="10"/>
        <rFont val="Noto Sans CJK SC"/>
        <family val="2"/>
      </rPr>
      <t xml:space="preserve">歩いてで</t>
    </r>
    <r>
      <rPr>
        <sz val="10"/>
        <rFont val="Arial"/>
        <family val="0"/>
        <charset val="1"/>
      </rPr>
      <t xml:space="preserve">.</t>
    </r>
  </si>
  <si>
    <t xml:space="preserve">Bài 6</t>
  </si>
  <si>
    <t xml:space="preserve">Ngày 26–27</t>
  </si>
  <si>
    <r>
      <rPr>
        <sz val="10"/>
        <rFont val="Arial"/>
        <family val="0"/>
        <charset val="1"/>
      </rPr>
      <t xml:space="preserve">Phân biệt </t>
    </r>
    <r>
      <rPr>
        <sz val="10"/>
        <rFont val="Noto Sans CJK SC"/>
        <family val="2"/>
      </rPr>
      <t xml:space="preserve">で </t>
    </r>
    <r>
      <rPr>
        <sz val="10"/>
        <rFont val="Arial"/>
        <family val="0"/>
        <charset val="1"/>
      </rPr>
      <t xml:space="preserve">(nơi diễn ra hành động) và </t>
    </r>
    <r>
      <rPr>
        <sz val="10"/>
        <rFont val="Noto Sans CJK SC"/>
        <family val="2"/>
      </rPr>
      <t xml:space="preserve">に </t>
    </r>
    <r>
      <rPr>
        <sz val="10"/>
        <rFont val="Arial"/>
        <family val="0"/>
        <charset val="1"/>
      </rPr>
      <t xml:space="preserve">(nơi tồn tại) — bẫy kinh điển của đề thi.</t>
    </r>
  </si>
  <si>
    <t xml:space="preserve">Bài 7</t>
  </si>
  <si>
    <t xml:space="preserve">Ngày 29–30</t>
  </si>
  <si>
    <r>
      <rPr>
        <sz val="10"/>
        <rFont val="Noto Sans CJK SC"/>
        <family val="2"/>
      </rPr>
      <t xml:space="preserve">あげます </t>
    </r>
    <r>
      <rPr>
        <sz val="10"/>
        <rFont val="Arial"/>
        <family val="0"/>
        <charset val="1"/>
      </rPr>
      <t xml:space="preserve">là tôi cho người khác, </t>
    </r>
    <r>
      <rPr>
        <sz val="10"/>
        <rFont val="Noto Sans CJK SC"/>
        <family val="2"/>
      </rPr>
      <t xml:space="preserve">もらいます </t>
    </r>
    <r>
      <rPr>
        <sz val="10"/>
        <rFont val="Arial"/>
        <family val="0"/>
        <charset val="1"/>
      </rPr>
      <t xml:space="preserve">là tôi nhận. Nhớ chiều mũi tên.</t>
    </r>
  </si>
  <si>
    <t xml:space="preserve">Bài 8</t>
  </si>
  <si>
    <t xml:space="preserve">Ngày 31–32</t>
  </si>
  <si>
    <r>
      <rPr>
        <sz val="10"/>
        <rFont val="Noto Sans CJK SC"/>
        <family val="2"/>
      </rPr>
      <t xml:space="preserve">きれい </t>
    </r>
    <r>
      <rPr>
        <sz val="10"/>
        <rFont val="Arial"/>
        <family val="0"/>
        <charset val="1"/>
      </rPr>
      <t xml:space="preserve">và </t>
    </r>
    <r>
      <rPr>
        <sz val="10"/>
        <rFont val="Noto Sans CJK SC"/>
        <family val="2"/>
      </rPr>
      <t xml:space="preserve">ゆうめい </t>
    </r>
    <r>
      <rPr>
        <sz val="10"/>
        <rFont val="Arial"/>
        <family val="0"/>
        <charset val="1"/>
      </rPr>
      <t xml:space="preserve">có đuôi </t>
    </r>
    <r>
      <rPr>
        <sz val="10"/>
        <rFont val="Noto Sans CJK SC"/>
        <family val="2"/>
      </rPr>
      <t xml:space="preserve">い </t>
    </r>
    <r>
      <rPr>
        <sz val="10"/>
        <rFont val="Arial"/>
        <family val="0"/>
        <charset val="1"/>
      </rPr>
      <t xml:space="preserve">nhưng là </t>
    </r>
    <r>
      <rPr>
        <sz val="10"/>
        <rFont val="Noto Sans CJK SC"/>
        <family val="2"/>
      </rPr>
      <t xml:space="preserve">な</t>
    </r>
    <r>
      <rPr>
        <sz val="10"/>
        <rFont val="Arial"/>
        <family val="0"/>
        <charset val="1"/>
      </rPr>
      <t xml:space="preserve">-adj. Đây là bẫy hay gặp nhất.</t>
    </r>
  </si>
  <si>
    <t xml:space="preserve">Bài 9</t>
  </si>
  <si>
    <t xml:space="preserve">Ngày 33–34</t>
  </si>
  <si>
    <r>
      <rPr>
        <sz val="10"/>
        <rFont val="Arial"/>
        <family val="0"/>
        <charset val="1"/>
      </rPr>
      <t xml:space="preserve">Đối tượng của </t>
    </r>
    <r>
      <rPr>
        <sz val="10"/>
        <rFont val="Noto Sans CJK SC"/>
        <family val="2"/>
      </rPr>
      <t xml:space="preserve">好き・上手・わかります・あります </t>
    </r>
    <r>
      <rPr>
        <sz val="10"/>
        <rFont val="Arial"/>
        <family val="0"/>
        <charset val="1"/>
      </rPr>
      <t xml:space="preserve">đi với </t>
    </r>
    <r>
      <rPr>
        <sz val="10"/>
        <rFont val="Noto Sans CJK SC"/>
        <family val="2"/>
      </rPr>
      <t xml:space="preserve">が</t>
    </r>
    <r>
      <rPr>
        <sz val="10"/>
        <rFont val="Arial"/>
        <family val="0"/>
        <charset val="1"/>
      </rPr>
      <t xml:space="preserve">, KHÔNG dùng </t>
    </r>
    <r>
      <rPr>
        <sz val="10"/>
        <rFont val="Noto Sans CJK SC"/>
        <family val="2"/>
      </rPr>
      <t xml:space="preserve">を</t>
    </r>
    <r>
      <rPr>
        <sz val="10"/>
        <rFont val="Arial"/>
        <family val="0"/>
        <charset val="1"/>
      </rPr>
      <t xml:space="preserve">.</t>
    </r>
  </si>
  <si>
    <t xml:space="preserve">Bài 10</t>
  </si>
  <si>
    <t xml:space="preserve">Ngày 36–37</t>
  </si>
  <si>
    <t xml:space="preserve">4 mẫu</t>
  </si>
  <si>
    <r>
      <rPr>
        <sz val="10"/>
        <rFont val="Noto Sans CJK SC"/>
        <family val="2"/>
      </rPr>
      <t xml:space="preserve">あります </t>
    </r>
    <r>
      <rPr>
        <sz val="10"/>
        <rFont val="Arial"/>
        <family val="0"/>
        <charset val="1"/>
      </rPr>
      <t xml:space="preserve">cho vật vô tri, </t>
    </r>
    <r>
      <rPr>
        <sz val="10"/>
        <rFont val="Noto Sans CJK SC"/>
        <family val="2"/>
      </rPr>
      <t xml:space="preserve">います </t>
    </r>
    <r>
      <rPr>
        <sz val="10"/>
        <rFont val="Arial"/>
        <family val="0"/>
        <charset val="1"/>
      </rPr>
      <t xml:space="preserve">cho người và động vật. Nhầm là mất điểm ngay.</t>
    </r>
  </si>
  <si>
    <t xml:space="preserve">Bài 11</t>
  </si>
  <si>
    <t xml:space="preserve">Ngày 38–39</t>
  </si>
  <si>
    <r>
      <rPr>
        <sz val="10"/>
        <rFont val="Arial"/>
        <family val="0"/>
        <charset val="1"/>
      </rPr>
      <t xml:space="preserve">Lượng từ là phần khó nhất bài này: </t>
    </r>
    <r>
      <rPr>
        <sz val="10"/>
        <rFont val="Noto Sans CJK SC"/>
        <family val="2"/>
      </rPr>
      <t xml:space="preserve">〜つ</t>
    </r>
    <r>
      <rPr>
        <sz val="10"/>
        <rFont val="Arial"/>
        <family val="0"/>
        <charset val="1"/>
      </rPr>
      <t xml:space="preserve">, </t>
    </r>
    <r>
      <rPr>
        <sz val="10"/>
        <rFont val="Noto Sans CJK SC"/>
        <family val="2"/>
      </rPr>
      <t xml:space="preserve">〜人</t>
    </r>
    <r>
      <rPr>
        <sz val="10"/>
        <rFont val="Arial"/>
        <family val="0"/>
        <charset val="1"/>
      </rPr>
      <t xml:space="preserve">, </t>
    </r>
    <r>
      <rPr>
        <sz val="10"/>
        <rFont val="Noto Sans CJK SC"/>
        <family val="2"/>
      </rPr>
      <t xml:space="preserve">〜台</t>
    </r>
    <r>
      <rPr>
        <sz val="10"/>
        <rFont val="Arial"/>
        <family val="0"/>
        <charset val="1"/>
      </rPr>
      <t xml:space="preserve">, </t>
    </r>
    <r>
      <rPr>
        <sz val="10"/>
        <rFont val="Noto Sans CJK SC"/>
        <family val="2"/>
      </rPr>
      <t xml:space="preserve">〜枚</t>
    </r>
    <r>
      <rPr>
        <sz val="10"/>
        <rFont val="Arial"/>
        <family val="0"/>
        <charset val="1"/>
      </rPr>
      <t xml:space="preserve">, </t>
    </r>
    <r>
      <rPr>
        <sz val="10"/>
        <rFont val="Noto Sans CJK SC"/>
        <family val="2"/>
      </rPr>
      <t xml:space="preserve">〜冊</t>
    </r>
    <r>
      <rPr>
        <sz val="10"/>
        <rFont val="Arial"/>
        <family val="0"/>
        <charset val="1"/>
      </rPr>
      <t xml:space="preserve">, </t>
    </r>
    <r>
      <rPr>
        <sz val="10"/>
        <rFont val="Noto Sans CJK SC"/>
        <family val="2"/>
      </rPr>
      <t xml:space="preserve">〜回</t>
    </r>
    <r>
      <rPr>
        <sz val="10"/>
        <rFont val="Arial"/>
        <family val="0"/>
        <charset val="1"/>
      </rPr>
      <t xml:space="preserve">. Đọc to mỗi ngày.</t>
    </r>
  </si>
  <si>
    <t xml:space="preserve">Bài 12</t>
  </si>
  <si>
    <t xml:space="preserve">Ngày 40–41</t>
  </si>
  <si>
    <r>
      <rPr>
        <sz val="10"/>
        <rFont val="Noto Sans CJK SC"/>
        <family val="2"/>
      </rPr>
      <t xml:space="preserve">い</t>
    </r>
    <r>
      <rPr>
        <sz val="10"/>
        <rFont val="Arial"/>
        <family val="0"/>
        <charset val="1"/>
      </rPr>
      <t xml:space="preserve">-adj quá khứ là </t>
    </r>
    <r>
      <rPr>
        <sz val="10"/>
        <rFont val="Noto Sans CJK SC"/>
        <family val="2"/>
      </rPr>
      <t xml:space="preserve">〜かったです</t>
    </r>
    <r>
      <rPr>
        <sz val="10"/>
        <rFont val="Arial"/>
        <family val="0"/>
        <charset val="1"/>
      </rPr>
      <t xml:space="preserve">, KHÔNG phải </t>
    </r>
    <r>
      <rPr>
        <sz val="10"/>
        <rFont val="Noto Sans CJK SC"/>
        <family val="2"/>
      </rPr>
      <t xml:space="preserve">〜いでした</t>
    </r>
    <r>
      <rPr>
        <sz val="10"/>
        <rFont val="Arial"/>
        <family val="0"/>
        <charset val="1"/>
      </rPr>
      <t xml:space="preserve">. Lỗi sai phổ biến nhất.</t>
    </r>
  </si>
  <si>
    <t xml:space="preserve">Bài 13</t>
  </si>
  <si>
    <t xml:space="preserve">Ngày 43–44</t>
  </si>
  <si>
    <r>
      <rPr>
        <sz val="10"/>
        <rFont val="Noto Sans CJK SC"/>
        <family val="2"/>
      </rPr>
      <t xml:space="preserve">たい </t>
    </r>
    <r>
      <rPr>
        <sz val="10"/>
        <rFont val="Arial"/>
        <family val="0"/>
        <charset val="1"/>
      </rPr>
      <t xml:space="preserve">và </t>
    </r>
    <r>
      <rPr>
        <sz val="10"/>
        <rFont val="Noto Sans CJK SC"/>
        <family val="2"/>
      </rPr>
      <t xml:space="preserve">ほしい </t>
    </r>
    <r>
      <rPr>
        <sz val="10"/>
        <rFont val="Arial"/>
        <family val="0"/>
        <charset val="1"/>
      </rPr>
      <t xml:space="preserve">chỉ dùng cho ngôi thứ nhất, hoặc hỏi ngôi thứ hai.</t>
    </r>
  </si>
  <si>
    <t xml:space="preserve">Bài 14</t>
  </si>
  <si>
    <t xml:space="preserve">Ngày 45–47</t>
  </si>
  <si>
    <r>
      <rPr>
        <sz val="10"/>
        <rFont val="Arial"/>
        <family val="0"/>
        <charset val="1"/>
      </rPr>
      <t xml:space="preserve">Thể </t>
    </r>
    <r>
      <rPr>
        <sz val="10"/>
        <rFont val="Noto Sans CJK SC"/>
        <family val="2"/>
      </rPr>
      <t xml:space="preserve">て </t>
    </r>
    <r>
      <rPr>
        <sz val="10"/>
        <rFont val="Arial"/>
        <family val="0"/>
        <charset val="1"/>
      </rPr>
      <t xml:space="preserve">là bản lề của toàn bộ tiếng Nhật. Học chậm cũng được nhưng phải chắc.</t>
    </r>
  </si>
  <si>
    <t xml:space="preserve">Bài 15</t>
  </si>
  <si>
    <t xml:space="preserve">Ngày 48–50</t>
  </si>
  <si>
    <r>
      <rPr>
        <sz val="10"/>
        <rFont val="Noto Sans CJK SC"/>
        <family val="2"/>
      </rPr>
      <t xml:space="preserve">知って います </t>
    </r>
    <r>
      <rPr>
        <sz val="10"/>
        <rFont val="Arial"/>
        <family val="0"/>
        <charset val="1"/>
      </rPr>
      <t xml:space="preserve">nhưng phủ định là </t>
    </r>
    <r>
      <rPr>
        <sz val="10"/>
        <rFont val="Noto Sans CJK SC"/>
        <family val="2"/>
      </rPr>
      <t xml:space="preserve">知りません — </t>
    </r>
    <r>
      <rPr>
        <sz val="10"/>
        <rFont val="Arial"/>
        <family val="0"/>
        <charset val="1"/>
      </rPr>
      <t xml:space="preserve">không bao giờ nói </t>
    </r>
    <r>
      <rPr>
        <sz val="10"/>
        <rFont val="Noto Sans CJK SC"/>
        <family val="2"/>
      </rPr>
      <t xml:space="preserve">知って いません</t>
    </r>
    <r>
      <rPr>
        <sz val="10"/>
        <rFont val="Arial"/>
        <family val="0"/>
        <charset val="1"/>
      </rPr>
      <t xml:space="preserve">.</t>
    </r>
  </si>
  <si>
    <t xml:space="preserve">Bài 16</t>
  </si>
  <si>
    <t xml:space="preserve">Ngày 51–52</t>
  </si>
  <si>
    <r>
      <rPr>
        <sz val="10"/>
        <rFont val="Arial"/>
        <family val="0"/>
        <charset val="1"/>
      </rPr>
      <t xml:space="preserve">Nối tính từ: </t>
    </r>
    <r>
      <rPr>
        <sz val="10"/>
        <rFont val="Noto Sans CJK SC"/>
        <family val="2"/>
      </rPr>
      <t xml:space="preserve">い</t>
    </r>
    <r>
      <rPr>
        <sz val="10"/>
        <rFont val="Arial"/>
        <family val="0"/>
        <charset val="1"/>
      </rPr>
      <t xml:space="preserve">-adj bỏ </t>
    </r>
    <r>
      <rPr>
        <sz val="10"/>
        <rFont val="Noto Sans CJK SC"/>
        <family val="2"/>
      </rPr>
      <t xml:space="preserve">い </t>
    </r>
    <r>
      <rPr>
        <sz val="10"/>
        <rFont val="Arial"/>
        <family val="0"/>
        <charset val="1"/>
      </rPr>
      <t xml:space="preserve">thêm </t>
    </r>
    <r>
      <rPr>
        <sz val="10"/>
        <rFont val="Noto Sans CJK SC"/>
        <family val="2"/>
      </rPr>
      <t xml:space="preserve">くて</t>
    </r>
    <r>
      <rPr>
        <sz val="10"/>
        <rFont val="Arial"/>
        <family val="0"/>
        <charset val="1"/>
      </rPr>
      <t xml:space="preserve">, </t>
    </r>
    <r>
      <rPr>
        <sz val="10"/>
        <rFont val="Noto Sans CJK SC"/>
        <family val="2"/>
      </rPr>
      <t xml:space="preserve">な</t>
    </r>
    <r>
      <rPr>
        <sz val="10"/>
        <rFont val="Arial"/>
        <family val="0"/>
        <charset val="1"/>
      </rPr>
      <t xml:space="preserve">-adj và danh từ thêm </t>
    </r>
    <r>
      <rPr>
        <sz val="10"/>
        <rFont val="Noto Sans CJK SC"/>
        <family val="2"/>
      </rPr>
      <t xml:space="preserve">で</t>
    </r>
    <r>
      <rPr>
        <sz val="10"/>
        <rFont val="Arial"/>
        <family val="0"/>
        <charset val="1"/>
      </rPr>
      <t xml:space="preserve">.</t>
    </r>
  </si>
  <si>
    <t xml:space="preserve">Bài 17</t>
  </si>
  <si>
    <t xml:space="preserve">Ngày 53–55</t>
  </si>
  <si>
    <r>
      <rPr>
        <sz val="10"/>
        <rFont val="Arial"/>
        <family val="0"/>
        <charset val="1"/>
      </rPr>
      <t xml:space="preserve">Thể </t>
    </r>
    <r>
      <rPr>
        <sz val="10"/>
        <rFont val="Noto Sans CJK SC"/>
        <family val="2"/>
      </rPr>
      <t xml:space="preserve">ない </t>
    </r>
    <r>
      <rPr>
        <sz val="10"/>
        <rFont val="Arial"/>
        <family val="0"/>
        <charset val="1"/>
      </rPr>
      <t xml:space="preserve">của nhóm I: đổi hàng </t>
    </r>
    <r>
      <rPr>
        <sz val="10"/>
        <rFont val="Noto Sans CJK SC"/>
        <family val="2"/>
      </rPr>
      <t xml:space="preserve">い </t>
    </r>
    <r>
      <rPr>
        <sz val="10"/>
        <rFont val="Arial"/>
        <family val="0"/>
        <charset val="1"/>
      </rPr>
      <t xml:space="preserve">sang hàng </t>
    </r>
    <r>
      <rPr>
        <sz val="10"/>
        <rFont val="Noto Sans CJK SC"/>
        <family val="2"/>
      </rPr>
      <t xml:space="preserve">あ</t>
    </r>
    <r>
      <rPr>
        <sz val="10"/>
        <rFont val="Arial"/>
        <family val="0"/>
        <charset val="1"/>
      </rPr>
      <t xml:space="preserve">. Riêng </t>
    </r>
    <r>
      <rPr>
        <sz val="10"/>
        <rFont val="Noto Sans CJK SC"/>
        <family val="2"/>
      </rPr>
      <t xml:space="preserve">買います → 買わない</t>
    </r>
    <r>
      <rPr>
        <sz val="10"/>
        <rFont val="Arial"/>
        <family val="0"/>
        <charset val="1"/>
      </rPr>
      <t xml:space="preserve">.</t>
    </r>
  </si>
  <si>
    <t xml:space="preserve">Bài 18</t>
  </si>
  <si>
    <t xml:space="preserve">Ngày 57–58</t>
  </si>
  <si>
    <t xml:space="preserve">Thể từ điển là gốc để tra từ điển. Nắm được thể này mới tự học tiếp được.</t>
  </si>
  <si>
    <t xml:space="preserve">Bài 19</t>
  </si>
  <si>
    <t xml:space="preserve">Ngày 59–61</t>
  </si>
  <si>
    <r>
      <rPr>
        <sz val="10"/>
        <rFont val="Arial"/>
        <family val="0"/>
        <charset val="1"/>
      </rPr>
      <t xml:space="preserve">Thể </t>
    </r>
    <r>
      <rPr>
        <sz val="10"/>
        <rFont val="Noto Sans CJK SC"/>
        <family val="2"/>
      </rPr>
      <t xml:space="preserve">た </t>
    </r>
    <r>
      <rPr>
        <sz val="10"/>
        <rFont val="Arial"/>
        <family val="0"/>
        <charset val="1"/>
      </rPr>
      <t xml:space="preserve">chia y hệt thể </t>
    </r>
    <r>
      <rPr>
        <sz val="10"/>
        <rFont val="Noto Sans CJK SC"/>
        <family val="2"/>
      </rPr>
      <t xml:space="preserve">て</t>
    </r>
    <r>
      <rPr>
        <sz val="10"/>
        <rFont val="Arial"/>
        <family val="0"/>
        <charset val="1"/>
      </rPr>
      <t xml:space="preserve">, chỉ đổi </t>
    </r>
    <r>
      <rPr>
        <sz val="10"/>
        <rFont val="Noto Sans CJK SC"/>
        <family val="2"/>
      </rPr>
      <t xml:space="preserve">て→た </t>
    </r>
    <r>
      <rPr>
        <sz val="10"/>
        <rFont val="Arial"/>
        <family val="0"/>
        <charset val="1"/>
      </rPr>
      <t xml:space="preserve">và </t>
    </r>
    <r>
      <rPr>
        <sz val="10"/>
        <rFont val="Noto Sans CJK SC"/>
        <family val="2"/>
      </rPr>
      <t xml:space="preserve">で→だ</t>
    </r>
    <r>
      <rPr>
        <sz val="10"/>
        <rFont val="Arial"/>
        <family val="0"/>
        <charset val="1"/>
      </rPr>
      <t xml:space="preserve">. Học </t>
    </r>
    <r>
      <rPr>
        <sz val="10"/>
        <rFont val="Noto Sans CJK SC"/>
        <family val="2"/>
      </rPr>
      <t xml:space="preserve">て </t>
    </r>
    <r>
      <rPr>
        <sz val="10"/>
        <rFont val="Arial"/>
        <family val="0"/>
        <charset val="1"/>
      </rPr>
      <t xml:space="preserve">là được luôn </t>
    </r>
    <r>
      <rPr>
        <sz val="10"/>
        <rFont val="Noto Sans CJK SC"/>
        <family val="2"/>
      </rPr>
      <t xml:space="preserve">た</t>
    </r>
    <r>
      <rPr>
        <sz val="10"/>
        <rFont val="Arial"/>
        <family val="0"/>
        <charset val="1"/>
      </rPr>
      <t xml:space="preserve">.</t>
    </r>
  </si>
  <si>
    <t xml:space="preserve">Bài 20</t>
  </si>
  <si>
    <t xml:space="preserve">Ngày 62–65</t>
  </si>
  <si>
    <t xml:space="preserve">Thể thông thường chỉ dùng với bạn thân và người nhà. Dùng nhầm với cấp trên là bất lịch sự.</t>
  </si>
  <si>
    <t xml:space="preserve">Bài 21</t>
  </si>
  <si>
    <t xml:space="preserve">Ngày 66–67</t>
  </si>
  <si>
    <r>
      <rPr>
        <sz val="10"/>
        <rFont val="Arial"/>
        <family val="0"/>
        <charset val="1"/>
      </rPr>
      <t xml:space="preserve">Trước </t>
    </r>
    <r>
      <rPr>
        <sz val="10"/>
        <rFont val="Noto Sans CJK SC"/>
        <family val="2"/>
      </rPr>
      <t xml:space="preserve">と 思います </t>
    </r>
    <r>
      <rPr>
        <sz val="10"/>
        <rFont val="Arial"/>
        <family val="0"/>
        <charset val="1"/>
      </rPr>
      <t xml:space="preserve">và </t>
    </r>
    <r>
      <rPr>
        <sz val="10"/>
        <rFont val="Noto Sans CJK SC"/>
        <family val="2"/>
      </rPr>
      <t xml:space="preserve">と 言います </t>
    </r>
    <r>
      <rPr>
        <sz val="10"/>
        <rFont val="Arial"/>
        <family val="0"/>
        <charset val="1"/>
      </rPr>
      <t xml:space="preserve">BẮT BUỘC dùng thể thông thường.</t>
    </r>
  </si>
  <si>
    <t xml:space="preserve">Bài 22</t>
  </si>
  <si>
    <t xml:space="preserve">Ngày 68–69</t>
  </si>
  <si>
    <r>
      <rPr>
        <sz val="10"/>
        <rFont val="Arial"/>
        <family val="0"/>
        <charset val="1"/>
      </rPr>
      <t xml:space="preserve">Mệnh đề bổ nghĩa là nền tảng để đọc câu dài. Chủ ngữ trong mệnh đề dùng </t>
    </r>
    <r>
      <rPr>
        <sz val="10"/>
        <rFont val="Noto Sans CJK SC"/>
        <family val="2"/>
      </rPr>
      <t xml:space="preserve">が</t>
    </r>
    <r>
      <rPr>
        <sz val="10"/>
        <rFont val="Arial"/>
        <family val="0"/>
        <charset val="1"/>
      </rPr>
      <t xml:space="preserve">, không dùng </t>
    </r>
    <r>
      <rPr>
        <sz val="10"/>
        <rFont val="Noto Sans CJK SC"/>
        <family val="2"/>
      </rPr>
      <t xml:space="preserve">は</t>
    </r>
    <r>
      <rPr>
        <sz val="10"/>
        <rFont val="Arial"/>
        <family val="0"/>
        <charset val="1"/>
      </rPr>
      <t xml:space="preserve">.</t>
    </r>
  </si>
  <si>
    <t xml:space="preserve">Bài 23</t>
  </si>
  <si>
    <t xml:space="preserve">Ngày 71–72</t>
  </si>
  <si>
    <r>
      <rPr>
        <sz val="10"/>
        <rFont val="Arial"/>
        <family val="0"/>
        <charset val="1"/>
      </rPr>
      <t xml:space="preserve">Vế sau của </t>
    </r>
    <r>
      <rPr>
        <sz val="10"/>
        <rFont val="Noto Sans CJK SC"/>
        <family val="2"/>
      </rPr>
      <t xml:space="preserve">〜と </t>
    </r>
    <r>
      <rPr>
        <sz val="10"/>
        <rFont val="Arial"/>
        <family val="0"/>
        <charset val="1"/>
      </rPr>
      <t xml:space="preserve">không được có ý chí, rủ rê hay mệnh lệnh.</t>
    </r>
  </si>
  <si>
    <t xml:space="preserve">Bài 24</t>
  </si>
  <si>
    <t xml:space="preserve">Ngày 73–74</t>
  </si>
  <si>
    <r>
      <rPr>
        <sz val="10"/>
        <rFont val="Noto Sans CJK SC"/>
        <family val="2"/>
      </rPr>
      <t xml:space="preserve">くれます </t>
    </r>
    <r>
      <rPr>
        <sz val="10"/>
        <rFont val="Arial"/>
        <family val="0"/>
        <charset val="1"/>
      </rPr>
      <t xml:space="preserve">chỉ dùng khi người nhận là tôi hoặc người nhà tôi. </t>
    </r>
    <r>
      <rPr>
        <sz val="10"/>
        <rFont val="Noto Sans CJK SC"/>
        <family val="2"/>
      </rPr>
      <t xml:space="preserve">てあげます </t>
    </r>
    <r>
      <rPr>
        <sz val="10"/>
        <rFont val="Arial"/>
        <family val="0"/>
        <charset val="1"/>
      </rPr>
      <t xml:space="preserve">nghe hơi ban ơn.</t>
    </r>
  </si>
  <si>
    <t xml:space="preserve">Bài 25</t>
  </si>
  <si>
    <t xml:space="preserve">Ngày 75–76</t>
  </si>
  <si>
    <r>
      <rPr>
        <sz val="10"/>
        <rFont val="Noto Sans CJK SC"/>
        <family val="2"/>
      </rPr>
      <t xml:space="preserve">たら </t>
    </r>
    <r>
      <rPr>
        <sz val="10"/>
        <rFont val="Arial"/>
        <family val="0"/>
        <charset val="1"/>
      </rPr>
      <t xml:space="preserve">là điều kiện linh hoạt nhất, dùng được với hầu hết mọi loại vế sau.</t>
    </r>
  </si>
  <si>
    <t xml:space="preserve">Các bài tô vàng (14, 17, 19, 20) được xếp 3 ngày thay vì 2, vì đây là các bài chia động từ — nền tảng của toàn bộ tiếng Nhật. Đừng vội qua bài khi chưa chia thành thạo.</t>
  </si>
  <si>
    <t xml:space="preserve">94 MẪU NGỮ PHÁP N5 THEO DANH SÁCH JLPT — dùng để rà soát lần cuối trước khi thi</t>
  </si>
  <si>
    <t xml:space="preserve">Đây là danh sách theo chuẩn JLPT, dùng để KIỂM TRA CHÉO với sheet '10. Ngữ pháp Minna'. Học chính theo Minna, còn bảng này dùng ở giai đoạn 3 để soát xem có mẫu nào bị bỏ sót.</t>
  </si>
  <si>
    <t xml:space="preserve">Ý nghĩa / Cách dùng</t>
  </si>
  <si>
    <t xml:space="preserve">Trợ từ chỉ chủ đề (topic marker)</t>
  </si>
  <si>
    <t xml:space="preserve">Trợ từ chỉ chủ ngữ</t>
  </si>
  <si>
    <t xml:space="preserve">Trợ từ chỉ tân ngữ (đối tượng của động từ)</t>
  </si>
  <si>
    <t xml:space="preserve">Chỉ thời gian / địa điểm / phương hướng</t>
  </si>
  <si>
    <t xml:space="preserve">Chỉ địa điểm hành động / phương tiện</t>
  </si>
  <si>
    <t xml:space="preserve">Chỉ phương hướng, hướng đến</t>
  </si>
  <si>
    <t xml:space="preserve">Sở hữu cách / bổ nghĩa danh từ</t>
  </si>
  <si>
    <t xml:space="preserve">Và / cùng với</t>
  </si>
  <si>
    <t xml:space="preserve">Trợ từ nghi vấn (thân mật)</t>
  </si>
  <si>
    <t xml:space="preserve">Cũng, cũng...luôn</t>
  </si>
  <si>
    <t xml:space="preserve">〜ましょう</t>
  </si>
  <si>
    <t xml:space="preserve">Rủ rê, đề nghị cùng làm (Hãy...)</t>
  </si>
  <si>
    <t xml:space="preserve">〜てください</t>
  </si>
  <si>
    <t xml:space="preserve">Xin hãy làm...</t>
  </si>
  <si>
    <t xml:space="preserve">〜ている</t>
  </si>
  <si>
    <t xml:space="preserve">Đang làm / trạng thái tiếp diễn</t>
  </si>
  <si>
    <t xml:space="preserve">〜てから</t>
  </si>
  <si>
    <t xml:space="preserve">Sau khi làm... thì</t>
  </si>
  <si>
    <t xml:space="preserve">Dù cho, mặc dù</t>
  </si>
  <si>
    <t xml:space="preserve">いる</t>
  </si>
  <si>
    <t xml:space="preserve">Tồn tại (vật có sự sống)</t>
  </si>
  <si>
    <t xml:space="preserve">ある</t>
  </si>
  <si>
    <t xml:space="preserve">Tồn tại (vật vô tri)</t>
  </si>
  <si>
    <t xml:space="preserve">Muốn làm gì (cho bản thân)</t>
  </si>
  <si>
    <r>
      <rPr>
        <b val="true"/>
        <sz val="12"/>
        <rFont val="Noto Sans CJK SC"/>
        <family val="2"/>
      </rPr>
      <t xml:space="preserve">欲しい </t>
    </r>
    <r>
      <rPr>
        <b val="true"/>
        <sz val="12"/>
        <rFont val="Arial"/>
        <family val="0"/>
        <charset val="1"/>
      </rPr>
      <t xml:space="preserve">/ </t>
    </r>
    <r>
      <rPr>
        <b val="true"/>
        <sz val="12"/>
        <rFont val="Noto Sans CJK SC"/>
        <family val="2"/>
      </rPr>
      <t xml:space="preserve">ほしい</t>
    </r>
  </si>
  <si>
    <t xml:space="preserve">Muốn có (vật)</t>
  </si>
  <si>
    <t xml:space="preserve">〜ことができる</t>
  </si>
  <si>
    <t xml:space="preserve">Có thể làm...</t>
  </si>
  <si>
    <r>
      <rPr>
        <b val="true"/>
        <sz val="12"/>
        <rFont val="Noto Sans CJK SC"/>
        <family val="2"/>
      </rPr>
      <t xml:space="preserve">好きだ </t>
    </r>
    <r>
      <rPr>
        <b val="true"/>
        <sz val="12"/>
        <rFont val="Arial"/>
        <family val="0"/>
        <charset val="1"/>
      </rPr>
      <t xml:space="preserve">/ </t>
    </r>
    <r>
      <rPr>
        <b val="true"/>
        <sz val="12"/>
        <rFont val="Noto Sans CJK SC"/>
        <family val="2"/>
      </rPr>
      <t xml:space="preserve">すきだ</t>
    </r>
  </si>
  <si>
    <r>
      <rPr>
        <b val="true"/>
        <sz val="12"/>
        <rFont val="Noto Sans CJK SC"/>
        <family val="2"/>
      </rPr>
      <t xml:space="preserve">嫌いだ </t>
    </r>
    <r>
      <rPr>
        <b val="true"/>
        <sz val="12"/>
        <rFont val="Arial"/>
        <family val="0"/>
        <charset val="1"/>
      </rPr>
      <t xml:space="preserve">/ </t>
    </r>
    <r>
      <rPr>
        <b val="true"/>
        <sz val="12"/>
        <rFont val="Noto Sans CJK SC"/>
        <family val="2"/>
      </rPr>
      <t xml:space="preserve">きらいだ</t>
    </r>
  </si>
  <si>
    <t xml:space="preserve">Ghét, không thích</t>
  </si>
  <si>
    <r>
      <rPr>
        <b val="true"/>
        <sz val="12"/>
        <rFont val="Noto Sans CJK SC"/>
        <family val="2"/>
      </rPr>
      <t xml:space="preserve">分かる </t>
    </r>
    <r>
      <rPr>
        <b val="true"/>
        <sz val="12"/>
        <rFont val="Arial"/>
        <family val="0"/>
        <charset val="1"/>
      </rPr>
      <t xml:space="preserve">/ </t>
    </r>
    <r>
      <rPr>
        <b val="true"/>
        <sz val="12"/>
        <rFont val="Noto Sans CJK SC"/>
        <family val="2"/>
      </rPr>
      <t xml:space="preserve">わかる</t>
    </r>
  </si>
  <si>
    <t xml:space="preserve">Hiểu, biết</t>
  </si>
  <si>
    <r>
      <rPr>
        <b val="true"/>
        <sz val="12"/>
        <rFont val="Noto Sans CJK SC"/>
        <family val="2"/>
      </rPr>
      <t xml:space="preserve">要る </t>
    </r>
    <r>
      <rPr>
        <b val="true"/>
        <sz val="12"/>
        <rFont val="Arial"/>
        <family val="0"/>
        <charset val="1"/>
      </rPr>
      <t xml:space="preserve">/ </t>
    </r>
    <r>
      <rPr>
        <b val="true"/>
        <sz val="12"/>
        <rFont val="Noto Sans CJK SC"/>
        <family val="2"/>
      </rPr>
      <t xml:space="preserve">いる</t>
    </r>
  </si>
  <si>
    <r>
      <rPr>
        <b val="true"/>
        <sz val="12"/>
        <rFont val="Noto Sans CJK SC"/>
        <family val="2"/>
      </rPr>
      <t xml:space="preserve">〜くらい </t>
    </r>
    <r>
      <rPr>
        <b val="true"/>
        <sz val="12"/>
        <rFont val="Arial"/>
        <family val="0"/>
        <charset val="1"/>
      </rPr>
      <t xml:space="preserve">/ </t>
    </r>
    <r>
      <rPr>
        <b val="true"/>
        <sz val="12"/>
        <rFont val="Noto Sans CJK SC"/>
        <family val="2"/>
      </rPr>
      <t xml:space="preserve">ぐらい</t>
    </r>
  </si>
  <si>
    <t xml:space="preserve">Khoảng, chừng</t>
  </si>
  <si>
    <t xml:space="preserve">〜ごろ</t>
  </si>
  <si>
    <t xml:space="preserve">Vào khoảng (thời điểm)</t>
  </si>
  <si>
    <t xml:space="preserve">〜しか〜ない</t>
  </si>
  <si>
    <t xml:space="preserve">Chỉ... (đi với phủ định)</t>
  </si>
  <si>
    <t xml:space="preserve">そして</t>
  </si>
  <si>
    <t xml:space="preserve">Và sau đó, và rồi</t>
  </si>
  <si>
    <t xml:space="preserve">それから</t>
  </si>
  <si>
    <t xml:space="preserve">Sau đó, tiếp theo</t>
  </si>
  <si>
    <r>
      <rPr>
        <b val="true"/>
        <sz val="12"/>
        <rFont val="Noto Sans CJK SC"/>
        <family val="2"/>
      </rPr>
      <t xml:space="preserve">が </t>
    </r>
    <r>
      <rPr>
        <b val="true"/>
        <sz val="12"/>
        <rFont val="Arial"/>
        <family val="0"/>
        <charset val="1"/>
      </rPr>
      <t xml:space="preserve">(nhưng)</t>
    </r>
  </si>
  <si>
    <t xml:space="preserve">Nhưng, tuy nhiên</t>
  </si>
  <si>
    <t xml:space="preserve">どう</t>
  </si>
  <si>
    <t xml:space="preserve">Như thế nào</t>
  </si>
  <si>
    <t xml:space="preserve">〜より</t>
  </si>
  <si>
    <t xml:space="preserve">So với...</t>
  </si>
  <si>
    <t xml:space="preserve">〜のほうが〜より</t>
  </si>
  <si>
    <t xml:space="preserve">...thì hơn là...</t>
  </si>
  <si>
    <r>
      <rPr>
        <b val="true"/>
        <sz val="12"/>
        <rFont val="Noto Sans CJK SC"/>
        <family val="2"/>
      </rPr>
      <t xml:space="preserve">一番 </t>
    </r>
    <r>
      <rPr>
        <b val="true"/>
        <sz val="12"/>
        <rFont val="Arial"/>
        <family val="0"/>
        <charset val="1"/>
      </rPr>
      <t xml:space="preserve">/ </t>
    </r>
    <r>
      <rPr>
        <b val="true"/>
        <sz val="12"/>
        <rFont val="Noto Sans CJK SC"/>
        <family val="2"/>
      </rPr>
      <t xml:space="preserve">いちばん</t>
    </r>
  </si>
  <si>
    <t xml:space="preserve">Nhất, nhất là</t>
  </si>
  <si>
    <r>
      <rPr>
        <b val="true"/>
        <sz val="12"/>
        <rFont val="Noto Sans CJK SC"/>
        <family val="2"/>
      </rPr>
      <t xml:space="preserve">〜前に </t>
    </r>
    <r>
      <rPr>
        <b val="true"/>
        <sz val="12"/>
        <rFont val="Arial"/>
        <family val="0"/>
        <charset val="1"/>
      </rPr>
      <t xml:space="preserve">/ </t>
    </r>
    <r>
      <rPr>
        <b val="true"/>
        <sz val="12"/>
        <rFont val="Noto Sans CJK SC"/>
        <family val="2"/>
      </rPr>
      <t xml:space="preserve">まえに</t>
    </r>
  </si>
  <si>
    <t xml:space="preserve">Trước khi...</t>
  </si>
  <si>
    <t xml:space="preserve">〜から</t>
  </si>
  <si>
    <t xml:space="preserve">Từ..., vì...</t>
  </si>
  <si>
    <t xml:space="preserve">〜まで</t>
  </si>
  <si>
    <t xml:space="preserve">Đến, cho tới</t>
  </si>
  <si>
    <r>
      <rPr>
        <b val="true"/>
        <sz val="12"/>
        <rFont val="Noto Sans CJK SC"/>
        <family val="2"/>
      </rPr>
      <t xml:space="preserve">〜間 </t>
    </r>
    <r>
      <rPr>
        <b val="true"/>
        <sz val="12"/>
        <rFont val="Arial"/>
        <family val="0"/>
        <charset val="1"/>
      </rPr>
      <t xml:space="preserve">/ </t>
    </r>
    <r>
      <rPr>
        <b val="true"/>
        <sz val="12"/>
        <rFont val="Noto Sans CJK SC"/>
        <family val="2"/>
      </rPr>
      <t xml:space="preserve">あいだ</t>
    </r>
    <r>
      <rPr>
        <b val="true"/>
        <sz val="12"/>
        <rFont val="Arial"/>
        <family val="0"/>
        <charset val="1"/>
      </rPr>
      <t xml:space="preserve">(</t>
    </r>
    <r>
      <rPr>
        <b val="true"/>
        <sz val="12"/>
        <rFont val="Noto Sans CJK SC"/>
        <family val="2"/>
      </rPr>
      <t xml:space="preserve">に</t>
    </r>
    <r>
      <rPr>
        <b val="true"/>
        <sz val="12"/>
        <rFont val="Arial"/>
        <family val="0"/>
        <charset val="1"/>
      </rPr>
      <t xml:space="preserve">)</t>
    </r>
  </si>
  <si>
    <t xml:space="preserve">Trong lúc, trong khi</t>
  </si>
  <si>
    <t xml:space="preserve">あまり〜ない</t>
  </si>
  <si>
    <t xml:space="preserve">Không...lắm</t>
  </si>
  <si>
    <t xml:space="preserve">〜ね</t>
  </si>
  <si>
    <t xml:space="preserve">Trợ từ xác nhận cuối câu (nhỉ, nhé)</t>
  </si>
  <si>
    <t xml:space="preserve">〜な</t>
  </si>
  <si>
    <t xml:space="preserve">Đừng làm... (cấm đoán, thân mật)</t>
  </si>
  <si>
    <t xml:space="preserve">〜など</t>
  </si>
  <si>
    <t xml:space="preserve">Vân vân, những thứ như...</t>
  </si>
  <si>
    <t xml:space="preserve">もう</t>
  </si>
  <si>
    <t xml:space="preserve">Đã... rồi (việc đã hoàn thành)</t>
  </si>
  <si>
    <t xml:space="preserve">まだ</t>
  </si>
  <si>
    <t xml:space="preserve">Vẫn chưa, vẫn còn</t>
  </si>
  <si>
    <t xml:space="preserve">〜か</t>
  </si>
  <si>
    <t xml:space="preserve">Hay là (lựa chọn A hoặc B)</t>
  </si>
  <si>
    <r>
      <rPr>
        <b val="true"/>
        <sz val="12"/>
        <rFont val="Noto Sans CJK SC"/>
        <family val="2"/>
      </rPr>
      <t xml:space="preserve">に </t>
    </r>
    <r>
      <rPr>
        <b val="true"/>
        <sz val="12"/>
        <rFont val="Arial"/>
        <family val="0"/>
        <charset val="1"/>
      </rPr>
      <t xml:space="preserve">(đối tượng)</t>
    </r>
  </si>
  <si>
    <t xml:space="preserve">Trợ từ chỉ đối tượng nhận (cho/tới)</t>
  </si>
  <si>
    <r>
      <rPr>
        <b val="true"/>
        <sz val="12"/>
        <rFont val="Noto Sans CJK SC"/>
        <family val="2"/>
      </rPr>
      <t xml:space="preserve">に </t>
    </r>
    <r>
      <rPr>
        <b val="true"/>
        <sz val="12"/>
        <rFont val="Arial"/>
        <family val="0"/>
        <charset val="1"/>
      </rPr>
      <t xml:space="preserve">(tồn tại)</t>
    </r>
  </si>
  <si>
    <t xml:space="preserve">Chỉ vị trí tồn tại (ở, tại)</t>
  </si>
  <si>
    <r>
      <rPr>
        <b val="true"/>
        <sz val="12"/>
        <rFont val="Noto Sans CJK SC"/>
        <family val="2"/>
      </rPr>
      <t xml:space="preserve">に </t>
    </r>
    <r>
      <rPr>
        <b val="true"/>
        <sz val="12"/>
        <rFont val="Arial"/>
        <family val="0"/>
        <charset val="1"/>
      </rPr>
      <t xml:space="preserve">(hướng đến)</t>
    </r>
  </si>
  <si>
    <t xml:space="preserve">Chỉ phương hướng đến</t>
  </si>
  <si>
    <r>
      <rPr>
        <b val="true"/>
        <sz val="12"/>
        <rFont val="Noto Sans CJK SC"/>
        <family val="2"/>
      </rPr>
      <t xml:space="preserve">に </t>
    </r>
    <r>
      <rPr>
        <b val="true"/>
        <sz val="12"/>
        <rFont val="Arial"/>
        <family val="0"/>
        <charset val="1"/>
      </rPr>
      <t xml:space="preserve">(tiếp xúc bề mặt)</t>
    </r>
  </si>
  <si>
    <t xml:space="preserve">Chỉ vị trí đặt lên trên bề mặt</t>
  </si>
  <si>
    <r>
      <rPr>
        <b val="true"/>
        <sz val="12"/>
        <rFont val="Noto Sans CJK SC"/>
        <family val="2"/>
      </rPr>
      <t xml:space="preserve">を </t>
    </r>
    <r>
      <rPr>
        <b val="true"/>
        <sz val="12"/>
        <rFont val="Arial"/>
        <family val="0"/>
        <charset val="1"/>
      </rPr>
      <t xml:space="preserve">(đường di chuyển)</t>
    </r>
  </si>
  <si>
    <t xml:space="preserve">Chỉ đường đi qua / dọc theo</t>
  </si>
  <si>
    <r>
      <rPr>
        <b val="true"/>
        <sz val="12"/>
        <rFont val="Noto Sans CJK SC"/>
        <family val="2"/>
      </rPr>
      <t xml:space="preserve">で </t>
    </r>
    <r>
      <rPr>
        <b val="true"/>
        <sz val="12"/>
        <rFont val="Arial"/>
        <family val="0"/>
        <charset val="1"/>
      </rPr>
      <t xml:space="preserve">(phương tiện)</t>
    </r>
  </si>
  <si>
    <t xml:space="preserve">Bằng, bởi (công cụ, phương tiện)</t>
  </si>
  <si>
    <t xml:space="preserve">こと</t>
  </si>
  <si>
    <t xml:space="preserve">Danh từ hóa động từ (việc, sự)</t>
  </si>
  <si>
    <r>
      <rPr>
        <b val="true"/>
        <sz val="12"/>
        <rFont val="Noto Sans CJK SC"/>
        <family val="2"/>
      </rPr>
      <t xml:space="preserve">〜方 </t>
    </r>
    <r>
      <rPr>
        <b val="true"/>
        <sz val="12"/>
        <rFont val="Arial"/>
        <family val="0"/>
        <charset val="1"/>
      </rPr>
      <t xml:space="preserve">/ </t>
    </r>
    <r>
      <rPr>
        <b val="true"/>
        <sz val="12"/>
        <rFont val="Noto Sans CJK SC"/>
        <family val="2"/>
      </rPr>
      <t xml:space="preserve">かた</t>
    </r>
  </si>
  <si>
    <t xml:space="preserve">Cách làm...</t>
  </si>
  <si>
    <r>
      <rPr>
        <b val="true"/>
        <sz val="12"/>
        <rFont val="Noto Sans CJK SC"/>
        <family val="2"/>
      </rPr>
      <t xml:space="preserve">来る </t>
    </r>
    <r>
      <rPr>
        <b val="true"/>
        <sz val="12"/>
        <rFont val="Arial"/>
        <family val="0"/>
        <charset val="1"/>
      </rPr>
      <t xml:space="preserve">/ </t>
    </r>
    <r>
      <rPr>
        <b val="true"/>
        <sz val="12"/>
        <rFont val="Noto Sans CJK SC"/>
        <family val="2"/>
      </rPr>
      <t xml:space="preserve">くる</t>
    </r>
  </si>
  <si>
    <t xml:space="preserve">する</t>
  </si>
  <si>
    <t xml:space="preserve">Làm, chơi (môn thể thao...)</t>
  </si>
  <si>
    <t xml:space="preserve">〜たり〜たりする</t>
  </si>
  <si>
    <t xml:space="preserve">Khi thì..., khi thì... (liệt kê hành động)</t>
  </si>
  <si>
    <t xml:space="preserve">〜て</t>
  </si>
  <si>
    <r>
      <rPr>
        <sz val="10"/>
        <rFont val="Arial"/>
        <family val="0"/>
        <charset val="1"/>
      </rPr>
      <t xml:space="preserve">Thể </t>
    </r>
    <r>
      <rPr>
        <sz val="10"/>
        <rFont val="Noto Sans CJK SC"/>
        <family val="2"/>
      </rPr>
      <t xml:space="preserve">て </t>
    </r>
    <r>
      <rPr>
        <sz val="10"/>
        <rFont val="Arial"/>
        <family val="0"/>
        <charset val="1"/>
      </rPr>
      <t xml:space="preserve">nối câu / diễn tả hành động liên tiếp</t>
    </r>
  </si>
  <si>
    <r>
      <rPr>
        <b val="true"/>
        <sz val="12"/>
        <rFont val="Noto Sans CJK SC"/>
        <family val="2"/>
      </rPr>
      <t xml:space="preserve">〜時 </t>
    </r>
    <r>
      <rPr>
        <b val="true"/>
        <sz val="12"/>
        <rFont val="Arial"/>
        <family val="0"/>
        <charset val="1"/>
      </rPr>
      <t xml:space="preserve">/ </t>
    </r>
    <r>
      <rPr>
        <b val="true"/>
        <sz val="12"/>
        <rFont val="Noto Sans CJK SC"/>
        <family val="2"/>
      </rPr>
      <t xml:space="preserve">とき</t>
    </r>
  </si>
  <si>
    <t xml:space="preserve">Khi, lúc</t>
  </si>
  <si>
    <r>
      <rPr>
        <b val="true"/>
        <sz val="12"/>
        <rFont val="Noto Sans CJK SC"/>
        <family val="2"/>
      </rPr>
      <t xml:space="preserve">と </t>
    </r>
    <r>
      <rPr>
        <b val="true"/>
        <sz val="12"/>
        <rFont val="Arial"/>
        <family val="0"/>
        <charset val="1"/>
      </rPr>
      <t xml:space="preserve">(trích dẫn)</t>
    </r>
  </si>
  <si>
    <t xml:space="preserve">Trích dẫn lời nói / âm thanh</t>
  </si>
  <si>
    <t xml:space="preserve">あげる</t>
  </si>
  <si>
    <t xml:space="preserve">Cho, tặng (cho người ngang hàng)</t>
  </si>
  <si>
    <r>
      <rPr>
        <b val="true"/>
        <sz val="12"/>
        <rFont val="Noto Sans CJK SC"/>
        <family val="2"/>
      </rPr>
      <t xml:space="preserve">で </t>
    </r>
    <r>
      <rPr>
        <b val="true"/>
        <sz val="12"/>
        <rFont val="Arial"/>
        <family val="0"/>
        <charset val="1"/>
      </rPr>
      <t xml:space="preserve">(vì)</t>
    </r>
  </si>
  <si>
    <r>
      <rPr>
        <sz val="10"/>
        <rFont val="Arial"/>
        <family val="0"/>
        <charset val="1"/>
      </rPr>
      <t xml:space="preserve">Vì, do (thể </t>
    </r>
    <r>
      <rPr>
        <sz val="10"/>
        <rFont val="Noto Sans CJK SC"/>
        <family val="2"/>
      </rPr>
      <t xml:space="preserve">て </t>
    </r>
    <r>
      <rPr>
        <sz val="10"/>
        <rFont val="Arial"/>
        <family val="0"/>
        <charset val="1"/>
      </rPr>
      <t xml:space="preserve">của </t>
    </r>
    <r>
      <rPr>
        <sz val="10"/>
        <rFont val="Noto Sans CJK SC"/>
        <family val="2"/>
      </rPr>
      <t xml:space="preserve">です</t>
    </r>
    <r>
      <rPr>
        <sz val="10"/>
        <rFont val="Arial"/>
        <family val="0"/>
        <charset val="1"/>
      </rPr>
      <t xml:space="preserve">)</t>
    </r>
  </si>
  <si>
    <r>
      <rPr>
        <b val="true"/>
        <sz val="12"/>
        <rFont val="Noto Sans CJK SC"/>
        <family val="2"/>
      </rPr>
      <t xml:space="preserve">で </t>
    </r>
    <r>
      <rPr>
        <b val="true"/>
        <sz val="12"/>
        <rFont val="Arial"/>
        <family val="0"/>
        <charset val="1"/>
      </rPr>
      <t xml:space="preserve">(giới hạn thời gian)</t>
    </r>
  </si>
  <si>
    <t xml:space="preserve">Trong vòng, vào lúc kết thúc</t>
  </si>
  <si>
    <r>
      <rPr>
        <b val="true"/>
        <sz val="12"/>
        <rFont val="Noto Sans CJK SC"/>
        <family val="2"/>
      </rPr>
      <t xml:space="preserve">行く </t>
    </r>
    <r>
      <rPr>
        <b val="true"/>
        <sz val="12"/>
        <rFont val="Arial"/>
        <family val="0"/>
        <charset val="1"/>
      </rPr>
      <t xml:space="preserve">/ </t>
    </r>
    <r>
      <rPr>
        <b val="true"/>
        <sz val="12"/>
        <rFont val="Noto Sans CJK SC"/>
        <family val="2"/>
      </rPr>
      <t xml:space="preserve">いく</t>
    </r>
  </si>
  <si>
    <r>
      <rPr>
        <b val="true"/>
        <sz val="12"/>
        <rFont val="Noto Sans CJK SC"/>
        <family val="2"/>
      </rPr>
      <t xml:space="preserve">〜か </t>
    </r>
    <r>
      <rPr>
        <b val="true"/>
        <sz val="12"/>
        <rFont val="Arial"/>
        <family val="0"/>
        <charset val="1"/>
      </rPr>
      <t xml:space="preserve">(nghi vấn gián tiếp)</t>
    </r>
  </si>
  <si>
    <t xml:space="preserve">Có... hay không (câu hỏi lồng)</t>
  </si>
  <si>
    <r>
      <rPr>
        <b val="true"/>
        <sz val="12"/>
        <rFont val="Noto Sans CJK SC"/>
        <family val="2"/>
      </rPr>
      <t xml:space="preserve">こと </t>
    </r>
    <r>
      <rPr>
        <b val="true"/>
        <sz val="12"/>
        <rFont val="Arial"/>
        <family val="0"/>
        <charset val="1"/>
      </rPr>
      <t xml:space="preserve">(sự việc)</t>
    </r>
  </si>
  <si>
    <t xml:space="preserve">Sự việc, điều (trừu tượng)</t>
  </si>
  <si>
    <r>
      <rPr>
        <b val="true"/>
        <sz val="12"/>
        <rFont val="Noto Sans CJK SC"/>
        <family val="2"/>
      </rPr>
      <t xml:space="preserve">毎 </t>
    </r>
    <r>
      <rPr>
        <b val="true"/>
        <sz val="12"/>
        <rFont val="Arial"/>
        <family val="0"/>
        <charset val="1"/>
      </rPr>
      <t xml:space="preserve">/ </t>
    </r>
    <r>
      <rPr>
        <b val="true"/>
        <sz val="12"/>
        <rFont val="Noto Sans CJK SC"/>
        <family val="2"/>
      </rPr>
      <t xml:space="preserve">まい</t>
    </r>
  </si>
  <si>
    <r>
      <rPr>
        <b val="true"/>
        <sz val="12"/>
        <rFont val="Noto Sans CJK SC"/>
        <family val="2"/>
      </rPr>
      <t xml:space="preserve">も </t>
    </r>
    <r>
      <rPr>
        <b val="true"/>
        <sz val="12"/>
        <rFont val="Arial"/>
        <family val="0"/>
        <charset val="1"/>
      </rPr>
      <t xml:space="preserve">(nhấn mạnh số lượng)</t>
    </r>
  </si>
  <si>
    <t xml:space="preserve">Đến tận, những... (nhấn mạnh số lượng)</t>
  </si>
  <si>
    <t xml:space="preserve">〜も〜も</t>
  </si>
  <si>
    <t xml:space="preserve">Cả... và..., không... cũng không...</t>
  </si>
  <si>
    <r>
      <rPr>
        <b val="true"/>
        <sz val="12"/>
        <rFont val="Noto Sans CJK SC"/>
        <family val="2"/>
      </rPr>
      <t xml:space="preserve">に </t>
    </r>
    <r>
      <rPr>
        <b val="true"/>
        <sz val="12"/>
        <rFont val="Arial"/>
        <family val="0"/>
        <charset val="1"/>
      </rPr>
      <t xml:space="preserve">(chủ thể hành động bị động)</t>
    </r>
  </si>
  <si>
    <t xml:space="preserve">Bởi (chủ thể trong câu bị động/sai khiến)</t>
  </si>
  <si>
    <r>
      <rPr>
        <b val="true"/>
        <sz val="12"/>
        <rFont val="Noto Sans CJK SC"/>
        <family val="2"/>
      </rPr>
      <t xml:space="preserve">の </t>
    </r>
    <r>
      <rPr>
        <b val="true"/>
        <sz val="12"/>
        <rFont val="Arial"/>
        <family val="0"/>
        <charset val="1"/>
      </rPr>
      <t xml:space="preserve">(đại từ phiếm chỉ)</t>
    </r>
  </si>
  <si>
    <t xml:space="preserve">Cái, thứ (thay thế danh từ)</t>
  </si>
  <si>
    <r>
      <rPr>
        <b val="true"/>
        <sz val="12"/>
        <rFont val="Noto Sans CJK SC"/>
        <family val="2"/>
      </rPr>
      <t xml:space="preserve">の </t>
    </r>
    <r>
      <rPr>
        <b val="true"/>
        <sz val="12"/>
        <rFont val="Arial"/>
        <family val="0"/>
        <charset val="1"/>
      </rPr>
      <t xml:space="preserve">(danh từ hóa)</t>
    </r>
  </si>
  <si>
    <t xml:space="preserve">Việc, điều (danh từ hóa câu)</t>
  </si>
  <si>
    <r>
      <rPr>
        <b val="true"/>
        <sz val="12"/>
        <rFont val="Noto Sans CJK SC"/>
        <family val="2"/>
      </rPr>
      <t xml:space="preserve">〜の </t>
    </r>
    <r>
      <rPr>
        <b val="true"/>
        <sz val="12"/>
        <rFont val="Arial"/>
        <family val="0"/>
        <charset val="1"/>
      </rPr>
      <t xml:space="preserve">(cuối câu)</t>
    </r>
  </si>
  <si>
    <t xml:space="preserve">Là... đấy (kết thúc câu, giọng nữ/trẻ)</t>
  </si>
  <si>
    <t xml:space="preserve">お〜</t>
  </si>
  <si>
    <t xml:space="preserve">Tiền tố lịch sự / kính ngữ</t>
  </si>
  <si>
    <r>
      <rPr>
        <b val="true"/>
        <sz val="12"/>
        <rFont val="Noto Sans CJK SC"/>
        <family val="2"/>
      </rPr>
      <t xml:space="preserve">を </t>
    </r>
    <r>
      <rPr>
        <b val="true"/>
        <sz val="12"/>
        <rFont val="Arial"/>
        <family val="0"/>
        <charset val="1"/>
      </rPr>
      <t xml:space="preserve">(điểm xuất phát)</t>
    </r>
  </si>
  <si>
    <t xml:space="preserve">Từ, ra khỏi (điểm bắt đầu di chuyển)</t>
  </si>
  <si>
    <r>
      <rPr>
        <b val="true"/>
        <sz val="12"/>
        <rFont val="Noto Sans CJK SC"/>
        <family val="2"/>
      </rPr>
      <t xml:space="preserve">多い </t>
    </r>
    <r>
      <rPr>
        <b val="true"/>
        <sz val="12"/>
        <rFont val="Arial"/>
        <family val="0"/>
        <charset val="1"/>
      </rPr>
      <t xml:space="preserve">/ </t>
    </r>
    <r>
      <rPr>
        <b val="true"/>
        <sz val="12"/>
        <rFont val="Noto Sans CJK SC"/>
        <family val="2"/>
      </rPr>
      <t xml:space="preserve">おおい</t>
    </r>
  </si>
  <si>
    <t xml:space="preserve">Mệnh đề quan hệ</t>
  </si>
  <si>
    <t xml:space="preserve">Bổ nghĩa danh từ bằng một mệnh đề động từ</t>
  </si>
  <si>
    <r>
      <rPr>
        <b val="true"/>
        <sz val="12"/>
        <rFont val="Noto Sans CJK SC"/>
        <family val="2"/>
      </rPr>
      <t xml:space="preserve">少ない </t>
    </r>
    <r>
      <rPr>
        <b val="true"/>
        <sz val="12"/>
        <rFont val="Arial"/>
        <family val="0"/>
        <charset val="1"/>
      </rPr>
      <t xml:space="preserve">/ </t>
    </r>
    <r>
      <rPr>
        <b val="true"/>
        <sz val="12"/>
        <rFont val="Noto Sans CJK SC"/>
        <family val="2"/>
      </rPr>
      <t xml:space="preserve">すくない</t>
    </r>
  </si>
  <si>
    <r>
      <rPr>
        <b val="true"/>
        <sz val="12"/>
        <rFont val="Noto Sans CJK SC"/>
        <family val="2"/>
      </rPr>
      <t xml:space="preserve">する </t>
    </r>
    <r>
      <rPr>
        <b val="true"/>
        <sz val="12"/>
        <rFont val="Arial"/>
        <family val="0"/>
        <charset val="1"/>
      </rPr>
      <t xml:space="preserve">(mang tính chất)</t>
    </r>
  </si>
  <si>
    <t xml:space="preserve">Có (đặc điểm mang tính bán cố định)</t>
  </si>
  <si>
    <r>
      <rPr>
        <b val="true"/>
        <sz val="12"/>
        <rFont val="Noto Sans CJK SC"/>
        <family val="2"/>
      </rPr>
      <t xml:space="preserve">と </t>
    </r>
    <r>
      <rPr>
        <b val="true"/>
        <sz val="12"/>
        <rFont val="Arial"/>
        <family val="0"/>
        <charset val="1"/>
      </rPr>
      <t xml:space="preserve">(tương hỗ)</t>
    </r>
  </si>
  <si>
    <t xml:space="preserve">Với, cùng (hành động tương hỗ)</t>
  </si>
  <si>
    <r>
      <rPr>
        <b val="true"/>
        <sz val="12"/>
        <rFont val="Noto Sans CJK SC"/>
        <family val="2"/>
      </rPr>
      <t xml:space="preserve">〜屋 </t>
    </r>
    <r>
      <rPr>
        <b val="true"/>
        <sz val="12"/>
        <rFont val="Arial"/>
        <family val="0"/>
        <charset val="1"/>
      </rPr>
      <t xml:space="preserve">/ </t>
    </r>
    <r>
      <rPr>
        <b val="true"/>
        <sz val="12"/>
        <rFont val="Noto Sans CJK SC"/>
        <family val="2"/>
      </rPr>
      <t xml:space="preserve">や</t>
    </r>
  </si>
  <si>
    <t xml:space="preserve">Cửa hàng, người bán...</t>
  </si>
  <si>
    <t xml:space="preserve">Và, hoặc (liệt kê không đầy đủ)</t>
  </si>
  <si>
    <t xml:space="preserve">〜ので</t>
  </si>
  <si>
    <t xml:space="preserve">Vì, bởi vì (trang trọng)</t>
  </si>
  <si>
    <t xml:space="preserve">〜てもいい</t>
  </si>
  <si>
    <t xml:space="preserve">Được phép làm... / Không cần phải...</t>
  </si>
  <si>
    <t xml:space="preserve">〜にする</t>
  </si>
  <si>
    <t xml:space="preserve">Quyết định chọn...</t>
  </si>
  <si>
    <t xml:space="preserve">けれども</t>
  </si>
  <si>
    <t xml:space="preserve">〜わけではない</t>
  </si>
  <si>
    <t xml:space="preserve">Không có nghĩa là..., không phải là...</t>
  </si>
  <si>
    <t xml:space="preserve">である</t>
  </si>
  <si>
    <t xml:space="preserve">Là (thể quá khứ trang trọng)</t>
  </si>
  <si>
    <r>
      <rPr>
        <b val="true"/>
        <sz val="12"/>
        <rFont val="Arial"/>
        <family val="0"/>
        <charset val="1"/>
      </rPr>
      <t xml:space="preserve">V-</t>
    </r>
    <r>
      <rPr>
        <b val="true"/>
        <sz val="12"/>
        <rFont val="Noto Sans CJK SC"/>
        <family val="2"/>
      </rPr>
      <t xml:space="preserve">ます </t>
    </r>
    <r>
      <rPr>
        <b val="true"/>
        <sz val="12"/>
        <rFont val="Arial"/>
        <family val="0"/>
        <charset val="1"/>
      </rPr>
      <t xml:space="preserve">(danh từ hóa)</t>
    </r>
  </si>
  <si>
    <r>
      <rPr>
        <sz val="10"/>
        <rFont val="Arial"/>
        <family val="0"/>
        <charset val="1"/>
      </rPr>
      <t xml:space="preserve">Dạng </t>
    </r>
    <r>
      <rPr>
        <sz val="10"/>
        <rFont val="Noto Sans CJK SC"/>
        <family val="2"/>
      </rPr>
      <t xml:space="preserve">ます </t>
    </r>
    <r>
      <rPr>
        <sz val="10"/>
        <rFont val="Arial"/>
        <family val="0"/>
        <charset val="1"/>
      </rPr>
      <t xml:space="preserve">dùng như danh từ</t>
    </r>
  </si>
  <si>
    <r>
      <rPr>
        <b val="true"/>
        <sz val="12"/>
        <rFont val="Noto Sans CJK SC"/>
        <family val="2"/>
      </rPr>
      <t xml:space="preserve">も </t>
    </r>
    <r>
      <rPr>
        <b val="true"/>
        <sz val="12"/>
        <rFont val="Arial"/>
        <family val="0"/>
        <charset val="1"/>
      </rPr>
      <t xml:space="preserve">(nhấn mạnh)</t>
    </r>
  </si>
  <si>
    <r>
      <rPr>
        <sz val="10"/>
        <rFont val="Arial"/>
        <family val="0"/>
        <charset val="1"/>
      </rPr>
      <t xml:space="preserve">Ngay cả, thậm chí (</t>
    </r>
    <r>
      <rPr>
        <sz val="10"/>
        <rFont val="Noto Sans CJK SC"/>
        <family val="2"/>
      </rPr>
      <t xml:space="preserve">も </t>
    </r>
    <r>
      <rPr>
        <sz val="10"/>
        <rFont val="Arial"/>
        <family val="0"/>
        <charset val="1"/>
      </rPr>
      <t xml:space="preserve">nhấn mạnh)</t>
    </r>
  </si>
  <si>
    <r>
      <rPr>
        <b val="true"/>
        <sz val="12"/>
        <rFont val="Noto Sans CJK SC"/>
        <family val="2"/>
      </rPr>
      <t xml:space="preserve">に </t>
    </r>
    <r>
      <rPr>
        <b val="true"/>
        <sz val="12"/>
        <rFont val="Arial"/>
        <family val="0"/>
        <charset val="1"/>
      </rPr>
      <t xml:space="preserve">(cảm thán cuối câu)</t>
    </r>
  </si>
  <si>
    <t xml:space="preserve">Trợ từ cảm thán cuối câu</t>
  </si>
  <si>
    <t xml:space="preserve">この〜</t>
  </si>
  <si>
    <t xml:space="preserve">...vừa qua, ...sắp tới</t>
  </si>
  <si>
    <r>
      <rPr>
        <b val="true"/>
        <sz val="12"/>
        <rFont val="Noto Sans CJK SC"/>
        <family val="2"/>
      </rPr>
      <t xml:space="preserve">〜より </t>
    </r>
    <r>
      <rPr>
        <b val="true"/>
        <sz val="12"/>
        <rFont val="Arial"/>
        <family val="0"/>
        <charset val="1"/>
      </rPr>
      <t xml:space="preserve">(hơn hiện tại)</t>
    </r>
  </si>
  <si>
    <t xml:space="preserve">Hơn nữa, hơn bây giờ</t>
  </si>
  <si>
    <t xml:space="preserve">Bao nhiêu (giá tiền, mức độ)</t>
  </si>
  <si>
    <t xml:space="preserve">〜だけ</t>
  </si>
  <si>
    <t xml:space="preserve">Chỉ, chỉ có</t>
  </si>
  <si>
    <t xml:space="preserve">TÀI NGUYÊN NGHE &amp; ĐỌC — phần dễ bị bỏ quên nhất, cũng là phần dễ trượt nhất</t>
  </si>
  <si>
    <t xml:space="preserve">Nguồn / Tài liệu</t>
  </si>
  <si>
    <t xml:space="preserve">Dùng cho</t>
  </si>
  <si>
    <t xml:space="preserve">Cách dùng gợi ý</t>
  </si>
  <si>
    <r>
      <rPr>
        <b val="true"/>
        <sz val="10"/>
        <rFont val="Arial"/>
        <family val="0"/>
        <charset val="1"/>
      </rPr>
      <t xml:space="preserve">Minna no Nihongo I — CD phần </t>
    </r>
    <r>
      <rPr>
        <b val="true"/>
        <sz val="10"/>
        <rFont val="Noto Sans CJK SC"/>
        <family val="2"/>
      </rPr>
      <t xml:space="preserve">会話</t>
    </r>
  </si>
  <si>
    <t xml:space="preserve">Nghe đúng bài đang học. Ba lượt: nghe không script → nhìn script → nghe và nhắc theo.</t>
  </si>
  <si>
    <r>
      <rPr>
        <b val="true"/>
        <sz val="10"/>
        <rFont val="Arial"/>
        <family val="0"/>
        <charset val="1"/>
      </rPr>
      <t xml:space="preserve">Minna no Nihongo I — </t>
    </r>
    <r>
      <rPr>
        <b val="true"/>
        <sz val="10"/>
        <rFont val="Noto Sans CJK SC"/>
        <family val="2"/>
      </rPr>
      <t xml:space="preserve">標準問題集 </t>
    </r>
    <r>
      <rPr>
        <b val="true"/>
        <sz val="10"/>
        <rFont val="Arial"/>
        <family val="0"/>
        <charset val="1"/>
      </rPr>
      <t xml:space="preserve">(sách bài tập)</t>
    </r>
  </si>
  <si>
    <r>
      <rPr>
        <sz val="10"/>
        <rFont val="Arial"/>
        <family val="0"/>
        <charset val="1"/>
      </rPr>
      <t xml:space="preserve">Phần </t>
    </r>
    <r>
      <rPr>
        <sz val="10"/>
        <rFont val="Noto Sans CJK SC"/>
        <family val="2"/>
      </rPr>
      <t xml:space="preserve">聴解 </t>
    </r>
    <r>
      <rPr>
        <sz val="10"/>
        <rFont val="Arial"/>
        <family val="0"/>
        <charset val="1"/>
      </rPr>
      <t xml:space="preserve">và </t>
    </r>
    <r>
      <rPr>
        <sz val="10"/>
        <rFont val="Noto Sans CJK SC"/>
        <family val="2"/>
      </rPr>
      <t xml:space="preserve">読解 </t>
    </r>
    <r>
      <rPr>
        <sz val="10"/>
        <rFont val="Arial"/>
        <family val="0"/>
        <charset val="1"/>
      </rPr>
      <t xml:space="preserve">cuối mỗi bài, làm ngay sau khi học xong bài đó.</t>
    </r>
  </si>
  <si>
    <r>
      <rPr>
        <b val="true"/>
        <sz val="10"/>
        <rFont val="Arial"/>
        <family val="0"/>
        <charset val="1"/>
      </rPr>
      <t xml:space="preserve">Minna no Nihongo I — phần </t>
    </r>
    <r>
      <rPr>
        <b val="true"/>
        <sz val="10"/>
        <rFont val="Noto Sans CJK SC"/>
        <family val="2"/>
      </rPr>
      <t xml:space="preserve">読み物</t>
    </r>
  </si>
  <si>
    <t xml:space="preserve">Bài đọc ngắn cuối mỗi bài, đọc to thành tiếng ít nhất một lượt.</t>
  </si>
  <si>
    <t xml:space="preserve">NHK News Web Easy</t>
  </si>
  <si>
    <t xml:space="preserve">Tin tức tiếng Nhật đơn giản có furigana. Mỗi ngày 1 bài, gạch chân từ mới.</t>
  </si>
  <si>
    <t xml:space="preserve">Erin's Challenge! (NHK)</t>
  </si>
  <si>
    <t xml:space="preserve">Video tình huống đời thực cho người mới học, có phụ đề tiếng Nhật.</t>
  </si>
  <si>
    <t xml:space="preserve">Nihongo no Mori — playlist N5</t>
  </si>
  <si>
    <t xml:space="preserve">Giảng ngữ pháp bằng tiếng Nhật đơn giản, quen dần với tốc độ nói tự nhiên.</t>
  </si>
  <si>
    <t xml:space="preserve">Shin Kanzen Master N5 / Try! N5</t>
  </si>
  <si>
    <t xml:space="preserve">Dùng ở giai đoạn 3, luyện đúng dạng bài thi JLPT.</t>
  </si>
  <si>
    <t xml:space="preserve">Đề thi thử JLPT N5 các năm</t>
  </si>
  <si>
    <t xml:space="preserve">Ngày 84 và 88 làm full có bấm giờ, đúng như phòng thi thật.</t>
  </si>
  <si>
    <t xml:space="preserve">Anki / Quizlet</t>
  </si>
  <si>
    <t xml:space="preserve">Tạo bộ thẻ từ sheet '11. Từ vựng 350', ôn 10 phút mỗi ngày lúc rảnh.</t>
  </si>
  <si>
    <t xml:space="preserve">▌ CẤU TRÚC BÀI THI JLPT N5 — biết trước để không bị bất ngờ</t>
  </si>
  <si>
    <t xml:space="preserve">Phần</t>
  </si>
  <si>
    <t xml:space="preserve">Nội dung</t>
  </si>
  <si>
    <t xml:space="preserve">Điểm</t>
  </si>
  <si>
    <t xml:space="preserve">Phần 1</t>
  </si>
  <si>
    <r>
      <rPr>
        <sz val="10"/>
        <rFont val="Noto Sans CJK SC"/>
        <family val="2"/>
      </rPr>
      <t xml:space="preserve">言語知識</t>
    </r>
    <r>
      <rPr>
        <sz val="10"/>
        <rFont val="Arial"/>
        <family val="0"/>
        <charset val="1"/>
      </rPr>
      <t xml:space="preserve">(</t>
    </r>
    <r>
      <rPr>
        <sz val="10"/>
        <rFont val="Noto Sans CJK SC"/>
        <family val="2"/>
      </rPr>
      <t xml:space="preserve">文字・語彙</t>
    </r>
    <r>
      <rPr>
        <sz val="10"/>
        <rFont val="Arial"/>
        <family val="0"/>
        <charset val="1"/>
      </rPr>
      <t xml:space="preserve">) — Chữ Hán &amp; Từ vựng</t>
    </r>
  </si>
  <si>
    <t xml:space="preserve">25 phút</t>
  </si>
  <si>
    <t xml:space="preserve">Gộp với phần 2, tối đa 120 điểm</t>
  </si>
  <si>
    <t xml:space="preserve">Phần 2</t>
  </si>
  <si>
    <r>
      <rPr>
        <sz val="10"/>
        <rFont val="Noto Sans CJK SC"/>
        <family val="2"/>
      </rPr>
      <t xml:space="preserve">言語知識</t>
    </r>
    <r>
      <rPr>
        <sz val="10"/>
        <rFont val="Arial"/>
        <family val="0"/>
        <charset val="1"/>
      </rPr>
      <t xml:space="preserve">(</t>
    </r>
    <r>
      <rPr>
        <sz val="10"/>
        <rFont val="Noto Sans CJK SC"/>
        <family val="2"/>
      </rPr>
      <t xml:space="preserve">文法</t>
    </r>
    <r>
      <rPr>
        <sz val="10"/>
        <rFont val="Arial"/>
        <family val="0"/>
        <charset val="1"/>
      </rPr>
      <t xml:space="preserve">)</t>
    </r>
    <r>
      <rPr>
        <sz val="10"/>
        <rFont val="Noto Sans CJK SC"/>
        <family val="2"/>
      </rPr>
      <t xml:space="preserve">・読解 — </t>
    </r>
    <r>
      <rPr>
        <sz val="10"/>
        <rFont val="Arial"/>
        <family val="0"/>
        <charset val="1"/>
      </rPr>
      <t xml:space="preserve">Ngữ pháp &amp; Đọc hiểu</t>
    </r>
  </si>
  <si>
    <t xml:space="preserve">50 phút</t>
  </si>
  <si>
    <t xml:space="preserve">Phần 1+2 gộp cần ≥ 38/120</t>
  </si>
  <si>
    <t xml:space="preserve">Phần 3</t>
  </si>
  <si>
    <r>
      <rPr>
        <sz val="10"/>
        <rFont val="Noto Sans CJK SC"/>
        <family val="2"/>
      </rPr>
      <t xml:space="preserve">聴解 — </t>
    </r>
    <r>
      <rPr>
        <sz val="10"/>
        <rFont val="Arial"/>
        <family val="0"/>
        <charset val="1"/>
      </rPr>
      <t xml:space="preserve">Nghe hiểu</t>
    </r>
  </si>
  <si>
    <t xml:space="preserve">30 phút</t>
  </si>
  <si>
    <t xml:space="preserve">Tối đa 60 điểm, cần ≥ 19/60</t>
  </si>
  <si>
    <t xml:space="preserve">Tổng</t>
  </si>
  <si>
    <t xml:space="preserve">Cả 3 phần</t>
  </si>
  <si>
    <t xml:space="preserve">105 phút</t>
  </si>
  <si>
    <t xml:space="preserve">180 điểm — ĐỖ khi tổng ≥ 80</t>
  </si>
  <si>
    <t xml:space="preserve">BẢNG THEO DÕI TIẾN ĐỘ — tự cập nhật khi bạn tick 'Xong'</t>
  </si>
  <si>
    <t xml:space="preserve">Hạng mục</t>
  </si>
  <si>
    <t xml:space="preserve">% hoàn thành</t>
  </si>
  <si>
    <t xml:space="preserve">Ngày học hoàn thành 100%</t>
  </si>
  <si>
    <t xml:space="preserve">Một ngày tính là xong khi tick hết mọi đầu việc của ngày đó</t>
  </si>
  <si>
    <t xml:space="preserve">Đầu việc đã làm</t>
  </si>
  <si>
    <t xml:space="preserve">Tổng đầu việc trong cả 4 sheet chi tiết</t>
  </si>
  <si>
    <t xml:space="preserve">Hiragana + Katakana</t>
  </si>
  <si>
    <t xml:space="preserve">Xong trong 14 ngày đầu</t>
  </si>
  <si>
    <t xml:space="preserve">1 bộ mỗi ngày ở giai đoạn 2</t>
  </si>
  <si>
    <t xml:space="preserve">~2 chữ mỗi ngày ở giai đoạn 2</t>
  </si>
  <si>
    <t xml:space="preserve">Kanji đánh dấu ★ (hay sai)</t>
  </si>
  <si>
    <t xml:space="preserve">Càng ít càng tốt. Giai đoạn 3 tập trung vào nhóm này</t>
  </si>
  <si>
    <t xml:space="preserve">Ngữ pháp Minna</t>
  </si>
  <si>
    <t xml:space="preserve">Bài 1–25</t>
  </si>
  <si>
    <r>
      <rPr>
        <i val="true"/>
        <sz val="10"/>
        <rFont val="Arial"/>
        <family val="0"/>
        <charset val="1"/>
      </rPr>
      <t xml:space="preserve">Đây là bản chọn lọc — mở rộng thêm bằng mục </t>
    </r>
    <r>
      <rPr>
        <i val="true"/>
        <sz val="10"/>
        <rFont val="Noto Sans CJK SC"/>
        <family val="2"/>
      </rPr>
      <t xml:space="preserve">語彙 </t>
    </r>
    <r>
      <rPr>
        <i val="true"/>
        <sz val="10"/>
        <rFont val="Arial"/>
        <family val="0"/>
        <charset val="1"/>
      </rPr>
      <t xml:space="preserve">trong sách</t>
    </r>
  </si>
  <si>
    <t xml:space="preserve">Ngữ pháp JLPT (rà soát cuối)</t>
  </si>
  <si>
    <t xml:space="preserve">Chỉ dùng ở giai đoạn 3 để soát mẫu bị bỏ sót</t>
  </si>
  <si>
    <t xml:space="preserve">TỔNG QUAN</t>
  </si>
  <si>
    <t xml:space="preserve">Tổng thời gian đã lên lịch</t>
  </si>
  <si>
    <t xml:space="preserve">Trung bình khoảng 1 tiếng 39 phút mỗi ngày</t>
  </si>
  <si>
    <t xml:space="preserve">Số ngày còn lại đến ngày thi</t>
  </si>
  <si>
    <t xml:space="preserve">Tự tính theo ngày hôm nay</t>
  </si>
  <si>
    <t xml:space="preserve">Tiến độ tổng thể</t>
  </si>
  <si>
    <t xml:space="preserve">Trung bình các hạng mục (không tính dòng ★)</t>
  </si>
  <si>
    <r>
      <rPr>
        <b val="true"/>
        <i val="true"/>
        <sz val="12"/>
        <color rgb="FF1F3864"/>
        <rFont val="Noto Sans CJK SC"/>
        <family val="2"/>
      </rPr>
      <t xml:space="preserve">「継続は力なり」 — </t>
    </r>
    <r>
      <rPr>
        <b val="true"/>
        <i val="true"/>
        <sz val="12"/>
        <color rgb="FF1F3864"/>
        <rFont val="Arial"/>
        <family val="0"/>
        <charset val="1"/>
      </rPr>
      <t xml:space="preserve">Kiên trì chính là sức mạnh. Mỗi ô bạn tick xanh hôm nay là một câu bạn sẽ trả lời được trong phòng thi. </t>
    </r>
    <r>
      <rPr>
        <b val="true"/>
        <i val="true"/>
        <sz val="12"/>
        <color rgb="FF1F3864"/>
        <rFont val="Noto Sans CJK SC"/>
        <family val="2"/>
      </rPr>
      <t xml:space="preserve">がんばって！</t>
    </r>
  </si>
</sst>
</file>

<file path=xl/styles.xml><?xml version="1.0" encoding="utf-8"?>
<styleSheet xmlns="http://schemas.openxmlformats.org/spreadsheetml/2006/main">
  <numFmts count="9">
    <numFmt numFmtId="164" formatCode="General"/>
    <numFmt numFmtId="165" formatCode="dd/mm/yyyy"/>
    <numFmt numFmtId="166" formatCode="dd/mm&quot; (&quot;ddd\)"/>
    <numFmt numFmtId="167" formatCode="0&quot; ph&quot;"/>
    <numFmt numFmtId="168" formatCode="0%"/>
    <numFmt numFmtId="169" formatCode="General"/>
    <numFmt numFmtId="170" formatCode="0.0%"/>
    <numFmt numFmtId="171" formatCode="0.0&quot; giờ&quot;"/>
    <numFmt numFmtId="172" formatCode="0&quot; ngày&quot;"/>
  </numFmts>
  <fonts count="44">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11"/>
      <color rgb="FF1F3864"/>
      <name val="Arial"/>
      <family val="0"/>
      <charset val="1"/>
    </font>
    <font>
      <b val="true"/>
      <sz val="12"/>
      <name val="Arial"/>
      <family val="0"/>
      <charset val="1"/>
    </font>
    <font>
      <b val="true"/>
      <sz val="12"/>
      <color rgb="FF0000FF"/>
      <name val="Arial"/>
      <family val="0"/>
      <charset val="1"/>
    </font>
    <font>
      <i val="true"/>
      <sz val="10"/>
      <color rgb="FFC00000"/>
      <name val="Arial"/>
      <family val="0"/>
      <charset val="1"/>
    </font>
    <font>
      <b val="true"/>
      <sz val="11"/>
      <name val="Arial"/>
      <family val="0"/>
      <charset val="1"/>
    </font>
    <font>
      <i val="true"/>
      <sz val="10"/>
      <name val="Arial"/>
      <family val="0"/>
      <charset val="1"/>
    </font>
    <font>
      <b val="true"/>
      <sz val="12"/>
      <color rgb="FFFFFFFF"/>
      <name val="Arial"/>
      <family val="0"/>
      <charset val="1"/>
    </font>
    <font>
      <b val="true"/>
      <sz val="10.5"/>
      <color rgb="FF1F3864"/>
      <name val="Arial"/>
      <family val="0"/>
      <charset val="1"/>
    </font>
    <font>
      <sz val="10.5"/>
      <name val="Arial"/>
      <family val="0"/>
      <charset val="1"/>
    </font>
    <font>
      <sz val="10.5"/>
      <name val="Noto Sans CJK SC"/>
      <family val="2"/>
    </font>
    <font>
      <b val="true"/>
      <sz val="9"/>
      <color rgb="FF808080"/>
      <name val="Arial"/>
      <family val="0"/>
      <charset val="1"/>
    </font>
    <font>
      <i val="true"/>
      <sz val="9"/>
      <color rgb="FF808080"/>
      <name val="Arial"/>
      <family val="0"/>
      <charset val="1"/>
    </font>
    <font>
      <i val="true"/>
      <sz val="9"/>
      <color rgb="FF808080"/>
      <name val="Noto Sans CJK SC"/>
      <family val="2"/>
    </font>
    <font>
      <sz val="10"/>
      <name val="Arial"/>
      <family val="2"/>
    </font>
    <font>
      <b val="true"/>
      <sz val="14"/>
      <color rgb="FFFFFFFF"/>
      <name val="Arial"/>
      <family val="0"/>
      <charset val="1"/>
    </font>
    <font>
      <b val="true"/>
      <sz val="10"/>
      <color rgb="FFFFFFFF"/>
      <name val="Arial"/>
      <family val="0"/>
      <charset val="1"/>
    </font>
    <font>
      <b val="true"/>
      <sz val="10"/>
      <name val="Arial"/>
      <family val="0"/>
      <charset val="1"/>
    </font>
    <font>
      <sz val="10"/>
      <name val="Arial"/>
      <family val="0"/>
      <charset val="1"/>
    </font>
    <font>
      <b val="true"/>
      <sz val="10"/>
      <name val="Noto Sans CJK SC"/>
      <family val="2"/>
    </font>
    <font>
      <sz val="10"/>
      <name val="Noto Sans CJK SC"/>
      <family val="2"/>
    </font>
    <font>
      <b val="true"/>
      <sz val="12"/>
      <color rgb="FF1F3864"/>
      <name val="Arial"/>
      <family val="0"/>
      <charset val="1"/>
    </font>
    <font>
      <b val="true"/>
      <sz val="12"/>
      <color rgb="FF1F3864"/>
      <name val="Noto Sans CJK SC"/>
      <family val="2"/>
    </font>
    <font>
      <b val="true"/>
      <sz val="16"/>
      <name val="Noto Sans CJK SC"/>
      <family val="2"/>
    </font>
    <font>
      <i val="true"/>
      <sz val="10"/>
      <color rgb="FF1F3864"/>
      <name val="Arial"/>
      <family val="0"/>
      <charset val="1"/>
    </font>
    <font>
      <i val="true"/>
      <sz val="10"/>
      <color rgb="FF1F3864"/>
      <name val="Noto Sans CJK SC"/>
      <family val="2"/>
    </font>
    <font>
      <b val="true"/>
      <sz val="16"/>
      <name val="Arial"/>
      <family val="0"/>
      <charset val="1"/>
    </font>
    <font>
      <sz val="13"/>
      <name val="Noto Sans CJK SC"/>
      <family val="2"/>
    </font>
    <font>
      <b val="true"/>
      <sz val="10"/>
      <color rgb="FFFFFFFF"/>
      <name val="Noto Sans CJK SC"/>
      <family val="2"/>
    </font>
    <font>
      <b val="true"/>
      <sz val="22"/>
      <name val="Noto Sans CJK SC"/>
      <family val="2"/>
    </font>
    <font>
      <b val="true"/>
      <sz val="12"/>
      <name val="Noto Sans CJK SC"/>
      <family val="2"/>
    </font>
    <font>
      <sz val="12"/>
      <name val="Noto Sans CJK SC"/>
      <family val="2"/>
    </font>
    <font>
      <sz val="12"/>
      <name val="Arial"/>
      <family val="0"/>
      <charset val="1"/>
    </font>
    <font>
      <b val="true"/>
      <sz val="12"/>
      <color rgb="FFFFFFFF"/>
      <name val="Noto Sans CJK SC"/>
      <family val="2"/>
    </font>
    <font>
      <b val="true"/>
      <sz val="16"/>
      <color rgb="FFFFFFFF"/>
      <name val="Arial"/>
      <family val="0"/>
      <charset val="1"/>
    </font>
    <font>
      <i val="true"/>
      <sz val="10"/>
      <name val="Noto Sans CJK SC"/>
      <family val="2"/>
    </font>
    <font>
      <b val="true"/>
      <sz val="13"/>
      <color rgb="FF1F3864"/>
      <name val="Arial"/>
      <family val="0"/>
      <charset val="1"/>
    </font>
    <font>
      <b val="true"/>
      <sz val="12"/>
      <color rgb="FF2E5C8A"/>
      <name val="Arial"/>
      <family val="0"/>
      <charset val="1"/>
    </font>
    <font>
      <b val="true"/>
      <i val="true"/>
      <sz val="12"/>
      <color rgb="FF1F3864"/>
      <name val="Noto Sans CJK SC"/>
      <family val="2"/>
    </font>
    <font>
      <b val="true"/>
      <i val="true"/>
      <sz val="12"/>
      <color rgb="FF1F3864"/>
      <name val="Arial"/>
      <family val="0"/>
      <charset val="1"/>
    </font>
  </fonts>
  <fills count="13">
    <fill>
      <patternFill patternType="none"/>
    </fill>
    <fill>
      <patternFill patternType="gray125"/>
    </fill>
    <fill>
      <patternFill patternType="solid">
        <fgColor rgb="FF1F3864"/>
        <bgColor rgb="FF2E5C8A"/>
      </patternFill>
    </fill>
    <fill>
      <patternFill patternType="solid">
        <fgColor rgb="FFFFFF00"/>
        <bgColor rgb="FFFFCC00"/>
      </patternFill>
    </fill>
    <fill>
      <patternFill patternType="solid">
        <fgColor rgb="FF2E5C8A"/>
        <bgColor rgb="FF1F3864"/>
      </patternFill>
    </fill>
    <fill>
      <patternFill patternType="solid">
        <fgColor rgb="FFFFF2CC"/>
        <bgColor rgb="FFFCE4EC"/>
      </patternFill>
    </fill>
    <fill>
      <patternFill patternType="solid">
        <fgColor rgb="FFE2EFDA"/>
        <bgColor rgb="FFC6EFCE"/>
      </patternFill>
    </fill>
    <fill>
      <patternFill patternType="solid">
        <fgColor rgb="FFFFE699"/>
        <bgColor rgb="FFFFEB9C"/>
      </patternFill>
    </fill>
    <fill>
      <patternFill patternType="solid">
        <fgColor rgb="FFFCE4EC"/>
        <bgColor rgb="FFFFF2CC"/>
      </patternFill>
    </fill>
    <fill>
      <patternFill patternType="solid">
        <fgColor rgb="FFF8CBAD"/>
        <bgColor rgb="FFFFE699"/>
      </patternFill>
    </fill>
    <fill>
      <patternFill patternType="solid">
        <fgColor rgb="FFF5F7FA"/>
        <bgColor rgb="FFFFFFFF"/>
      </patternFill>
    </fill>
    <fill>
      <patternFill patternType="solid">
        <fgColor rgb="FFFFFFFF"/>
        <bgColor rgb="FFF5F7FA"/>
      </patternFill>
    </fill>
    <fill>
      <patternFill patternType="solid">
        <fgColor rgb="FFC6EFCE"/>
        <bgColor rgb="FFE2EFDA"/>
      </patternFill>
    </fill>
  </fills>
  <borders count="3">
    <border diagonalUp="false" diagonalDown="false">
      <left/>
      <right/>
      <top/>
      <bottom/>
      <diagonal/>
    </border>
    <border diagonalUp="false" diagonalDown="false">
      <left style="thin">
        <color rgb="FFC9D1D9"/>
      </left>
      <right style="thin">
        <color rgb="FFC9D1D9"/>
      </right>
      <top style="thin">
        <color rgb="FFC9D1D9"/>
      </top>
      <bottom style="thin">
        <color rgb="FFC9D1D9"/>
      </bottom>
      <diagonal/>
    </border>
    <border diagonalUp="false" diagonalDown="false">
      <left style="thin">
        <color rgb="FFC9D1D9"/>
      </left>
      <right/>
      <top style="thin">
        <color rgb="FFC9D1D9"/>
      </top>
      <bottom style="thin">
        <color rgb="FFC9D1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true" applyAlignment="true" applyProtection="false">
      <alignment horizontal="general" vertical="center" textRotation="0" wrapText="false" indent="1"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center" vertical="center" textRotation="0" wrapText="fals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false" indent="0" shrinkToFit="false"/>
      <protection locked="true" hidden="false"/>
    </xf>
    <xf numFmtId="166" fontId="22" fillId="5" borderId="1" xfId="0" applyFont="true" applyBorder="true" applyAlignment="true" applyProtection="false">
      <alignment horizontal="center" vertical="center" textRotation="0" wrapText="false" indent="0" shrinkToFit="false"/>
      <protection locked="true" hidden="false"/>
    </xf>
    <xf numFmtId="164" fontId="22" fillId="5" borderId="1" xfId="0" applyFont="true" applyBorder="true" applyAlignment="true" applyProtection="false">
      <alignment horizontal="center" vertical="center" textRotation="0" wrapText="false" indent="0" shrinkToFit="false"/>
      <protection locked="true" hidden="false"/>
    </xf>
    <xf numFmtId="164" fontId="22" fillId="5"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general" vertical="center" textRotation="0" wrapText="true" indent="0" shrinkToFit="false"/>
      <protection locked="true" hidden="false"/>
    </xf>
    <xf numFmtId="167" fontId="22" fillId="5" borderId="1" xfId="0" applyFont="true" applyBorder="true" applyAlignment="true" applyProtection="false">
      <alignment horizontal="center" vertical="center" textRotation="0" wrapText="false" indent="0" shrinkToFit="false"/>
      <protection locked="true" hidden="false"/>
    </xf>
    <xf numFmtId="168" fontId="22" fillId="5" borderId="1" xfId="0" applyFont="true" applyBorder="true" applyAlignment="true" applyProtection="false">
      <alignment horizontal="center" vertical="center" textRotation="0" wrapText="false" indent="0" shrinkToFit="false"/>
      <protection locked="true" hidden="false"/>
    </xf>
    <xf numFmtId="164" fontId="21" fillId="6" borderId="1" xfId="0" applyFont="true" applyBorder="true" applyAlignment="true" applyProtection="false">
      <alignment horizontal="center" vertical="center" textRotation="0" wrapText="false" indent="0" shrinkToFit="false"/>
      <protection locked="true" hidden="false"/>
    </xf>
    <xf numFmtId="166" fontId="22" fillId="6" borderId="1"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general" vertical="center" textRotation="0" wrapText="true" indent="0" shrinkToFit="false"/>
      <protection locked="true" hidden="false"/>
    </xf>
    <xf numFmtId="164" fontId="24" fillId="6" borderId="1" xfId="0" applyFont="true" applyBorder="true" applyAlignment="true" applyProtection="false">
      <alignment horizontal="center" vertical="center" textRotation="0" wrapText="true" indent="0" shrinkToFit="false"/>
      <protection locked="true" hidden="false"/>
    </xf>
    <xf numFmtId="164" fontId="24" fillId="6" borderId="1" xfId="0" applyFont="true" applyBorder="true" applyAlignment="true" applyProtection="false">
      <alignment horizontal="center" vertical="center" textRotation="0" wrapText="false" indent="0" shrinkToFit="false"/>
      <protection locked="true" hidden="false"/>
    </xf>
    <xf numFmtId="167" fontId="22" fillId="6" borderId="1" xfId="0" applyFont="true" applyBorder="true" applyAlignment="true" applyProtection="false">
      <alignment horizontal="center" vertical="center" textRotation="0" wrapText="false" indent="0" shrinkToFit="false"/>
      <protection locked="true" hidden="false"/>
    </xf>
    <xf numFmtId="168" fontId="22" fillId="6" borderId="1" xfId="0" applyFont="true" applyBorder="true" applyAlignment="true" applyProtection="false">
      <alignment horizontal="center" vertical="center" textRotation="0" wrapText="false" indent="0" shrinkToFit="false"/>
      <protection locked="true" hidden="false"/>
    </xf>
    <xf numFmtId="164" fontId="23" fillId="6" borderId="1" xfId="0" applyFont="true" applyBorder="true" applyAlignment="true" applyProtection="false">
      <alignment horizontal="general" vertical="center" textRotation="0" wrapText="true" indent="0" shrinkToFit="false"/>
      <protection locked="true" hidden="false"/>
    </xf>
    <xf numFmtId="164" fontId="21" fillId="7" borderId="1" xfId="0" applyFont="true" applyBorder="true" applyAlignment="true" applyProtection="false">
      <alignment horizontal="center" vertical="center" textRotation="0" wrapText="false" indent="0" shrinkToFit="false"/>
      <protection locked="true" hidden="false"/>
    </xf>
    <xf numFmtId="166" fontId="22" fillId="7" borderId="1" xfId="0" applyFont="true" applyBorder="true" applyAlignment="true" applyProtection="false">
      <alignment horizontal="center" vertical="center" textRotation="0" wrapText="false" indent="0" shrinkToFit="false"/>
      <protection locked="true" hidden="false"/>
    </xf>
    <xf numFmtId="164" fontId="22" fillId="7" borderId="1" xfId="0" applyFont="true" applyBorder="true" applyAlignment="true" applyProtection="false">
      <alignment horizontal="center" vertical="center" textRotation="0" wrapText="false" indent="0" shrinkToFit="false"/>
      <protection locked="true" hidden="false"/>
    </xf>
    <xf numFmtId="164" fontId="22" fillId="7" borderId="1" xfId="0" applyFont="true" applyBorder="true" applyAlignment="true" applyProtection="false">
      <alignment horizontal="center" vertical="center" textRotation="0" wrapText="true" indent="0" shrinkToFit="false"/>
      <protection locked="true" hidden="false"/>
    </xf>
    <xf numFmtId="164" fontId="21" fillId="7" borderId="1" xfId="0" applyFont="true" applyBorder="true" applyAlignment="true" applyProtection="false">
      <alignment horizontal="general" vertical="center" textRotation="0" wrapText="true" indent="0" shrinkToFit="false"/>
      <protection locked="true" hidden="false"/>
    </xf>
    <xf numFmtId="164" fontId="24" fillId="7" borderId="1" xfId="0" applyFont="true" applyBorder="true" applyAlignment="true" applyProtection="false">
      <alignment horizontal="center" vertical="center" textRotation="0" wrapText="false" indent="0" shrinkToFit="false"/>
      <protection locked="true" hidden="false"/>
    </xf>
    <xf numFmtId="167" fontId="22" fillId="7" borderId="1" xfId="0" applyFont="true" applyBorder="true" applyAlignment="true" applyProtection="false">
      <alignment horizontal="center" vertical="center" textRotation="0" wrapText="false" indent="0" shrinkToFit="false"/>
      <protection locked="true" hidden="false"/>
    </xf>
    <xf numFmtId="168" fontId="22" fillId="7" borderId="1" xfId="0" applyFont="true" applyBorder="true" applyAlignment="true" applyProtection="false">
      <alignment horizontal="center" vertical="center" textRotation="0" wrapText="false" indent="0" shrinkToFit="false"/>
      <protection locked="true" hidden="false"/>
    </xf>
    <xf numFmtId="164" fontId="21" fillId="8" borderId="1" xfId="0" applyFont="true" applyBorder="true" applyAlignment="true" applyProtection="false">
      <alignment horizontal="center" vertical="center" textRotation="0" wrapText="false" indent="0" shrinkToFit="false"/>
      <protection locked="true" hidden="false"/>
    </xf>
    <xf numFmtId="166" fontId="22" fillId="8" borderId="1" xfId="0" applyFont="true" applyBorder="true" applyAlignment="true" applyProtection="false">
      <alignment horizontal="center" vertical="center" textRotation="0" wrapText="false" indent="0" shrinkToFit="false"/>
      <protection locked="true" hidden="false"/>
    </xf>
    <xf numFmtId="164" fontId="22" fillId="8" borderId="1" xfId="0" applyFont="true" applyBorder="true" applyAlignment="true" applyProtection="false">
      <alignment horizontal="center" vertical="center" textRotation="0" wrapText="false" indent="0" shrinkToFit="false"/>
      <protection locked="true" hidden="false"/>
    </xf>
    <xf numFmtId="164" fontId="22" fillId="8" borderId="1" xfId="0" applyFont="true" applyBorder="true" applyAlignment="true" applyProtection="false">
      <alignment horizontal="center" vertical="center" textRotation="0" wrapText="true" indent="0" shrinkToFit="false"/>
      <protection locked="true" hidden="false"/>
    </xf>
    <xf numFmtId="164" fontId="21" fillId="8" borderId="1" xfId="0" applyFont="true" applyBorder="true" applyAlignment="true" applyProtection="false">
      <alignment horizontal="general" vertical="center" textRotation="0" wrapText="true" indent="0" shrinkToFit="false"/>
      <protection locked="true" hidden="false"/>
    </xf>
    <xf numFmtId="167" fontId="22" fillId="8" borderId="1" xfId="0" applyFont="true" applyBorder="true" applyAlignment="true" applyProtection="false">
      <alignment horizontal="center" vertical="center" textRotation="0" wrapText="false" indent="0" shrinkToFit="false"/>
      <protection locked="true" hidden="false"/>
    </xf>
    <xf numFmtId="168" fontId="22" fillId="8" borderId="1" xfId="0" applyFont="true" applyBorder="true" applyAlignment="true" applyProtection="false">
      <alignment horizontal="center" vertical="center" textRotation="0" wrapText="false" indent="0" shrinkToFit="false"/>
      <protection locked="true" hidden="false"/>
    </xf>
    <xf numFmtId="164" fontId="21" fillId="9" borderId="1" xfId="0" applyFont="true" applyBorder="true" applyAlignment="true" applyProtection="false">
      <alignment horizontal="center" vertical="center" textRotation="0" wrapText="false" indent="0" shrinkToFit="false"/>
      <protection locked="true" hidden="false"/>
    </xf>
    <xf numFmtId="166" fontId="22" fillId="9" borderId="1" xfId="0" applyFont="true" applyBorder="true" applyAlignment="true" applyProtection="false">
      <alignment horizontal="center" vertical="center" textRotation="0" wrapText="false" indent="0" shrinkToFit="false"/>
      <protection locked="true" hidden="false"/>
    </xf>
    <xf numFmtId="164" fontId="22" fillId="9" borderId="1" xfId="0" applyFont="true" applyBorder="true" applyAlignment="true" applyProtection="false">
      <alignment horizontal="center" vertical="center" textRotation="0" wrapText="false" indent="0" shrinkToFit="false"/>
      <protection locked="true" hidden="false"/>
    </xf>
    <xf numFmtId="164" fontId="22" fillId="9" borderId="1" xfId="0" applyFont="true" applyBorder="true" applyAlignment="true" applyProtection="false">
      <alignment horizontal="center" vertical="center" textRotation="0" wrapText="true" indent="0" shrinkToFit="false"/>
      <protection locked="true" hidden="false"/>
    </xf>
    <xf numFmtId="164" fontId="21" fillId="9" borderId="1" xfId="0" applyFont="true" applyBorder="true" applyAlignment="true" applyProtection="false">
      <alignment horizontal="general" vertical="center" textRotation="0" wrapText="true" indent="0" shrinkToFit="false"/>
      <protection locked="true" hidden="false"/>
    </xf>
    <xf numFmtId="167" fontId="22" fillId="9" borderId="1" xfId="0" applyFont="true" applyBorder="true" applyAlignment="true" applyProtection="false">
      <alignment horizontal="center" vertical="center" textRotation="0" wrapText="false" indent="0" shrinkToFit="false"/>
      <protection locked="true" hidden="false"/>
    </xf>
    <xf numFmtId="168" fontId="22" fillId="9" borderId="1" xfId="0" applyFont="true" applyBorder="true" applyAlignment="true" applyProtection="false">
      <alignment horizontal="center" vertical="center" textRotation="0" wrapText="false" indent="0" shrinkToFit="false"/>
      <protection locked="true" hidden="false"/>
    </xf>
    <xf numFmtId="164" fontId="25" fillId="5" borderId="2" xfId="0" applyFont="true" applyBorder="true" applyAlignment="true" applyProtection="false">
      <alignment horizontal="general" vertical="center" textRotation="0" wrapText="false" indent="1"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7" fontId="22" fillId="0" borderId="1" xfId="0" applyFont="true" applyBorder="true" applyAlignment="true" applyProtection="false">
      <alignment horizontal="center" vertical="top" textRotation="0" wrapText="false" indent="0" shrinkToFit="false"/>
      <protection locked="true" hidden="false"/>
    </xf>
    <xf numFmtId="164" fontId="22" fillId="0" borderId="1" xfId="0" applyFont="true" applyBorder="true" applyAlignment="true" applyProtection="false">
      <alignment horizontal="center" vertical="top" textRotation="0" wrapText="false" indent="0" shrinkToFit="false"/>
      <protection locked="true" hidden="false"/>
    </xf>
    <xf numFmtId="164" fontId="21" fillId="10" borderId="1" xfId="0" applyFont="true" applyBorder="true" applyAlignment="true" applyProtection="false">
      <alignment horizontal="general" vertical="top" textRotation="0" wrapText="true" indent="0" shrinkToFit="false"/>
      <protection locked="true" hidden="false"/>
    </xf>
    <xf numFmtId="164" fontId="25" fillId="6" borderId="2" xfId="0" applyFont="true" applyBorder="true" applyAlignment="true" applyProtection="false">
      <alignment horizontal="general" vertical="center" textRotation="0" wrapText="false" indent="1" shrinkToFit="false"/>
      <protection locked="true" hidden="false"/>
    </xf>
    <xf numFmtId="164" fontId="25" fillId="7" borderId="2" xfId="0" applyFont="true" applyBorder="true" applyAlignment="true" applyProtection="false">
      <alignment horizontal="general" vertical="center" textRotation="0" wrapText="false" indent="1" shrinkToFit="false"/>
      <protection locked="true" hidden="false"/>
    </xf>
    <xf numFmtId="164" fontId="25" fillId="8" borderId="2" xfId="0" applyFont="true" applyBorder="true" applyAlignment="true" applyProtection="false">
      <alignment horizontal="general" vertical="center" textRotation="0" wrapText="false" indent="1" shrinkToFit="false"/>
      <protection locked="true" hidden="false"/>
    </xf>
    <xf numFmtId="164" fontId="25" fillId="9" borderId="2" xfId="0" applyFont="true" applyBorder="true" applyAlignment="true" applyProtection="false">
      <alignment horizontal="general" vertical="center" textRotation="0" wrapText="false" indent="1" shrinkToFit="false"/>
      <protection locked="true" hidden="false"/>
    </xf>
    <xf numFmtId="164" fontId="22" fillId="11" borderId="1" xfId="0" applyFont="true" applyBorder="true" applyAlignment="true" applyProtection="false">
      <alignment horizontal="center" vertical="center" textRotation="0" wrapText="false" indent="0" shrinkToFit="false"/>
      <protection locked="true" hidden="false"/>
    </xf>
    <xf numFmtId="164" fontId="27" fillId="11" borderId="1" xfId="0" applyFont="true" applyBorder="true" applyAlignment="true" applyProtection="false">
      <alignment horizontal="center" vertical="center" textRotation="0" wrapText="false" indent="0" shrinkToFit="false"/>
      <protection locked="true" hidden="false"/>
    </xf>
    <xf numFmtId="164" fontId="22" fillId="11" borderId="1" xfId="0" applyFont="true" applyBorder="true" applyAlignment="true" applyProtection="false">
      <alignment horizontal="left" vertical="center" textRotation="0" wrapText="true" indent="0" shrinkToFit="false"/>
      <protection locked="true" hidden="false"/>
    </xf>
    <xf numFmtId="164" fontId="22" fillId="10" borderId="1" xfId="0" applyFont="true" applyBorder="true" applyAlignment="true" applyProtection="false">
      <alignment horizontal="center" vertical="center" textRotation="0" wrapText="false" indent="0" shrinkToFit="false"/>
      <protection locked="true" hidden="false"/>
    </xf>
    <xf numFmtId="164" fontId="27" fillId="10" borderId="1" xfId="0" applyFont="true" applyBorder="true" applyAlignment="true" applyProtection="false">
      <alignment horizontal="center" vertical="center" textRotation="0" wrapText="false" indent="0" shrinkToFit="false"/>
      <protection locked="true" hidden="false"/>
    </xf>
    <xf numFmtId="164" fontId="22" fillId="10" borderId="1" xfId="0" applyFont="true" applyBorder="true" applyAlignment="true" applyProtection="false">
      <alignment horizontal="left" vertical="center" textRotation="0" wrapText="true" indent="0" shrinkToFit="false"/>
      <protection locked="true" hidden="false"/>
    </xf>
    <xf numFmtId="164" fontId="28" fillId="5" borderId="0" xfId="0" applyFont="true" applyBorder="true" applyAlignment="true" applyProtection="false">
      <alignment horizontal="general" vertical="center" textRotation="0" wrapText="true" indent="1" shrinkToFit="false"/>
      <protection locked="true" hidden="false"/>
    </xf>
    <xf numFmtId="164" fontId="24" fillId="11" borderId="1" xfId="0" applyFont="true" applyBorder="true" applyAlignment="true" applyProtection="false">
      <alignment horizontal="left" vertical="center" textRotation="0" wrapText="true" indent="0" shrinkToFit="false"/>
      <protection locked="true" hidden="false"/>
    </xf>
    <xf numFmtId="164" fontId="31" fillId="11" borderId="1" xfId="0" applyFont="true" applyBorder="true" applyAlignment="true" applyProtection="false">
      <alignment horizontal="left" vertical="center" textRotation="0" wrapText="false" indent="0" shrinkToFit="false"/>
      <protection locked="true" hidden="false"/>
    </xf>
    <xf numFmtId="164" fontId="24" fillId="10" borderId="1" xfId="0" applyFont="true" applyBorder="true" applyAlignment="true" applyProtection="false">
      <alignment horizontal="left" vertical="center" textRotation="0" wrapText="true" indent="0" shrinkToFit="false"/>
      <protection locked="true" hidden="false"/>
    </xf>
    <xf numFmtId="164" fontId="31" fillId="10" borderId="1" xfId="0" applyFont="true" applyBorder="true" applyAlignment="true" applyProtection="false">
      <alignment horizontal="left" vertical="center" textRotation="0" wrapText="false" indent="0" shrinkToFit="false"/>
      <protection locked="true" hidden="false"/>
    </xf>
    <xf numFmtId="164" fontId="33" fillId="11" borderId="1" xfId="0" applyFont="true" applyBorder="true" applyAlignment="true" applyProtection="false">
      <alignment horizontal="center" vertical="center" textRotation="0" wrapText="false" indent="0" shrinkToFit="false"/>
      <protection locked="true" hidden="false"/>
    </xf>
    <xf numFmtId="164" fontId="21" fillId="11" borderId="1" xfId="0" applyFont="true" applyBorder="true" applyAlignment="true" applyProtection="false">
      <alignment horizontal="center" vertical="center" textRotation="0" wrapText="false" indent="0" shrinkToFit="false"/>
      <protection locked="true" hidden="false"/>
    </xf>
    <xf numFmtId="164" fontId="33" fillId="10" borderId="1" xfId="0" applyFont="true" applyBorder="true" applyAlignment="true" applyProtection="false">
      <alignment horizontal="center" vertical="center" textRotation="0" wrapText="false" indent="0" shrinkToFit="false"/>
      <protection locked="true" hidden="false"/>
    </xf>
    <xf numFmtId="164" fontId="21" fillId="1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22" fillId="0" borderId="1" xfId="0" applyFont="true" applyBorder="true" applyAlignment="true" applyProtection="false">
      <alignment horizontal="left" vertical="center" textRotation="0" wrapText="true" indent="0" shrinkToFit="false"/>
      <protection locked="true" hidden="false"/>
    </xf>
    <xf numFmtId="164" fontId="35" fillId="0" borderId="1" xfId="0" applyFont="true" applyBorder="true" applyAlignment="true" applyProtection="false">
      <alignment horizontal="left" vertical="center" textRotation="0" wrapText="true" indent="0" shrinkToFit="false"/>
      <protection locked="true" hidden="false"/>
    </xf>
    <xf numFmtId="164" fontId="34" fillId="0" borderId="1" xfId="0" applyFont="true" applyBorder="true" applyAlignment="true" applyProtection="false">
      <alignment horizontal="left" vertical="center" textRotation="0" wrapText="true" indent="0" shrinkToFit="false"/>
      <protection locked="true" hidden="false"/>
    </xf>
    <xf numFmtId="164" fontId="36" fillId="0"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35" fillId="0" borderId="1" xfId="0" applyFont="true" applyBorder="true" applyAlignment="true" applyProtection="false">
      <alignment horizontal="center" vertical="center" textRotation="0" wrapText="false" indent="0" shrinkToFit="false"/>
      <protection locked="true" hidden="false"/>
    </xf>
    <xf numFmtId="164" fontId="21" fillId="11" borderId="1" xfId="0" applyFont="true" applyBorder="true" applyAlignment="true" applyProtection="false">
      <alignment horizontal="left" vertical="center" textRotation="0" wrapText="true" indent="0" shrinkToFit="false"/>
      <protection locked="true" hidden="false"/>
    </xf>
    <xf numFmtId="164" fontId="23" fillId="10" borderId="1" xfId="0" applyFont="true" applyBorder="true" applyAlignment="true" applyProtection="false">
      <alignment horizontal="left" vertical="center" textRotation="0" wrapText="true" indent="0" shrinkToFit="false"/>
      <protection locked="true" hidden="false"/>
    </xf>
    <xf numFmtId="164" fontId="23" fillId="11" borderId="1" xfId="0" applyFont="true" applyBorder="true" applyAlignment="true" applyProtection="false">
      <alignment horizontal="left" vertical="center" textRotation="0" wrapText="true" indent="0" shrinkToFit="false"/>
      <protection locked="true" hidden="false"/>
    </xf>
    <xf numFmtId="164" fontId="21" fillId="10" borderId="1" xfId="0" applyFont="true" applyBorder="true" applyAlignment="true" applyProtection="false">
      <alignment horizontal="left" vertical="center" textRotation="0" wrapText="true" indent="0" shrinkToFit="false"/>
      <protection locked="true" hidden="false"/>
    </xf>
    <xf numFmtId="164" fontId="21" fillId="7" borderId="1" xfId="0" applyFont="true" applyBorder="true" applyAlignment="true" applyProtection="false">
      <alignment horizontal="left" vertical="center" textRotation="0" wrapText="true" indent="0" shrinkToFit="false"/>
      <protection locked="true" hidden="false"/>
    </xf>
    <xf numFmtId="164" fontId="22" fillId="7" borderId="1" xfId="0" applyFont="true" applyBorder="true" applyAlignment="true" applyProtection="false">
      <alignment horizontal="left" vertical="center" textRotation="0" wrapText="true" indent="0" shrinkToFit="false"/>
      <protection locked="true" hidden="false"/>
    </xf>
    <xf numFmtId="164" fontId="34" fillId="11" borderId="1" xfId="0" applyFont="true" applyBorder="true" applyAlignment="true" applyProtection="false">
      <alignment horizontal="left" vertical="center" textRotation="0" wrapText="true" indent="0" shrinkToFit="false"/>
      <protection locked="true" hidden="false"/>
    </xf>
    <xf numFmtId="164" fontId="34" fillId="10"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22" fillId="11" borderId="1" xfId="0" applyFont="true" applyBorder="true" applyAlignment="true" applyProtection="false">
      <alignment horizontal="center" vertical="center" textRotation="0" wrapText="true" indent="0" shrinkToFit="false"/>
      <protection locked="true" hidden="false"/>
    </xf>
    <xf numFmtId="164" fontId="22" fillId="10" borderId="1" xfId="0" applyFont="true" applyBorder="true" applyAlignment="true" applyProtection="false">
      <alignment horizontal="center" vertical="center" textRotation="0" wrapText="tru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4" fontId="21" fillId="12" borderId="1" xfId="0" applyFont="true" applyBorder="true" applyAlignment="true" applyProtection="false">
      <alignment horizontal="center" vertical="center" textRotation="0" wrapText="true" indent="0" shrinkToFit="false"/>
      <protection locked="true" hidden="false"/>
    </xf>
    <xf numFmtId="164" fontId="21" fillId="12" borderId="1" xfId="0" applyFont="true" applyBorder="true" applyAlignment="true" applyProtection="false">
      <alignment horizontal="left" vertical="center" textRotation="0" wrapText="true" indent="0" shrinkToFit="false"/>
      <protection locked="true" hidden="false"/>
    </xf>
    <xf numFmtId="164" fontId="38" fillId="2" borderId="0"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1" fontId="41"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2" fontId="41" fillId="0" borderId="1" xfId="0" applyFont="true" applyBorder="true" applyAlignment="true" applyProtection="false">
      <alignment horizontal="center" vertical="center" textRotation="0" wrapText="false" indent="0" shrinkToFit="false"/>
      <protection locked="true" hidden="false"/>
    </xf>
    <xf numFmtId="170" fontId="41" fillId="0" borderId="1" xfId="0" applyFont="true" applyBorder="true" applyAlignment="true" applyProtection="false">
      <alignment horizontal="center" vertical="center" textRotation="0" wrapText="false" indent="0" shrinkToFit="false"/>
      <protection locked="true" hidden="false"/>
    </xf>
    <xf numFmtId="164" fontId="42" fillId="5"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EC"/>
          <bgColor rgb="FF000000"/>
        </patternFill>
      </fill>
    </dxf>
    <dxf>
      <fill>
        <patternFill patternType="solid">
          <fgColor rgb="FFFFE699"/>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bgColor rgb="FFC6EFCE"/>
        </patternFill>
      </fill>
    </dxf>
    <dxf>
      <fill>
        <patternFill>
          <bgColor rgb="FFFFEB9C"/>
        </patternFill>
      </fill>
    </dxf>
    <dxf>
      <fill>
        <patternFill patternType="solid">
          <fgColor rgb="FFF5F7FA"/>
          <bgColor rgb="FF000000"/>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FCE4EC"/>
      <rgbColor rgb="FF808080"/>
      <rgbColor rgb="FF9999FF"/>
      <rgbColor rgb="FF7030A0"/>
      <rgbColor rgb="FFFFF2CC"/>
      <rgbColor rgb="FFE2EFDA"/>
      <rgbColor rgb="FF660066"/>
      <rgbColor rgb="FFFF8080"/>
      <rgbColor rgb="FF0070C0"/>
      <rgbColor rgb="FFC9D1D9"/>
      <rgbColor rgb="FF000080"/>
      <rgbColor rgb="FFFF00FF"/>
      <rgbColor rgb="FFFFE699"/>
      <rgbColor rgb="FF00FFFF"/>
      <rgbColor rgb="FF800080"/>
      <rgbColor rgb="FF800000"/>
      <rgbColor rgb="FF008080"/>
      <rgbColor rgb="FF0000FF"/>
      <rgbColor rgb="FF00CCFF"/>
      <rgbColor rgb="FFF5F7FA"/>
      <rgbColor rgb="FFC6EFCE"/>
      <rgbColor rgb="FFFFEB9C"/>
      <rgbColor rgb="FF99CCFF"/>
      <rgbColor rgb="FFFF99CC"/>
      <rgbColor rgb="FFCC99FF"/>
      <rgbColor rgb="FFF8CBAD"/>
      <rgbColor rgb="FF3366FF"/>
      <rgbColor rgb="FF33CCCC"/>
      <rgbColor rgb="FF99CC00"/>
      <rgbColor rgb="FFFFCC00"/>
      <rgbColor rgb="FFFF9900"/>
      <rgbColor rgb="FFED7D31"/>
      <rgbColor rgb="FF666699"/>
      <rgbColor rgb="FF969696"/>
      <rgbColor rgb="FF1F3864"/>
      <rgbColor rgb="FF339966"/>
      <rgbColor rgb="FF003300"/>
      <rgbColor rgb="FF333300"/>
      <rgbColor rgb="FF993300"/>
      <rgbColor rgb="FF993366"/>
      <rgbColor rgb="FF2E5C8A"/>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3.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D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70"/>
    <col collapsed="false" customWidth="true" hidden="false" outlineLevel="0" max="4" min="4" style="0" width="40"/>
  </cols>
  <sheetData>
    <row r="2" customFormat="false" ht="43.5" hidden="false" customHeight="true" outlineLevel="0" collapsed="false">
      <c r="B2" s="1" t="s">
        <v>0</v>
      </c>
      <c r="C2" s="1"/>
      <c r="D2" s="1"/>
    </row>
    <row r="3" customFormat="false" ht="30" hidden="false" customHeight="true" outlineLevel="0" collapsed="false">
      <c r="B3" s="2" t="s">
        <v>1</v>
      </c>
      <c r="C3" s="2"/>
      <c r="D3" s="2"/>
    </row>
    <row r="5" customFormat="false" ht="24" hidden="false" customHeight="true" outlineLevel="0" collapsed="false">
      <c r="B5" s="3" t="s">
        <v>2</v>
      </c>
      <c r="C5" s="4" t="n">
        <v>46266</v>
      </c>
      <c r="D5" s="5" t="s">
        <v>3</v>
      </c>
    </row>
    <row r="6" customFormat="false" ht="15" hidden="false" customHeight="false" outlineLevel="0" collapsed="false">
      <c r="B6" s="6" t="s">
        <v>4</v>
      </c>
      <c r="C6" s="7" t="n">
        <f aca="false">$C$5+89</f>
        <v>46355</v>
      </c>
      <c r="D6" s="8" t="s">
        <v>5</v>
      </c>
    </row>
    <row r="8" customFormat="false" ht="7.5" hidden="false" customHeight="true" outlineLevel="0" collapsed="false"/>
    <row r="9" customFormat="false" ht="25.5" hidden="false" customHeight="true" outlineLevel="0" collapsed="false">
      <c r="B9" s="9" t="s">
        <v>6</v>
      </c>
      <c r="C9" s="9"/>
      <c r="D9" s="9"/>
    </row>
    <row r="10" customFormat="false" ht="28.5" hidden="false" customHeight="true" outlineLevel="0" collapsed="false">
      <c r="B10" s="10" t="s">
        <v>7</v>
      </c>
      <c r="C10" s="11" t="s">
        <v>8</v>
      </c>
    </row>
    <row r="11" customFormat="false" ht="42" hidden="false" customHeight="true" outlineLevel="0" collapsed="false">
      <c r="B11" s="10" t="s">
        <v>9</v>
      </c>
      <c r="C11" s="11" t="s">
        <v>10</v>
      </c>
    </row>
    <row r="12" customFormat="false" ht="28.5" hidden="false" customHeight="true" outlineLevel="0" collapsed="false">
      <c r="B12" s="10" t="s">
        <v>11</v>
      </c>
      <c r="C12" s="11" t="s">
        <v>12</v>
      </c>
    </row>
    <row r="13" customFormat="false" ht="7.5" hidden="false" customHeight="true" outlineLevel="0" collapsed="false"/>
    <row r="14" customFormat="false" ht="25.5" hidden="false" customHeight="true" outlineLevel="0" collapsed="false">
      <c r="B14" s="9" t="s">
        <v>13</v>
      </c>
      <c r="C14" s="9"/>
      <c r="D14" s="9"/>
    </row>
    <row r="15" customFormat="false" ht="28.5" hidden="false" customHeight="true" outlineLevel="0" collapsed="false">
      <c r="B15" s="10" t="s">
        <v>14</v>
      </c>
      <c r="C15" s="11" t="s">
        <v>15</v>
      </c>
    </row>
    <row r="16" customFormat="false" ht="15.75" hidden="false" customHeight="true" outlineLevel="0" collapsed="false">
      <c r="B16" s="10" t="s">
        <v>16</v>
      </c>
      <c r="C16" s="11" t="s">
        <v>17</v>
      </c>
    </row>
    <row r="17" customFormat="false" ht="15.75" hidden="false" customHeight="true" outlineLevel="0" collapsed="false">
      <c r="B17" s="10" t="s">
        <v>18</v>
      </c>
      <c r="C17" s="11" t="s">
        <v>19</v>
      </c>
    </row>
    <row r="18" customFormat="false" ht="15.75" hidden="false" customHeight="true" outlineLevel="0" collapsed="false">
      <c r="B18" s="10" t="s">
        <v>20</v>
      </c>
      <c r="C18" s="11" t="s">
        <v>21</v>
      </c>
    </row>
    <row r="19" customFormat="false" ht="7.5" hidden="false" customHeight="true" outlineLevel="0" collapsed="false"/>
    <row r="20" customFormat="false" ht="25.5" hidden="false" customHeight="true" outlineLevel="0" collapsed="false">
      <c r="B20" s="9" t="s">
        <v>22</v>
      </c>
      <c r="C20" s="9"/>
      <c r="D20" s="9"/>
    </row>
    <row r="21" customFormat="false" ht="28.5" hidden="false" customHeight="true" outlineLevel="0" collapsed="false">
      <c r="B21" s="10" t="s">
        <v>23</v>
      </c>
      <c r="C21" s="11" t="s">
        <v>24</v>
      </c>
    </row>
    <row r="22" customFormat="false" ht="42" hidden="false" customHeight="true" outlineLevel="0" collapsed="false">
      <c r="B22" s="10" t="s">
        <v>25</v>
      </c>
      <c r="C22" s="11" t="s">
        <v>26</v>
      </c>
    </row>
    <row r="23" customFormat="false" ht="15.75" hidden="false" customHeight="true" outlineLevel="0" collapsed="false">
      <c r="B23" s="10" t="s">
        <v>27</v>
      </c>
      <c r="C23" s="11" t="s">
        <v>28</v>
      </c>
    </row>
    <row r="24" customFormat="false" ht="7.5" hidden="false" customHeight="true" outlineLevel="0" collapsed="false"/>
    <row r="25" customFormat="false" ht="25.5" hidden="false" customHeight="true" outlineLevel="0" collapsed="false">
      <c r="B25" s="9" t="s">
        <v>29</v>
      </c>
      <c r="C25" s="9"/>
      <c r="D25" s="9"/>
    </row>
    <row r="26" customFormat="false" ht="28.5" hidden="false" customHeight="true" outlineLevel="0" collapsed="false">
      <c r="B26" s="10" t="s">
        <v>30</v>
      </c>
      <c r="C26" s="11" t="s">
        <v>31</v>
      </c>
    </row>
    <row r="27" customFormat="false" ht="28.5" hidden="false" customHeight="true" outlineLevel="0" collapsed="false">
      <c r="B27" s="10" t="s">
        <v>32</v>
      </c>
      <c r="C27" s="12" t="s">
        <v>33</v>
      </c>
    </row>
    <row r="28" customFormat="false" ht="28.5" hidden="false" customHeight="true" outlineLevel="0" collapsed="false">
      <c r="B28" s="10" t="s">
        <v>34</v>
      </c>
      <c r="C28" s="11" t="s">
        <v>35</v>
      </c>
    </row>
    <row r="29" customFormat="false" ht="28.5" hidden="false" customHeight="true" outlineLevel="0" collapsed="false">
      <c r="B29" s="10" t="s">
        <v>36</v>
      </c>
      <c r="C29" s="12" t="s">
        <v>37</v>
      </c>
    </row>
    <row r="30" customFormat="false" ht="28.5" hidden="false" customHeight="true" outlineLevel="0" collapsed="false">
      <c r="B30" s="10" t="s">
        <v>38</v>
      </c>
      <c r="C30" s="11" t="s">
        <v>39</v>
      </c>
    </row>
    <row r="31" customFormat="false" ht="28.5" hidden="false" customHeight="true" outlineLevel="0" collapsed="false">
      <c r="B31" s="10" t="s">
        <v>40</v>
      </c>
      <c r="C31" s="11" t="s">
        <v>41</v>
      </c>
    </row>
    <row r="32" customFormat="false" ht="7.5" hidden="false" customHeight="true" outlineLevel="0" collapsed="false"/>
    <row r="33" customFormat="false" ht="25.5" hidden="false" customHeight="true" outlineLevel="0" collapsed="false">
      <c r="B33" s="9" t="s">
        <v>42</v>
      </c>
      <c r="C33" s="9"/>
      <c r="D33" s="9"/>
    </row>
    <row r="34" customFormat="false" ht="28.5" hidden="false" customHeight="true" outlineLevel="0" collapsed="false">
      <c r="B34" s="10" t="s">
        <v>43</v>
      </c>
      <c r="C34" s="11" t="s">
        <v>44</v>
      </c>
    </row>
    <row r="35" customFormat="false" ht="28.5" hidden="false" customHeight="true" outlineLevel="0" collapsed="false">
      <c r="B35" s="10" t="s">
        <v>45</v>
      </c>
      <c r="C35" s="11" t="s">
        <v>46</v>
      </c>
    </row>
    <row r="36" customFormat="false" ht="15.75" hidden="false" customHeight="true" outlineLevel="0" collapsed="false">
      <c r="B36" s="10" t="s">
        <v>47</v>
      </c>
      <c r="C36" s="11" t="s">
        <v>48</v>
      </c>
    </row>
    <row r="37" customFormat="false" ht="7.5" hidden="false" customHeight="true" outlineLevel="0" collapsed="false"/>
    <row r="38" customFormat="false" ht="25.5" hidden="false" customHeight="true" outlineLevel="0" collapsed="false">
      <c r="B38" s="9" t="s">
        <v>49</v>
      </c>
      <c r="C38" s="9"/>
      <c r="D38" s="9"/>
    </row>
    <row r="39" customFormat="false" ht="15.75" hidden="false" customHeight="true" outlineLevel="0" collapsed="false">
      <c r="B39" s="10" t="s">
        <v>50</v>
      </c>
      <c r="C39" s="11" t="s">
        <v>51</v>
      </c>
    </row>
    <row r="40" customFormat="false" ht="28.5" hidden="false" customHeight="true" outlineLevel="0" collapsed="false">
      <c r="B40" s="10" t="s">
        <v>52</v>
      </c>
      <c r="C40" s="11" t="s">
        <v>53</v>
      </c>
    </row>
    <row r="41" customFormat="false" ht="28.5" hidden="false" customHeight="true" outlineLevel="0" collapsed="false">
      <c r="B41" s="10" t="s">
        <v>54</v>
      </c>
      <c r="C41" s="11" t="s">
        <v>55</v>
      </c>
    </row>
    <row r="42" customFormat="false" ht="15.75" hidden="false" customHeight="true" outlineLevel="0" collapsed="false">
      <c r="B42" s="10" t="s">
        <v>56</v>
      </c>
      <c r="C42" s="11" t="s">
        <v>57</v>
      </c>
    </row>
    <row r="43" customFormat="false" ht="7.5" hidden="false" customHeight="true" outlineLevel="0" collapsed="false"/>
    <row r="44" customFormat="false" ht="25.5" hidden="false" customHeight="true" outlineLevel="0" collapsed="false">
      <c r="B44" s="9" t="s">
        <v>58</v>
      </c>
      <c r="C44" s="9"/>
      <c r="D44" s="9"/>
    </row>
    <row r="45" customFormat="false" ht="15.75" hidden="false" customHeight="true" outlineLevel="0" collapsed="false">
      <c r="B45" s="10" t="s">
        <v>59</v>
      </c>
      <c r="C45" s="11" t="s">
        <v>60</v>
      </c>
    </row>
    <row r="46" customFormat="false" ht="15.75" hidden="false" customHeight="true" outlineLevel="0" collapsed="false">
      <c r="B46" s="10" t="s">
        <v>61</v>
      </c>
      <c r="C46" s="11" t="s">
        <v>62</v>
      </c>
    </row>
    <row r="47" customFormat="false" ht="15.75" hidden="false" customHeight="true" outlineLevel="0" collapsed="false">
      <c r="B47" s="10" t="s">
        <v>63</v>
      </c>
      <c r="C47" s="11" t="s">
        <v>64</v>
      </c>
    </row>
    <row r="48" customFormat="false" ht="15.75" hidden="false" customHeight="true" outlineLevel="0" collapsed="false">
      <c r="B48" s="10" t="s">
        <v>65</v>
      </c>
      <c r="C48" s="11" t="s">
        <v>66</v>
      </c>
    </row>
    <row r="49" customFormat="false" ht="15.75" hidden="false" customHeight="true" outlineLevel="0" collapsed="false">
      <c r="B49" s="10" t="s">
        <v>67</v>
      </c>
      <c r="C49" s="11" t="s">
        <v>68</v>
      </c>
    </row>
    <row r="50" customFormat="false" ht="15.75" hidden="false" customHeight="true" outlineLevel="0" collapsed="false">
      <c r="B50" s="10" t="s">
        <v>69</v>
      </c>
      <c r="C50" s="11" t="s">
        <v>70</v>
      </c>
    </row>
    <row r="52" customFormat="false" ht="45.75" hidden="false" customHeight="true" outlineLevel="0" collapsed="false">
      <c r="B52" s="13" t="s">
        <v>71</v>
      </c>
      <c r="C52" s="14" t="s">
        <v>72</v>
      </c>
    </row>
  </sheetData>
  <mergeCells count="9">
    <mergeCell ref="B2:D2"/>
    <mergeCell ref="B3:D3"/>
    <mergeCell ref="B9:D9"/>
    <mergeCell ref="B14:D14"/>
    <mergeCell ref="B20:D20"/>
    <mergeCell ref="B25:D25"/>
    <mergeCell ref="B33:D33"/>
    <mergeCell ref="B38:D38"/>
    <mergeCell ref="B44:D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O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2" topLeftCell="G3" activePane="bottomRight" state="frozen"/>
      <selection pane="topLeft" activeCell="A1" activeCellId="0" sqref="A1"/>
      <selection pane="topRight" activeCell="G1" activeCellId="0" sqref="G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6"/>
    <col collapsed="false" customWidth="true" hidden="false" outlineLevel="0" max="4" min="4" style="0" width="9"/>
    <col collapsed="false" customWidth="true" hidden="false" outlineLevel="0" max="5" min="5" style="0" width="14"/>
    <col collapsed="false" customWidth="true" hidden="false" outlineLevel="0" max="6" min="6" style="0" width="32"/>
    <col collapsed="false" customWidth="true" hidden="false" outlineLevel="0" max="7" min="7" style="0" width="11"/>
    <col collapsed="false" customWidth="true" hidden="false" outlineLevel="0" max="8" min="8" style="0" width="8"/>
    <col collapsed="false" customWidth="true" hidden="false" outlineLevel="0" max="9" min="9" style="0" width="9"/>
    <col collapsed="false" customWidth="true" hidden="false" outlineLevel="0" max="10" min="10" style="0" width="8"/>
    <col collapsed="false" customWidth="true" hidden="false" outlineLevel="0" max="11" min="11" style="0" width="11"/>
    <col collapsed="false" customWidth="true" hidden="false" outlineLevel="0" max="12" min="12" style="0" width="7"/>
    <col collapsed="false" customWidth="true" hidden="false" outlineLevel="0" max="13" min="13" style="0" width="9"/>
    <col collapsed="false" customWidth="true" hidden="false" outlineLevel="0" max="14" min="14" style="0" width="10"/>
    <col collapsed="false" customWidth="true" hidden="false" outlineLevel="0" max="15" min="15" style="0" width="22"/>
  </cols>
  <sheetData>
    <row r="1" customFormat="false" ht="31.5" hidden="false" customHeight="true" outlineLevel="0" collapsed="false">
      <c r="A1" s="15" t="s">
        <v>73</v>
      </c>
      <c r="B1" s="15"/>
      <c r="C1" s="15"/>
      <c r="D1" s="15"/>
      <c r="E1" s="15"/>
      <c r="F1" s="15"/>
      <c r="G1" s="15"/>
      <c r="H1" s="15"/>
      <c r="I1" s="15"/>
      <c r="J1" s="15"/>
      <c r="K1" s="15"/>
      <c r="L1" s="15"/>
      <c r="M1" s="15"/>
      <c r="N1" s="15"/>
      <c r="O1" s="15"/>
    </row>
    <row r="2" customFormat="false" ht="33.75" hidden="false" customHeight="true" outlineLevel="0" collapsed="false">
      <c r="A2" s="16" t="s">
        <v>74</v>
      </c>
      <c r="B2" s="16" t="s">
        <v>75</v>
      </c>
      <c r="C2" s="16" t="s">
        <v>76</v>
      </c>
      <c r="D2" s="16" t="s">
        <v>77</v>
      </c>
      <c r="E2" s="16" t="s">
        <v>78</v>
      </c>
      <c r="F2" s="16" t="s">
        <v>79</v>
      </c>
      <c r="G2" s="16" t="s">
        <v>80</v>
      </c>
      <c r="H2" s="16" t="s">
        <v>81</v>
      </c>
      <c r="I2" s="16" t="s">
        <v>82</v>
      </c>
      <c r="J2" s="16" t="s">
        <v>83</v>
      </c>
      <c r="K2" s="16" t="s">
        <v>84</v>
      </c>
      <c r="L2" s="16" t="s">
        <v>85</v>
      </c>
      <c r="M2" s="16" t="s">
        <v>86</v>
      </c>
      <c r="N2" s="16" t="s">
        <v>87</v>
      </c>
      <c r="O2" s="16" t="s">
        <v>88</v>
      </c>
    </row>
    <row r="3" customFormat="false" ht="25.5" hidden="false" customHeight="true" outlineLevel="0" collapsed="false">
      <c r="A3" s="17" t="n">
        <v>1</v>
      </c>
      <c r="B3" s="18" t="n">
        <f aca="false">'1. Hướng dẫn'!$C$5+0</f>
        <v>46266</v>
      </c>
      <c r="C3" s="19" t="n">
        <v>1</v>
      </c>
      <c r="D3" s="19" t="s">
        <v>89</v>
      </c>
      <c r="E3" s="20" t="s">
        <v>90</v>
      </c>
      <c r="F3" s="21" t="s">
        <v>91</v>
      </c>
      <c r="G3" s="20" t="s">
        <v>90</v>
      </c>
      <c r="H3" s="19" t="s">
        <v>90</v>
      </c>
      <c r="I3" s="19" t="s">
        <v>90</v>
      </c>
      <c r="J3" s="19" t="s">
        <v>92</v>
      </c>
      <c r="K3" s="20" t="s">
        <v>93</v>
      </c>
      <c r="L3" s="22" t="n">
        <v>90</v>
      </c>
      <c r="M3" s="19" t="str">
        <f aca="false">COUNTIF('3. Chi tiết N1-14'!$D$4:$D$8,"Xong")&amp;"/5"</f>
        <v>0/5</v>
      </c>
      <c r="N3" s="23" t="n">
        <f aca="false">COUNTIF('3. Chi tiết N1-14'!$D$4:$D$8,"Xong")/5</f>
        <v>0</v>
      </c>
      <c r="O3" s="19"/>
    </row>
    <row r="4" customFormat="false" ht="25.5" hidden="false" customHeight="true" outlineLevel="0" collapsed="false">
      <c r="A4" s="17" t="n">
        <v>2</v>
      </c>
      <c r="B4" s="18" t="n">
        <f aca="false">'1. Hướng dẫn'!$C$5+1</f>
        <v>46267</v>
      </c>
      <c r="C4" s="19" t="n">
        <v>1</v>
      </c>
      <c r="D4" s="19" t="s">
        <v>89</v>
      </c>
      <c r="E4" s="20" t="s">
        <v>90</v>
      </c>
      <c r="F4" s="21" t="s">
        <v>94</v>
      </c>
      <c r="G4" s="20" t="s">
        <v>90</v>
      </c>
      <c r="H4" s="19" t="s">
        <v>90</v>
      </c>
      <c r="I4" s="19" t="s">
        <v>90</v>
      </c>
      <c r="J4" s="19" t="s">
        <v>92</v>
      </c>
      <c r="K4" s="20" t="s">
        <v>93</v>
      </c>
      <c r="L4" s="22" t="n">
        <v>90</v>
      </c>
      <c r="M4" s="19" t="str">
        <f aca="false">COUNTIF('3. Chi tiết N1-14'!$D$11:$D$15,"Xong")&amp;"/5"</f>
        <v>0/5</v>
      </c>
      <c r="N4" s="23" t="n">
        <f aca="false">COUNTIF('3. Chi tiết N1-14'!$D$11:$D$15,"Xong")/5</f>
        <v>0</v>
      </c>
      <c r="O4" s="19"/>
    </row>
    <row r="5" customFormat="false" ht="25.5" hidden="false" customHeight="true" outlineLevel="0" collapsed="false">
      <c r="A5" s="17" t="n">
        <v>3</v>
      </c>
      <c r="B5" s="18" t="n">
        <f aca="false">'1. Hướng dẫn'!$C$5+2</f>
        <v>46268</v>
      </c>
      <c r="C5" s="19" t="n">
        <v>1</v>
      </c>
      <c r="D5" s="19" t="s">
        <v>89</v>
      </c>
      <c r="E5" s="20" t="s">
        <v>90</v>
      </c>
      <c r="F5" s="21" t="s">
        <v>95</v>
      </c>
      <c r="G5" s="20" t="s">
        <v>90</v>
      </c>
      <c r="H5" s="19" t="s">
        <v>90</v>
      </c>
      <c r="I5" s="19" t="s">
        <v>90</v>
      </c>
      <c r="J5" s="19" t="s">
        <v>92</v>
      </c>
      <c r="K5" s="20" t="s">
        <v>93</v>
      </c>
      <c r="L5" s="22" t="n">
        <v>90</v>
      </c>
      <c r="M5" s="19" t="str">
        <f aca="false">COUNTIF('3. Chi tiết N1-14'!$D$18:$D$22,"Xong")&amp;"/5"</f>
        <v>0/5</v>
      </c>
      <c r="N5" s="23" t="n">
        <f aca="false">COUNTIF('3. Chi tiết N1-14'!$D$18:$D$22,"Xong")/5</f>
        <v>0</v>
      </c>
      <c r="O5" s="19"/>
    </row>
    <row r="6" customFormat="false" ht="25.5" hidden="false" customHeight="true" outlineLevel="0" collapsed="false">
      <c r="A6" s="17" t="n">
        <v>4</v>
      </c>
      <c r="B6" s="18" t="n">
        <f aca="false">'1. Hướng dẫn'!$C$5+3</f>
        <v>46269</v>
      </c>
      <c r="C6" s="19" t="n">
        <v>1</v>
      </c>
      <c r="D6" s="19" t="s">
        <v>89</v>
      </c>
      <c r="E6" s="20" t="s">
        <v>90</v>
      </c>
      <c r="F6" s="21" t="s">
        <v>96</v>
      </c>
      <c r="G6" s="20" t="s">
        <v>90</v>
      </c>
      <c r="H6" s="19" t="s">
        <v>90</v>
      </c>
      <c r="I6" s="19" t="s">
        <v>90</v>
      </c>
      <c r="J6" s="19" t="s">
        <v>92</v>
      </c>
      <c r="K6" s="20" t="s">
        <v>93</v>
      </c>
      <c r="L6" s="22" t="n">
        <v>90</v>
      </c>
      <c r="M6" s="19" t="str">
        <f aca="false">COUNTIF('3. Chi tiết N1-14'!$D$25:$D$29,"Xong")&amp;"/5"</f>
        <v>0/5</v>
      </c>
      <c r="N6" s="23" t="n">
        <f aca="false">COUNTIF('3. Chi tiết N1-14'!$D$25:$D$29,"Xong")/5</f>
        <v>0</v>
      </c>
      <c r="O6" s="19"/>
    </row>
    <row r="7" customFormat="false" ht="25.5" hidden="false" customHeight="true" outlineLevel="0" collapsed="false">
      <c r="A7" s="17" t="n">
        <v>5</v>
      </c>
      <c r="B7" s="18" t="n">
        <f aca="false">'1. Hướng dẫn'!$C$5+4</f>
        <v>46270</v>
      </c>
      <c r="C7" s="19" t="n">
        <v>1</v>
      </c>
      <c r="D7" s="19" t="s">
        <v>89</v>
      </c>
      <c r="E7" s="20" t="s">
        <v>90</v>
      </c>
      <c r="F7" s="21" t="s">
        <v>97</v>
      </c>
      <c r="G7" s="20" t="s">
        <v>90</v>
      </c>
      <c r="H7" s="19" t="s">
        <v>90</v>
      </c>
      <c r="I7" s="19" t="s">
        <v>90</v>
      </c>
      <c r="J7" s="19" t="s">
        <v>92</v>
      </c>
      <c r="K7" s="20" t="s">
        <v>93</v>
      </c>
      <c r="L7" s="22" t="n">
        <v>90</v>
      </c>
      <c r="M7" s="19" t="str">
        <f aca="false">COUNTIF('3. Chi tiết N1-14'!$D$32:$D$36,"Xong")&amp;"/5"</f>
        <v>0/5</v>
      </c>
      <c r="N7" s="23" t="n">
        <f aca="false">COUNTIF('3. Chi tiết N1-14'!$D$32:$D$36,"Xong")/5</f>
        <v>0</v>
      </c>
      <c r="O7" s="19"/>
    </row>
    <row r="8" customFormat="false" ht="25.5" hidden="false" customHeight="true" outlineLevel="0" collapsed="false">
      <c r="A8" s="17" t="n">
        <v>6</v>
      </c>
      <c r="B8" s="18" t="n">
        <f aca="false">'1. Hướng dẫn'!$C$5+5</f>
        <v>46271</v>
      </c>
      <c r="C8" s="19" t="n">
        <v>1</v>
      </c>
      <c r="D8" s="19" t="s">
        <v>89</v>
      </c>
      <c r="E8" s="20" t="s">
        <v>90</v>
      </c>
      <c r="F8" s="21" t="s">
        <v>98</v>
      </c>
      <c r="G8" s="20" t="s">
        <v>90</v>
      </c>
      <c r="H8" s="19" t="s">
        <v>90</v>
      </c>
      <c r="I8" s="19" t="s">
        <v>90</v>
      </c>
      <c r="J8" s="19" t="s">
        <v>92</v>
      </c>
      <c r="K8" s="20" t="s">
        <v>93</v>
      </c>
      <c r="L8" s="22" t="n">
        <v>90</v>
      </c>
      <c r="M8" s="19" t="str">
        <f aca="false">COUNTIF('3. Chi tiết N1-14'!$D$39:$D$43,"Xong")&amp;"/5"</f>
        <v>0/5</v>
      </c>
      <c r="N8" s="23" t="n">
        <f aca="false">COUNTIF('3. Chi tiết N1-14'!$D$39:$D$43,"Xong")/5</f>
        <v>0</v>
      </c>
      <c r="O8" s="19"/>
    </row>
    <row r="9" customFormat="false" ht="25.5" hidden="false" customHeight="true" outlineLevel="0" collapsed="false">
      <c r="A9" s="17" t="n">
        <v>7</v>
      </c>
      <c r="B9" s="18" t="n">
        <f aca="false">'1. Hướng dẫn'!$C$5+6</f>
        <v>46272</v>
      </c>
      <c r="C9" s="19" t="n">
        <v>1</v>
      </c>
      <c r="D9" s="19" t="s">
        <v>89</v>
      </c>
      <c r="E9" s="20" t="s">
        <v>90</v>
      </c>
      <c r="F9" s="21" t="s">
        <v>99</v>
      </c>
      <c r="G9" s="20" t="s">
        <v>90</v>
      </c>
      <c r="H9" s="19" t="s">
        <v>90</v>
      </c>
      <c r="I9" s="19" t="s">
        <v>90</v>
      </c>
      <c r="J9" s="19" t="s">
        <v>92</v>
      </c>
      <c r="K9" s="20" t="s">
        <v>93</v>
      </c>
      <c r="L9" s="22" t="n">
        <v>85</v>
      </c>
      <c r="M9" s="19" t="str">
        <f aca="false">COUNTIF('3. Chi tiết N1-14'!$D$46:$D$50,"Xong")&amp;"/5"</f>
        <v>0/5</v>
      </c>
      <c r="N9" s="23" t="n">
        <f aca="false">COUNTIF('3. Chi tiết N1-14'!$D$46:$D$50,"Xong")/5</f>
        <v>0</v>
      </c>
      <c r="O9" s="19"/>
    </row>
    <row r="10" customFormat="false" ht="25.5" hidden="false" customHeight="true" outlineLevel="0" collapsed="false">
      <c r="A10" s="17" t="n">
        <v>8</v>
      </c>
      <c r="B10" s="18" t="n">
        <f aca="false">'1. Hướng dẫn'!$C$5+7</f>
        <v>46273</v>
      </c>
      <c r="C10" s="19" t="n">
        <v>2</v>
      </c>
      <c r="D10" s="19" t="s">
        <v>89</v>
      </c>
      <c r="E10" s="20" t="s">
        <v>90</v>
      </c>
      <c r="F10" s="21" t="s">
        <v>100</v>
      </c>
      <c r="G10" s="20" t="s">
        <v>90</v>
      </c>
      <c r="H10" s="19" t="s">
        <v>90</v>
      </c>
      <c r="I10" s="19" t="s">
        <v>90</v>
      </c>
      <c r="J10" s="19" t="s">
        <v>92</v>
      </c>
      <c r="K10" s="20" t="s">
        <v>93</v>
      </c>
      <c r="L10" s="22" t="n">
        <v>90</v>
      </c>
      <c r="M10" s="19" t="str">
        <f aca="false">COUNTIF('3. Chi tiết N1-14'!$D$53:$D$57,"Xong")&amp;"/5"</f>
        <v>0/5</v>
      </c>
      <c r="N10" s="23" t="n">
        <f aca="false">COUNTIF('3. Chi tiết N1-14'!$D$53:$D$57,"Xong")/5</f>
        <v>0</v>
      </c>
      <c r="O10" s="19"/>
    </row>
    <row r="11" customFormat="false" ht="25.5" hidden="false" customHeight="true" outlineLevel="0" collapsed="false">
      <c r="A11" s="17" t="n">
        <v>9</v>
      </c>
      <c r="B11" s="18" t="n">
        <f aca="false">'1. Hướng dẫn'!$C$5+8</f>
        <v>46274</v>
      </c>
      <c r="C11" s="19" t="n">
        <v>2</v>
      </c>
      <c r="D11" s="19" t="s">
        <v>89</v>
      </c>
      <c r="E11" s="20" t="s">
        <v>90</v>
      </c>
      <c r="F11" s="21" t="s">
        <v>101</v>
      </c>
      <c r="G11" s="20" t="s">
        <v>90</v>
      </c>
      <c r="H11" s="19" t="s">
        <v>90</v>
      </c>
      <c r="I11" s="19" t="s">
        <v>90</v>
      </c>
      <c r="J11" s="19" t="s">
        <v>92</v>
      </c>
      <c r="K11" s="20" t="s">
        <v>93</v>
      </c>
      <c r="L11" s="22" t="n">
        <v>90</v>
      </c>
      <c r="M11" s="19" t="str">
        <f aca="false">COUNTIF('3. Chi tiết N1-14'!$D$60:$D$64,"Xong")&amp;"/5"</f>
        <v>0/5</v>
      </c>
      <c r="N11" s="23" t="n">
        <f aca="false">COUNTIF('3. Chi tiết N1-14'!$D$60:$D$64,"Xong")/5</f>
        <v>0</v>
      </c>
      <c r="O11" s="19"/>
    </row>
    <row r="12" customFormat="false" ht="25.5" hidden="false" customHeight="true" outlineLevel="0" collapsed="false">
      <c r="A12" s="17" t="n">
        <v>10</v>
      </c>
      <c r="B12" s="18" t="n">
        <f aca="false">'1. Hướng dẫn'!$C$5+9</f>
        <v>46275</v>
      </c>
      <c r="C12" s="19" t="n">
        <v>2</v>
      </c>
      <c r="D12" s="19" t="s">
        <v>89</v>
      </c>
      <c r="E12" s="20" t="s">
        <v>90</v>
      </c>
      <c r="F12" s="21" t="s">
        <v>102</v>
      </c>
      <c r="G12" s="20" t="s">
        <v>90</v>
      </c>
      <c r="H12" s="19" t="s">
        <v>90</v>
      </c>
      <c r="I12" s="19" t="s">
        <v>90</v>
      </c>
      <c r="J12" s="19" t="s">
        <v>92</v>
      </c>
      <c r="K12" s="20" t="s">
        <v>93</v>
      </c>
      <c r="L12" s="22" t="n">
        <v>90</v>
      </c>
      <c r="M12" s="19" t="str">
        <f aca="false">COUNTIF('3. Chi tiết N1-14'!$D$67:$D$71,"Xong")&amp;"/5"</f>
        <v>0/5</v>
      </c>
      <c r="N12" s="23" t="n">
        <f aca="false">COUNTIF('3. Chi tiết N1-14'!$D$67:$D$71,"Xong")/5</f>
        <v>0</v>
      </c>
      <c r="O12" s="19"/>
    </row>
    <row r="13" customFormat="false" ht="25.5" hidden="false" customHeight="true" outlineLevel="0" collapsed="false">
      <c r="A13" s="17" t="n">
        <v>11</v>
      </c>
      <c r="B13" s="18" t="n">
        <f aca="false">'1. Hướng dẫn'!$C$5+10</f>
        <v>46276</v>
      </c>
      <c r="C13" s="19" t="n">
        <v>2</v>
      </c>
      <c r="D13" s="19" t="s">
        <v>89</v>
      </c>
      <c r="E13" s="20" t="s">
        <v>90</v>
      </c>
      <c r="F13" s="21" t="s">
        <v>103</v>
      </c>
      <c r="G13" s="20" t="s">
        <v>90</v>
      </c>
      <c r="H13" s="19" t="s">
        <v>90</v>
      </c>
      <c r="I13" s="19" t="s">
        <v>90</v>
      </c>
      <c r="J13" s="19" t="s">
        <v>92</v>
      </c>
      <c r="K13" s="20" t="s">
        <v>93</v>
      </c>
      <c r="L13" s="22" t="n">
        <v>90</v>
      </c>
      <c r="M13" s="19" t="str">
        <f aca="false">COUNTIF('3. Chi tiết N1-14'!$D$74:$D$78,"Xong")&amp;"/5"</f>
        <v>0/5</v>
      </c>
      <c r="N13" s="23" t="n">
        <f aca="false">COUNTIF('3. Chi tiết N1-14'!$D$74:$D$78,"Xong")/5</f>
        <v>0</v>
      </c>
      <c r="O13" s="19"/>
    </row>
    <row r="14" customFormat="false" ht="25.5" hidden="false" customHeight="true" outlineLevel="0" collapsed="false">
      <c r="A14" s="17" t="n">
        <v>12</v>
      </c>
      <c r="B14" s="18" t="n">
        <f aca="false">'1. Hướng dẫn'!$C$5+11</f>
        <v>46277</v>
      </c>
      <c r="C14" s="19" t="n">
        <v>2</v>
      </c>
      <c r="D14" s="19" t="s">
        <v>89</v>
      </c>
      <c r="E14" s="20" t="s">
        <v>90</v>
      </c>
      <c r="F14" s="21" t="s">
        <v>104</v>
      </c>
      <c r="G14" s="20" t="s">
        <v>90</v>
      </c>
      <c r="H14" s="19" t="s">
        <v>90</v>
      </c>
      <c r="I14" s="19" t="s">
        <v>90</v>
      </c>
      <c r="J14" s="19" t="s">
        <v>92</v>
      </c>
      <c r="K14" s="20" t="s">
        <v>93</v>
      </c>
      <c r="L14" s="22" t="n">
        <v>90</v>
      </c>
      <c r="M14" s="19" t="str">
        <f aca="false">COUNTIF('3. Chi tiết N1-14'!$D$81:$D$85,"Xong")&amp;"/5"</f>
        <v>0/5</v>
      </c>
      <c r="N14" s="23" t="n">
        <f aca="false">COUNTIF('3. Chi tiết N1-14'!$D$81:$D$85,"Xong")/5</f>
        <v>0</v>
      </c>
      <c r="O14" s="19"/>
    </row>
    <row r="15" customFormat="false" ht="25.5" hidden="false" customHeight="true" outlineLevel="0" collapsed="false">
      <c r="A15" s="17" t="n">
        <v>13</v>
      </c>
      <c r="B15" s="18" t="n">
        <f aca="false">'1. Hướng dẫn'!$C$5+12</f>
        <v>46278</v>
      </c>
      <c r="C15" s="19" t="n">
        <v>2</v>
      </c>
      <c r="D15" s="19" t="s">
        <v>89</v>
      </c>
      <c r="E15" s="20" t="s">
        <v>90</v>
      </c>
      <c r="F15" s="21" t="s">
        <v>105</v>
      </c>
      <c r="G15" s="20" t="s">
        <v>90</v>
      </c>
      <c r="H15" s="19" t="s">
        <v>90</v>
      </c>
      <c r="I15" s="19" t="s">
        <v>90</v>
      </c>
      <c r="J15" s="19" t="s">
        <v>92</v>
      </c>
      <c r="K15" s="20" t="s">
        <v>93</v>
      </c>
      <c r="L15" s="22" t="n">
        <v>90</v>
      </c>
      <c r="M15" s="19" t="str">
        <f aca="false">COUNTIF('3. Chi tiết N1-14'!$D$88:$D$92,"Xong")&amp;"/5"</f>
        <v>0/5</v>
      </c>
      <c r="N15" s="23" t="n">
        <f aca="false">COUNTIF('3. Chi tiết N1-14'!$D$88:$D$92,"Xong")/5</f>
        <v>0</v>
      </c>
      <c r="O15" s="19"/>
    </row>
    <row r="16" customFormat="false" ht="25.5" hidden="false" customHeight="true" outlineLevel="0" collapsed="false">
      <c r="A16" s="17" t="n">
        <v>14</v>
      </c>
      <c r="B16" s="18" t="n">
        <f aca="false">'1. Hướng dẫn'!$C$5+13</f>
        <v>46279</v>
      </c>
      <c r="C16" s="19" t="n">
        <v>2</v>
      </c>
      <c r="D16" s="19" t="s">
        <v>89</v>
      </c>
      <c r="E16" s="20" t="s">
        <v>90</v>
      </c>
      <c r="F16" s="21" t="s">
        <v>106</v>
      </c>
      <c r="G16" s="20" t="s">
        <v>90</v>
      </c>
      <c r="H16" s="19" t="s">
        <v>90</v>
      </c>
      <c r="I16" s="19" t="s">
        <v>90</v>
      </c>
      <c r="J16" s="19" t="s">
        <v>92</v>
      </c>
      <c r="K16" s="20" t="s">
        <v>93</v>
      </c>
      <c r="L16" s="22" t="n">
        <v>85</v>
      </c>
      <c r="M16" s="19" t="str">
        <f aca="false">COUNTIF('3. Chi tiết N1-14'!$D$95:$D$99,"Xong")&amp;"/5"</f>
        <v>0/5</v>
      </c>
      <c r="N16" s="23" t="n">
        <f aca="false">COUNTIF('3. Chi tiết N1-14'!$D$95:$D$99,"Xong")/5</f>
        <v>0</v>
      </c>
      <c r="O16" s="19"/>
    </row>
    <row r="17" customFormat="false" ht="25.5" hidden="false" customHeight="true" outlineLevel="0" collapsed="false">
      <c r="A17" s="24" t="n">
        <v>15</v>
      </c>
      <c r="B17" s="25" t="n">
        <f aca="false">'1. Hướng dẫn'!$C$5+14</f>
        <v>46280</v>
      </c>
      <c r="C17" s="26" t="n">
        <v>3</v>
      </c>
      <c r="D17" s="26" t="s">
        <v>78</v>
      </c>
      <c r="E17" s="27" t="s">
        <v>107</v>
      </c>
      <c r="F17" s="28" t="s">
        <v>108</v>
      </c>
      <c r="G17" s="29" t="s">
        <v>109</v>
      </c>
      <c r="H17" s="30" t="s">
        <v>110</v>
      </c>
      <c r="I17" s="26" t="s">
        <v>111</v>
      </c>
      <c r="J17" s="26" t="s">
        <v>112</v>
      </c>
      <c r="K17" s="27" t="s">
        <v>93</v>
      </c>
      <c r="L17" s="31" t="n">
        <v>100</v>
      </c>
      <c r="M17" s="26" t="str">
        <f aca="false">COUNTIF('4. Chi tiết N15-45'!$D$4:$D$9,"Xong")&amp;"/6"</f>
        <v>0/6</v>
      </c>
      <c r="N17" s="32" t="n">
        <f aca="false">COUNTIF('4. Chi tiết N15-45'!$D$4:$D$9,"Xong")/6</f>
        <v>0</v>
      </c>
      <c r="O17" s="26"/>
    </row>
    <row r="18" customFormat="false" ht="25.5" hidden="false" customHeight="true" outlineLevel="0" collapsed="false">
      <c r="A18" s="24" t="n">
        <v>16</v>
      </c>
      <c r="B18" s="25" t="n">
        <f aca="false">'1. Hướng dẫn'!$C$5+15</f>
        <v>46281</v>
      </c>
      <c r="C18" s="26" t="n">
        <v>3</v>
      </c>
      <c r="D18" s="26" t="s">
        <v>78</v>
      </c>
      <c r="E18" s="27" t="s">
        <v>113</v>
      </c>
      <c r="F18" s="28" t="s">
        <v>108</v>
      </c>
      <c r="G18" s="29" t="s">
        <v>114</v>
      </c>
      <c r="H18" s="30" t="s">
        <v>115</v>
      </c>
      <c r="I18" s="26" t="s">
        <v>116</v>
      </c>
      <c r="J18" s="26" t="s">
        <v>112</v>
      </c>
      <c r="K18" s="27" t="s">
        <v>93</v>
      </c>
      <c r="L18" s="31" t="n">
        <v>100</v>
      </c>
      <c r="M18" s="26" t="str">
        <f aca="false">COUNTIF('4. Chi tiết N15-45'!$D$12:$D$17,"Xong")&amp;"/6"</f>
        <v>0/6</v>
      </c>
      <c r="N18" s="32" t="n">
        <f aca="false">COUNTIF('4. Chi tiết N15-45'!$D$12:$D$17,"Xong")/6</f>
        <v>0</v>
      </c>
      <c r="O18" s="26"/>
    </row>
    <row r="19" customFormat="false" ht="25.5" hidden="false" customHeight="true" outlineLevel="0" collapsed="false">
      <c r="A19" s="24" t="n">
        <v>17</v>
      </c>
      <c r="B19" s="25" t="n">
        <f aca="false">'1. Hướng dẫn'!$C$5+16</f>
        <v>46282</v>
      </c>
      <c r="C19" s="26" t="n">
        <v>3</v>
      </c>
      <c r="D19" s="26" t="s">
        <v>78</v>
      </c>
      <c r="E19" s="27" t="s">
        <v>117</v>
      </c>
      <c r="F19" s="33" t="s">
        <v>118</v>
      </c>
      <c r="G19" s="29" t="s">
        <v>119</v>
      </c>
      <c r="H19" s="30" t="s">
        <v>120</v>
      </c>
      <c r="I19" s="26" t="s">
        <v>111</v>
      </c>
      <c r="J19" s="26" t="s">
        <v>112</v>
      </c>
      <c r="K19" s="27" t="s">
        <v>121</v>
      </c>
      <c r="L19" s="31" t="n">
        <v>100</v>
      </c>
      <c r="M19" s="26" t="str">
        <f aca="false">COUNTIF('4. Chi tiết N15-45'!$D$20:$D$25,"Xong")&amp;"/6"</f>
        <v>0/6</v>
      </c>
      <c r="N19" s="32" t="n">
        <f aca="false">COUNTIF('4. Chi tiết N15-45'!$D$20:$D$25,"Xong")/6</f>
        <v>0</v>
      </c>
      <c r="O19" s="26"/>
    </row>
    <row r="20" customFormat="false" ht="25.5" hidden="false" customHeight="true" outlineLevel="0" collapsed="false">
      <c r="A20" s="24" t="n">
        <v>18</v>
      </c>
      <c r="B20" s="25" t="n">
        <f aca="false">'1. Hướng dẫn'!$C$5+17</f>
        <v>46283</v>
      </c>
      <c r="C20" s="26" t="n">
        <v>3</v>
      </c>
      <c r="D20" s="26" t="s">
        <v>78</v>
      </c>
      <c r="E20" s="27" t="s">
        <v>122</v>
      </c>
      <c r="F20" s="33" t="s">
        <v>118</v>
      </c>
      <c r="G20" s="29" t="s">
        <v>123</v>
      </c>
      <c r="H20" s="30" t="s">
        <v>124</v>
      </c>
      <c r="I20" s="26" t="s">
        <v>116</v>
      </c>
      <c r="J20" s="26" t="s">
        <v>112</v>
      </c>
      <c r="K20" s="27" t="s">
        <v>93</v>
      </c>
      <c r="L20" s="31" t="n">
        <v>100</v>
      </c>
      <c r="M20" s="26" t="str">
        <f aca="false">COUNTIF('4. Chi tiết N15-45'!$D$28:$D$33,"Xong")&amp;"/6"</f>
        <v>0/6</v>
      </c>
      <c r="N20" s="32" t="n">
        <f aca="false">COUNTIF('4. Chi tiết N15-45'!$D$28:$D$33,"Xong")/6</f>
        <v>0</v>
      </c>
      <c r="O20" s="26"/>
    </row>
    <row r="21" customFormat="false" ht="25.5" hidden="false" customHeight="true" outlineLevel="0" collapsed="false">
      <c r="A21" s="24" t="n">
        <v>19</v>
      </c>
      <c r="B21" s="25" t="n">
        <f aca="false">'1. Hướng dẫn'!$C$5+18</f>
        <v>46284</v>
      </c>
      <c r="C21" s="26" t="n">
        <v>3</v>
      </c>
      <c r="D21" s="26" t="s">
        <v>78</v>
      </c>
      <c r="E21" s="27" t="s">
        <v>125</v>
      </c>
      <c r="F21" s="33" t="s">
        <v>126</v>
      </c>
      <c r="G21" s="29" t="s">
        <v>127</v>
      </c>
      <c r="H21" s="30" t="s">
        <v>128</v>
      </c>
      <c r="I21" s="26" t="s">
        <v>111</v>
      </c>
      <c r="J21" s="26" t="s">
        <v>112</v>
      </c>
      <c r="K21" s="27" t="s">
        <v>121</v>
      </c>
      <c r="L21" s="31" t="n">
        <v>100</v>
      </c>
      <c r="M21" s="26" t="str">
        <f aca="false">COUNTIF('4. Chi tiết N15-45'!$D$36:$D$41,"Xong")&amp;"/6"</f>
        <v>0/6</v>
      </c>
      <c r="N21" s="32" t="n">
        <f aca="false">COUNTIF('4. Chi tiết N15-45'!$D$36:$D$41,"Xong")/6</f>
        <v>0</v>
      </c>
      <c r="O21" s="26"/>
    </row>
    <row r="22" customFormat="false" ht="25.5" hidden="false" customHeight="true" outlineLevel="0" collapsed="false">
      <c r="A22" s="24" t="n">
        <v>20</v>
      </c>
      <c r="B22" s="25" t="n">
        <f aca="false">'1. Hướng dẫn'!$C$5+19</f>
        <v>46285</v>
      </c>
      <c r="C22" s="26" t="n">
        <v>3</v>
      </c>
      <c r="D22" s="26" t="s">
        <v>78</v>
      </c>
      <c r="E22" s="27" t="s">
        <v>129</v>
      </c>
      <c r="F22" s="33" t="s">
        <v>126</v>
      </c>
      <c r="G22" s="29" t="s">
        <v>130</v>
      </c>
      <c r="H22" s="30" t="s">
        <v>131</v>
      </c>
      <c r="I22" s="26" t="s">
        <v>116</v>
      </c>
      <c r="J22" s="26" t="s">
        <v>112</v>
      </c>
      <c r="K22" s="27" t="s">
        <v>93</v>
      </c>
      <c r="L22" s="31" t="n">
        <v>100</v>
      </c>
      <c r="M22" s="26" t="str">
        <f aca="false">COUNTIF('4. Chi tiết N15-45'!$D$44:$D$49,"Xong")&amp;"/6"</f>
        <v>0/6</v>
      </c>
      <c r="N22" s="32" t="n">
        <f aca="false">COUNTIF('4. Chi tiết N15-45'!$D$44:$D$49,"Xong")/6</f>
        <v>0</v>
      </c>
      <c r="O22" s="26"/>
    </row>
    <row r="23" customFormat="false" ht="25.5" hidden="false" customHeight="true" outlineLevel="0" collapsed="false">
      <c r="A23" s="34" t="n">
        <v>21</v>
      </c>
      <c r="B23" s="35" t="n">
        <f aca="false">'1. Hướng dẫn'!$C$5+20</f>
        <v>46286</v>
      </c>
      <c r="C23" s="36" t="n">
        <v>3</v>
      </c>
      <c r="D23" s="36" t="s">
        <v>78</v>
      </c>
      <c r="E23" s="37" t="s">
        <v>132</v>
      </c>
      <c r="F23" s="38" t="s">
        <v>133</v>
      </c>
      <c r="G23" s="37" t="s">
        <v>134</v>
      </c>
      <c r="H23" s="36" t="s">
        <v>134</v>
      </c>
      <c r="I23" s="39" t="s">
        <v>135</v>
      </c>
      <c r="J23" s="36" t="s">
        <v>134</v>
      </c>
      <c r="K23" s="37" t="s">
        <v>136</v>
      </c>
      <c r="L23" s="40" t="n">
        <v>105</v>
      </c>
      <c r="M23" s="36" t="str">
        <f aca="false">COUNTIF('4. Chi tiết N15-45'!$D$52:$D$56,"Xong")&amp;"/5"</f>
        <v>0/5</v>
      </c>
      <c r="N23" s="41" t="n">
        <f aca="false">COUNTIF('4. Chi tiết N15-45'!$D$52:$D$56,"Xong")/5</f>
        <v>0</v>
      </c>
      <c r="O23" s="36"/>
    </row>
    <row r="24" customFormat="false" ht="25.5" hidden="false" customHeight="true" outlineLevel="0" collapsed="false">
      <c r="A24" s="24" t="n">
        <v>22</v>
      </c>
      <c r="B24" s="25" t="n">
        <f aca="false">'1. Hướng dẫn'!$C$5+21</f>
        <v>46287</v>
      </c>
      <c r="C24" s="26" t="n">
        <v>4</v>
      </c>
      <c r="D24" s="26" t="s">
        <v>78</v>
      </c>
      <c r="E24" s="27" t="s">
        <v>137</v>
      </c>
      <c r="F24" s="28" t="s">
        <v>138</v>
      </c>
      <c r="G24" s="29" t="s">
        <v>139</v>
      </c>
      <c r="H24" s="30" t="s">
        <v>140</v>
      </c>
      <c r="I24" s="26" t="s">
        <v>111</v>
      </c>
      <c r="J24" s="26" t="s">
        <v>112</v>
      </c>
      <c r="K24" s="27" t="s">
        <v>93</v>
      </c>
      <c r="L24" s="31" t="n">
        <v>100</v>
      </c>
      <c r="M24" s="26" t="str">
        <f aca="false">COUNTIF('4. Chi tiết N15-45'!$D$59:$D$64,"Xong")&amp;"/6"</f>
        <v>0/6</v>
      </c>
      <c r="N24" s="32" t="n">
        <f aca="false">COUNTIF('4. Chi tiết N15-45'!$D$59:$D$64,"Xong")/6</f>
        <v>0</v>
      </c>
      <c r="O24" s="26"/>
    </row>
    <row r="25" customFormat="false" ht="25.5" hidden="false" customHeight="true" outlineLevel="0" collapsed="false">
      <c r="A25" s="24" t="n">
        <v>23</v>
      </c>
      <c r="B25" s="25" t="n">
        <f aca="false">'1. Hướng dẫn'!$C$5+22</f>
        <v>46288</v>
      </c>
      <c r="C25" s="26" t="n">
        <v>4</v>
      </c>
      <c r="D25" s="26" t="s">
        <v>78</v>
      </c>
      <c r="E25" s="27" t="s">
        <v>141</v>
      </c>
      <c r="F25" s="28" t="s">
        <v>138</v>
      </c>
      <c r="G25" s="29" t="s">
        <v>142</v>
      </c>
      <c r="H25" s="30" t="s">
        <v>143</v>
      </c>
      <c r="I25" s="26" t="s">
        <v>111</v>
      </c>
      <c r="J25" s="26" t="s">
        <v>112</v>
      </c>
      <c r="K25" s="27" t="s">
        <v>121</v>
      </c>
      <c r="L25" s="31" t="n">
        <v>100</v>
      </c>
      <c r="M25" s="26" t="str">
        <f aca="false">COUNTIF('4. Chi tiết N15-45'!$D$67:$D$72,"Xong")&amp;"/6"</f>
        <v>0/6</v>
      </c>
      <c r="N25" s="32" t="n">
        <f aca="false">COUNTIF('4. Chi tiết N15-45'!$D$67:$D$72,"Xong")/6</f>
        <v>0</v>
      </c>
      <c r="O25" s="26"/>
    </row>
    <row r="26" customFormat="false" ht="25.5" hidden="false" customHeight="true" outlineLevel="0" collapsed="false">
      <c r="A26" s="24" t="n">
        <v>24</v>
      </c>
      <c r="B26" s="25" t="n">
        <f aca="false">'1. Hướng dẫn'!$C$5+23</f>
        <v>46289</v>
      </c>
      <c r="C26" s="26" t="n">
        <v>4</v>
      </c>
      <c r="D26" s="26" t="s">
        <v>78</v>
      </c>
      <c r="E26" s="27" t="s">
        <v>144</v>
      </c>
      <c r="F26" s="28" t="s">
        <v>145</v>
      </c>
      <c r="G26" s="29" t="s">
        <v>146</v>
      </c>
      <c r="H26" s="30" t="s">
        <v>147</v>
      </c>
      <c r="I26" s="26" t="s">
        <v>111</v>
      </c>
      <c r="J26" s="26" t="s">
        <v>112</v>
      </c>
      <c r="K26" s="27" t="s">
        <v>93</v>
      </c>
      <c r="L26" s="31" t="n">
        <v>100</v>
      </c>
      <c r="M26" s="26" t="str">
        <f aca="false">COUNTIF('4. Chi tiết N15-45'!$D$75:$D$80,"Xong")&amp;"/6"</f>
        <v>0/6</v>
      </c>
      <c r="N26" s="32" t="n">
        <f aca="false">COUNTIF('4. Chi tiết N15-45'!$D$75:$D$80,"Xong")/6</f>
        <v>0</v>
      </c>
      <c r="O26" s="26"/>
    </row>
    <row r="27" customFormat="false" ht="25.5" hidden="false" customHeight="true" outlineLevel="0" collapsed="false">
      <c r="A27" s="24" t="n">
        <v>25</v>
      </c>
      <c r="B27" s="25" t="n">
        <f aca="false">'1. Hướng dẫn'!$C$5+24</f>
        <v>46290</v>
      </c>
      <c r="C27" s="26" t="n">
        <v>4</v>
      </c>
      <c r="D27" s="26" t="s">
        <v>78</v>
      </c>
      <c r="E27" s="27" t="s">
        <v>148</v>
      </c>
      <c r="F27" s="28" t="s">
        <v>145</v>
      </c>
      <c r="G27" s="29" t="s">
        <v>149</v>
      </c>
      <c r="H27" s="30" t="s">
        <v>150</v>
      </c>
      <c r="I27" s="26" t="s">
        <v>116</v>
      </c>
      <c r="J27" s="26" t="s">
        <v>112</v>
      </c>
      <c r="K27" s="27" t="s">
        <v>121</v>
      </c>
      <c r="L27" s="31" t="n">
        <v>100</v>
      </c>
      <c r="M27" s="26" t="str">
        <f aca="false">COUNTIF('4. Chi tiết N15-45'!$D$83:$D$88,"Xong")&amp;"/6"</f>
        <v>0/6</v>
      </c>
      <c r="N27" s="32" t="n">
        <f aca="false">COUNTIF('4. Chi tiết N15-45'!$D$83:$D$88,"Xong")/6</f>
        <v>0</v>
      </c>
      <c r="O27" s="26"/>
    </row>
    <row r="28" customFormat="false" ht="25.5" hidden="false" customHeight="true" outlineLevel="0" collapsed="false">
      <c r="A28" s="24" t="n">
        <v>26</v>
      </c>
      <c r="B28" s="25" t="n">
        <f aca="false">'1. Hướng dẫn'!$C$5+25</f>
        <v>46291</v>
      </c>
      <c r="C28" s="26" t="n">
        <v>4</v>
      </c>
      <c r="D28" s="26" t="s">
        <v>78</v>
      </c>
      <c r="E28" s="27" t="s">
        <v>151</v>
      </c>
      <c r="F28" s="28" t="s">
        <v>152</v>
      </c>
      <c r="G28" s="29" t="s">
        <v>153</v>
      </c>
      <c r="H28" s="30" t="s">
        <v>154</v>
      </c>
      <c r="I28" s="26" t="s">
        <v>111</v>
      </c>
      <c r="J28" s="26" t="s">
        <v>112</v>
      </c>
      <c r="K28" s="27" t="s">
        <v>93</v>
      </c>
      <c r="L28" s="31" t="n">
        <v>100</v>
      </c>
      <c r="M28" s="26" t="str">
        <f aca="false">COUNTIF('4. Chi tiết N15-45'!$D$91:$D$96,"Xong")&amp;"/6"</f>
        <v>0/6</v>
      </c>
      <c r="N28" s="32" t="n">
        <f aca="false">COUNTIF('4. Chi tiết N15-45'!$D$91:$D$96,"Xong")/6</f>
        <v>0</v>
      </c>
      <c r="O28" s="26"/>
    </row>
    <row r="29" customFormat="false" ht="25.5" hidden="false" customHeight="true" outlineLevel="0" collapsed="false">
      <c r="A29" s="24" t="n">
        <v>27</v>
      </c>
      <c r="B29" s="25" t="n">
        <f aca="false">'1. Hướng dẫn'!$C$5+26</f>
        <v>46292</v>
      </c>
      <c r="C29" s="26" t="n">
        <v>4</v>
      </c>
      <c r="D29" s="26" t="s">
        <v>78</v>
      </c>
      <c r="E29" s="27" t="s">
        <v>155</v>
      </c>
      <c r="F29" s="28" t="s">
        <v>152</v>
      </c>
      <c r="G29" s="29" t="s">
        <v>156</v>
      </c>
      <c r="H29" s="30" t="s">
        <v>157</v>
      </c>
      <c r="I29" s="26" t="s">
        <v>116</v>
      </c>
      <c r="J29" s="26" t="s">
        <v>112</v>
      </c>
      <c r="K29" s="27" t="s">
        <v>93</v>
      </c>
      <c r="L29" s="31" t="n">
        <v>100</v>
      </c>
      <c r="M29" s="26" t="str">
        <f aca="false">COUNTIF('4. Chi tiết N15-45'!$D$99:$D$104,"Xong")&amp;"/6"</f>
        <v>0/6</v>
      </c>
      <c r="N29" s="32" t="n">
        <f aca="false">COUNTIF('4. Chi tiết N15-45'!$D$99:$D$104,"Xong")/6</f>
        <v>0</v>
      </c>
      <c r="O29" s="26"/>
    </row>
    <row r="30" customFormat="false" ht="25.5" hidden="false" customHeight="true" outlineLevel="0" collapsed="false">
      <c r="A30" s="34" t="n">
        <v>28</v>
      </c>
      <c r="B30" s="35" t="n">
        <f aca="false">'1. Hướng dẫn'!$C$5+27</f>
        <v>46293</v>
      </c>
      <c r="C30" s="36" t="n">
        <v>4</v>
      </c>
      <c r="D30" s="36" t="s">
        <v>78</v>
      </c>
      <c r="E30" s="37" t="s">
        <v>158</v>
      </c>
      <c r="F30" s="38" t="s">
        <v>159</v>
      </c>
      <c r="G30" s="37" t="s">
        <v>134</v>
      </c>
      <c r="H30" s="36" t="s">
        <v>134</v>
      </c>
      <c r="I30" s="39" t="s">
        <v>135</v>
      </c>
      <c r="J30" s="36" t="s">
        <v>134</v>
      </c>
      <c r="K30" s="37" t="s">
        <v>136</v>
      </c>
      <c r="L30" s="40" t="n">
        <v>105</v>
      </c>
      <c r="M30" s="36" t="str">
        <f aca="false">COUNTIF('4. Chi tiết N15-45'!$D$107:$D$111,"Xong")&amp;"/5"</f>
        <v>0/5</v>
      </c>
      <c r="N30" s="41" t="n">
        <f aca="false">COUNTIF('4. Chi tiết N15-45'!$D$107:$D$111,"Xong")/5</f>
        <v>0</v>
      </c>
      <c r="O30" s="36"/>
    </row>
    <row r="31" customFormat="false" ht="25.5" hidden="false" customHeight="true" outlineLevel="0" collapsed="false">
      <c r="A31" s="24" t="n">
        <v>29</v>
      </c>
      <c r="B31" s="25" t="n">
        <f aca="false">'1. Hướng dẫn'!$C$5+28</f>
        <v>46294</v>
      </c>
      <c r="C31" s="26" t="n">
        <v>5</v>
      </c>
      <c r="D31" s="26" t="s">
        <v>78</v>
      </c>
      <c r="E31" s="27" t="s">
        <v>160</v>
      </c>
      <c r="F31" s="28" t="s">
        <v>161</v>
      </c>
      <c r="G31" s="29" t="s">
        <v>162</v>
      </c>
      <c r="H31" s="30" t="s">
        <v>163</v>
      </c>
      <c r="I31" s="26" t="s">
        <v>111</v>
      </c>
      <c r="J31" s="26" t="s">
        <v>112</v>
      </c>
      <c r="K31" s="27" t="s">
        <v>121</v>
      </c>
      <c r="L31" s="31" t="n">
        <v>100</v>
      </c>
      <c r="M31" s="26" t="str">
        <f aca="false">COUNTIF('4. Chi tiết N15-45'!$D$114:$D$119,"Xong")&amp;"/6"</f>
        <v>0/6</v>
      </c>
      <c r="N31" s="32" t="n">
        <f aca="false">COUNTIF('4. Chi tiết N15-45'!$D$114:$D$119,"Xong")/6</f>
        <v>0</v>
      </c>
      <c r="O31" s="26"/>
    </row>
    <row r="32" customFormat="false" ht="25.5" hidden="false" customHeight="true" outlineLevel="0" collapsed="false">
      <c r="A32" s="24" t="n">
        <v>30</v>
      </c>
      <c r="B32" s="25" t="n">
        <f aca="false">'1. Hướng dẫn'!$C$5+29</f>
        <v>46295</v>
      </c>
      <c r="C32" s="26" t="n">
        <v>5</v>
      </c>
      <c r="D32" s="26" t="s">
        <v>78</v>
      </c>
      <c r="E32" s="27" t="s">
        <v>164</v>
      </c>
      <c r="F32" s="28" t="s">
        <v>161</v>
      </c>
      <c r="G32" s="29" t="s">
        <v>165</v>
      </c>
      <c r="H32" s="30" t="s">
        <v>166</v>
      </c>
      <c r="I32" s="26" t="s">
        <v>116</v>
      </c>
      <c r="J32" s="26" t="s">
        <v>112</v>
      </c>
      <c r="K32" s="27" t="s">
        <v>93</v>
      </c>
      <c r="L32" s="31" t="n">
        <v>100</v>
      </c>
      <c r="M32" s="26" t="str">
        <f aca="false">COUNTIF('4. Chi tiết N15-45'!$D$122:$D$127,"Xong")&amp;"/6"</f>
        <v>0/6</v>
      </c>
      <c r="N32" s="32" t="n">
        <f aca="false">COUNTIF('4. Chi tiết N15-45'!$D$122:$D$127,"Xong")/6</f>
        <v>0</v>
      </c>
      <c r="O32" s="26"/>
    </row>
    <row r="33" customFormat="false" ht="25.5" hidden="false" customHeight="true" outlineLevel="0" collapsed="false">
      <c r="A33" s="24" t="n">
        <v>31</v>
      </c>
      <c r="B33" s="25" t="n">
        <f aca="false">'1. Hướng dẫn'!$C$5+30</f>
        <v>46296</v>
      </c>
      <c r="C33" s="26" t="n">
        <v>5</v>
      </c>
      <c r="D33" s="26" t="s">
        <v>78</v>
      </c>
      <c r="E33" s="27" t="s">
        <v>167</v>
      </c>
      <c r="F33" s="28" t="s">
        <v>168</v>
      </c>
      <c r="G33" s="29" t="s">
        <v>169</v>
      </c>
      <c r="H33" s="30" t="s">
        <v>170</v>
      </c>
      <c r="I33" s="26" t="s">
        <v>111</v>
      </c>
      <c r="J33" s="26" t="s">
        <v>112</v>
      </c>
      <c r="K33" s="27" t="s">
        <v>121</v>
      </c>
      <c r="L33" s="31" t="n">
        <v>100</v>
      </c>
      <c r="M33" s="26" t="str">
        <f aca="false">COUNTIF('4. Chi tiết N15-45'!$D$130:$D$135,"Xong")&amp;"/6"</f>
        <v>0/6</v>
      </c>
      <c r="N33" s="32" t="n">
        <f aca="false">COUNTIF('4. Chi tiết N15-45'!$D$130:$D$135,"Xong")/6</f>
        <v>0</v>
      </c>
      <c r="O33" s="26"/>
    </row>
    <row r="34" customFormat="false" ht="25.5" hidden="false" customHeight="true" outlineLevel="0" collapsed="false">
      <c r="A34" s="24" t="n">
        <v>32</v>
      </c>
      <c r="B34" s="25" t="n">
        <f aca="false">'1. Hướng dẫn'!$C$5+31</f>
        <v>46297</v>
      </c>
      <c r="C34" s="26" t="n">
        <v>5</v>
      </c>
      <c r="D34" s="26" t="s">
        <v>78</v>
      </c>
      <c r="E34" s="27" t="s">
        <v>171</v>
      </c>
      <c r="F34" s="28" t="s">
        <v>168</v>
      </c>
      <c r="G34" s="29" t="s">
        <v>172</v>
      </c>
      <c r="H34" s="30" t="s">
        <v>173</v>
      </c>
      <c r="I34" s="26" t="s">
        <v>116</v>
      </c>
      <c r="J34" s="26" t="s">
        <v>112</v>
      </c>
      <c r="K34" s="27" t="s">
        <v>93</v>
      </c>
      <c r="L34" s="31" t="n">
        <v>100</v>
      </c>
      <c r="M34" s="26" t="str">
        <f aca="false">COUNTIF('4. Chi tiết N15-45'!$D$138:$D$143,"Xong")&amp;"/6"</f>
        <v>0/6</v>
      </c>
      <c r="N34" s="32" t="n">
        <f aca="false">COUNTIF('4. Chi tiết N15-45'!$D$138:$D$143,"Xong")/6</f>
        <v>0</v>
      </c>
      <c r="O34" s="26"/>
    </row>
    <row r="35" customFormat="false" ht="25.5" hidden="false" customHeight="true" outlineLevel="0" collapsed="false">
      <c r="A35" s="24" t="n">
        <v>33</v>
      </c>
      <c r="B35" s="25" t="n">
        <f aca="false">'1. Hướng dẫn'!$C$5+32</f>
        <v>46298</v>
      </c>
      <c r="C35" s="26" t="n">
        <v>5</v>
      </c>
      <c r="D35" s="26" t="s">
        <v>78</v>
      </c>
      <c r="E35" s="27" t="s">
        <v>174</v>
      </c>
      <c r="F35" s="28" t="s">
        <v>175</v>
      </c>
      <c r="G35" s="29" t="s">
        <v>176</v>
      </c>
      <c r="H35" s="30" t="s">
        <v>177</v>
      </c>
      <c r="I35" s="26" t="s">
        <v>111</v>
      </c>
      <c r="J35" s="26" t="s">
        <v>112</v>
      </c>
      <c r="K35" s="27" t="s">
        <v>93</v>
      </c>
      <c r="L35" s="31" t="n">
        <v>100</v>
      </c>
      <c r="M35" s="26" t="str">
        <f aca="false">COUNTIF('4. Chi tiết N15-45'!$D$146:$D$151,"Xong")&amp;"/6"</f>
        <v>0/6</v>
      </c>
      <c r="N35" s="32" t="n">
        <f aca="false">COUNTIF('4. Chi tiết N15-45'!$D$146:$D$151,"Xong")/6</f>
        <v>0</v>
      </c>
      <c r="O35" s="26"/>
    </row>
    <row r="36" customFormat="false" ht="25.5" hidden="false" customHeight="true" outlineLevel="0" collapsed="false">
      <c r="A36" s="24" t="n">
        <v>34</v>
      </c>
      <c r="B36" s="25" t="n">
        <f aca="false">'1. Hướng dẫn'!$C$5+33</f>
        <v>46299</v>
      </c>
      <c r="C36" s="26" t="n">
        <v>5</v>
      </c>
      <c r="D36" s="26" t="s">
        <v>78</v>
      </c>
      <c r="E36" s="27" t="s">
        <v>178</v>
      </c>
      <c r="F36" s="28" t="s">
        <v>175</v>
      </c>
      <c r="G36" s="29" t="s">
        <v>179</v>
      </c>
      <c r="H36" s="30" t="s">
        <v>180</v>
      </c>
      <c r="I36" s="26" t="s">
        <v>116</v>
      </c>
      <c r="J36" s="26" t="s">
        <v>112</v>
      </c>
      <c r="K36" s="27" t="s">
        <v>93</v>
      </c>
      <c r="L36" s="31" t="n">
        <v>100</v>
      </c>
      <c r="M36" s="26" t="str">
        <f aca="false">COUNTIF('4. Chi tiết N15-45'!$D$154:$D$159,"Xong")&amp;"/6"</f>
        <v>0/6</v>
      </c>
      <c r="N36" s="32" t="n">
        <f aca="false">COUNTIF('4. Chi tiết N15-45'!$D$154:$D$159,"Xong")/6</f>
        <v>0</v>
      </c>
      <c r="O36" s="26"/>
    </row>
    <row r="37" customFormat="false" ht="25.5" hidden="false" customHeight="true" outlineLevel="0" collapsed="false">
      <c r="A37" s="34" t="n">
        <v>35</v>
      </c>
      <c r="B37" s="35" t="n">
        <f aca="false">'1. Hướng dẫn'!$C$5+34</f>
        <v>46300</v>
      </c>
      <c r="C37" s="36" t="n">
        <v>5</v>
      </c>
      <c r="D37" s="36" t="s">
        <v>78</v>
      </c>
      <c r="E37" s="37" t="s">
        <v>181</v>
      </c>
      <c r="F37" s="38" t="s">
        <v>182</v>
      </c>
      <c r="G37" s="37" t="s">
        <v>134</v>
      </c>
      <c r="H37" s="36" t="s">
        <v>134</v>
      </c>
      <c r="I37" s="39" t="s">
        <v>135</v>
      </c>
      <c r="J37" s="36" t="s">
        <v>134</v>
      </c>
      <c r="K37" s="37" t="s">
        <v>136</v>
      </c>
      <c r="L37" s="40" t="n">
        <v>105</v>
      </c>
      <c r="M37" s="36" t="str">
        <f aca="false">COUNTIF('4. Chi tiết N15-45'!$D$162:$D$166,"Xong")&amp;"/5"</f>
        <v>0/5</v>
      </c>
      <c r="N37" s="41" t="n">
        <f aca="false">COUNTIF('4. Chi tiết N15-45'!$D$162:$D$166,"Xong")/5</f>
        <v>0</v>
      </c>
      <c r="O37" s="36"/>
    </row>
    <row r="38" customFormat="false" ht="25.5" hidden="false" customHeight="true" outlineLevel="0" collapsed="false">
      <c r="A38" s="24" t="n">
        <v>36</v>
      </c>
      <c r="B38" s="25" t="n">
        <f aca="false">'1. Hướng dẫn'!$C$5+35</f>
        <v>46301</v>
      </c>
      <c r="C38" s="26" t="n">
        <v>6</v>
      </c>
      <c r="D38" s="26" t="s">
        <v>78</v>
      </c>
      <c r="E38" s="27" t="s">
        <v>183</v>
      </c>
      <c r="F38" s="28" t="s">
        <v>184</v>
      </c>
      <c r="G38" s="29" t="s">
        <v>185</v>
      </c>
      <c r="H38" s="30" t="s">
        <v>186</v>
      </c>
      <c r="I38" s="26" t="s">
        <v>116</v>
      </c>
      <c r="J38" s="26" t="s">
        <v>112</v>
      </c>
      <c r="K38" s="27" t="s">
        <v>93</v>
      </c>
      <c r="L38" s="31" t="n">
        <v>100</v>
      </c>
      <c r="M38" s="26" t="str">
        <f aca="false">COUNTIF('4. Chi tiết N15-45'!$D$169:$D$174,"Xong")&amp;"/6"</f>
        <v>0/6</v>
      </c>
      <c r="N38" s="32" t="n">
        <f aca="false">COUNTIF('4. Chi tiết N15-45'!$D$169:$D$174,"Xong")/6</f>
        <v>0</v>
      </c>
      <c r="O38" s="26"/>
    </row>
    <row r="39" customFormat="false" ht="25.5" hidden="false" customHeight="true" outlineLevel="0" collapsed="false">
      <c r="A39" s="24" t="n">
        <v>37</v>
      </c>
      <c r="B39" s="25" t="n">
        <f aca="false">'1. Hướng dẫn'!$C$5+36</f>
        <v>46302</v>
      </c>
      <c r="C39" s="26" t="n">
        <v>6</v>
      </c>
      <c r="D39" s="26" t="s">
        <v>78</v>
      </c>
      <c r="E39" s="27" t="s">
        <v>187</v>
      </c>
      <c r="F39" s="28" t="s">
        <v>184</v>
      </c>
      <c r="G39" s="29" t="s">
        <v>188</v>
      </c>
      <c r="H39" s="30" t="s">
        <v>189</v>
      </c>
      <c r="I39" s="26" t="s">
        <v>116</v>
      </c>
      <c r="J39" s="26" t="s">
        <v>112</v>
      </c>
      <c r="K39" s="27" t="s">
        <v>121</v>
      </c>
      <c r="L39" s="31" t="n">
        <v>100</v>
      </c>
      <c r="M39" s="26" t="str">
        <f aca="false">COUNTIF('4. Chi tiết N15-45'!$D$177:$D$182,"Xong")&amp;"/6"</f>
        <v>0/6</v>
      </c>
      <c r="N39" s="32" t="n">
        <f aca="false">COUNTIF('4. Chi tiết N15-45'!$D$177:$D$182,"Xong")/6</f>
        <v>0</v>
      </c>
      <c r="O39" s="26"/>
    </row>
    <row r="40" customFormat="false" ht="25.5" hidden="false" customHeight="true" outlineLevel="0" collapsed="false">
      <c r="A40" s="24" t="n">
        <v>38</v>
      </c>
      <c r="B40" s="25" t="n">
        <f aca="false">'1. Hướng dẫn'!$C$5+37</f>
        <v>46303</v>
      </c>
      <c r="C40" s="26" t="n">
        <v>6</v>
      </c>
      <c r="D40" s="26" t="s">
        <v>78</v>
      </c>
      <c r="E40" s="27" t="s">
        <v>190</v>
      </c>
      <c r="F40" s="28" t="s">
        <v>191</v>
      </c>
      <c r="G40" s="29" t="s">
        <v>192</v>
      </c>
      <c r="H40" s="30" t="s">
        <v>193</v>
      </c>
      <c r="I40" s="26" t="s">
        <v>111</v>
      </c>
      <c r="J40" s="26" t="s">
        <v>112</v>
      </c>
      <c r="K40" s="27" t="s">
        <v>93</v>
      </c>
      <c r="L40" s="31" t="n">
        <v>100</v>
      </c>
      <c r="M40" s="26" t="str">
        <f aca="false">COUNTIF('4. Chi tiết N15-45'!$D$185:$D$190,"Xong")&amp;"/6"</f>
        <v>0/6</v>
      </c>
      <c r="N40" s="32" t="n">
        <f aca="false">COUNTIF('4. Chi tiết N15-45'!$D$185:$D$190,"Xong")/6</f>
        <v>0</v>
      </c>
      <c r="O40" s="26"/>
    </row>
    <row r="41" customFormat="false" ht="25.5" hidden="false" customHeight="true" outlineLevel="0" collapsed="false">
      <c r="A41" s="24" t="n">
        <v>39</v>
      </c>
      <c r="B41" s="25" t="n">
        <f aca="false">'1. Hướng dẫn'!$C$5+38</f>
        <v>46304</v>
      </c>
      <c r="C41" s="26" t="n">
        <v>6</v>
      </c>
      <c r="D41" s="26" t="s">
        <v>78</v>
      </c>
      <c r="E41" s="27" t="s">
        <v>194</v>
      </c>
      <c r="F41" s="28" t="s">
        <v>191</v>
      </c>
      <c r="G41" s="29" t="s">
        <v>195</v>
      </c>
      <c r="H41" s="30" t="s">
        <v>196</v>
      </c>
      <c r="I41" s="26" t="s">
        <v>116</v>
      </c>
      <c r="J41" s="26" t="s">
        <v>112</v>
      </c>
      <c r="K41" s="27" t="s">
        <v>93</v>
      </c>
      <c r="L41" s="31" t="n">
        <v>100</v>
      </c>
      <c r="M41" s="26" t="str">
        <f aca="false">COUNTIF('4. Chi tiết N15-45'!$D$193:$D$198,"Xong")&amp;"/6"</f>
        <v>0/6</v>
      </c>
      <c r="N41" s="32" t="n">
        <f aca="false">COUNTIF('4. Chi tiết N15-45'!$D$193:$D$198,"Xong")/6</f>
        <v>0</v>
      </c>
      <c r="O41" s="26"/>
    </row>
    <row r="42" customFormat="false" ht="25.5" hidden="false" customHeight="true" outlineLevel="0" collapsed="false">
      <c r="A42" s="24" t="n">
        <v>40</v>
      </c>
      <c r="B42" s="25" t="n">
        <f aca="false">'1. Hướng dẫn'!$C$5+39</f>
        <v>46305</v>
      </c>
      <c r="C42" s="26" t="n">
        <v>6</v>
      </c>
      <c r="D42" s="26" t="s">
        <v>78</v>
      </c>
      <c r="E42" s="27" t="s">
        <v>197</v>
      </c>
      <c r="F42" s="28" t="s">
        <v>198</v>
      </c>
      <c r="G42" s="29" t="s">
        <v>199</v>
      </c>
      <c r="H42" s="30" t="s">
        <v>200</v>
      </c>
      <c r="I42" s="26" t="s">
        <v>116</v>
      </c>
      <c r="J42" s="26" t="s">
        <v>112</v>
      </c>
      <c r="K42" s="27" t="s">
        <v>93</v>
      </c>
      <c r="L42" s="31" t="n">
        <v>100</v>
      </c>
      <c r="M42" s="26" t="str">
        <f aca="false">COUNTIF('4. Chi tiết N15-45'!$D$201:$D$206,"Xong")&amp;"/6"</f>
        <v>0/6</v>
      </c>
      <c r="N42" s="32" t="n">
        <f aca="false">COUNTIF('4. Chi tiết N15-45'!$D$201:$D$206,"Xong")/6</f>
        <v>0</v>
      </c>
      <c r="O42" s="26"/>
    </row>
    <row r="43" customFormat="false" ht="25.5" hidden="false" customHeight="true" outlineLevel="0" collapsed="false">
      <c r="A43" s="24" t="n">
        <v>41</v>
      </c>
      <c r="B43" s="25" t="n">
        <f aca="false">'1. Hướng dẫn'!$C$5+40</f>
        <v>46306</v>
      </c>
      <c r="C43" s="26" t="n">
        <v>6</v>
      </c>
      <c r="D43" s="26" t="s">
        <v>78</v>
      </c>
      <c r="E43" s="27" t="s">
        <v>201</v>
      </c>
      <c r="F43" s="28" t="s">
        <v>198</v>
      </c>
      <c r="G43" s="29" t="s">
        <v>202</v>
      </c>
      <c r="H43" s="30" t="s">
        <v>203</v>
      </c>
      <c r="I43" s="26" t="s">
        <v>116</v>
      </c>
      <c r="J43" s="26" t="s">
        <v>112</v>
      </c>
      <c r="K43" s="27" t="s">
        <v>121</v>
      </c>
      <c r="L43" s="31" t="n">
        <v>100</v>
      </c>
      <c r="M43" s="26" t="str">
        <f aca="false">COUNTIF('4. Chi tiết N15-45'!$D$209:$D$214,"Xong")&amp;"/6"</f>
        <v>0/6</v>
      </c>
      <c r="N43" s="32" t="n">
        <f aca="false">COUNTIF('4. Chi tiết N15-45'!$D$209:$D$214,"Xong")/6</f>
        <v>0</v>
      </c>
      <c r="O43" s="26"/>
    </row>
    <row r="44" customFormat="false" ht="25.5" hidden="false" customHeight="true" outlineLevel="0" collapsed="false">
      <c r="A44" s="34" t="n">
        <v>42</v>
      </c>
      <c r="B44" s="35" t="n">
        <f aca="false">'1. Hướng dẫn'!$C$5+41</f>
        <v>46307</v>
      </c>
      <c r="C44" s="36" t="n">
        <v>6</v>
      </c>
      <c r="D44" s="36" t="s">
        <v>78</v>
      </c>
      <c r="E44" s="37" t="s">
        <v>204</v>
      </c>
      <c r="F44" s="38" t="s">
        <v>205</v>
      </c>
      <c r="G44" s="37" t="s">
        <v>134</v>
      </c>
      <c r="H44" s="36" t="s">
        <v>134</v>
      </c>
      <c r="I44" s="39" t="s">
        <v>135</v>
      </c>
      <c r="J44" s="36" t="s">
        <v>134</v>
      </c>
      <c r="K44" s="37" t="s">
        <v>136</v>
      </c>
      <c r="L44" s="40" t="n">
        <v>105</v>
      </c>
      <c r="M44" s="36" t="str">
        <f aca="false">COUNTIF('4. Chi tiết N15-45'!$D$217:$D$221,"Xong")&amp;"/5"</f>
        <v>0/5</v>
      </c>
      <c r="N44" s="41" t="n">
        <f aca="false">COUNTIF('4. Chi tiết N15-45'!$D$217:$D$221,"Xong")/5</f>
        <v>0</v>
      </c>
      <c r="O44" s="36"/>
    </row>
    <row r="45" customFormat="false" ht="25.5" hidden="false" customHeight="true" outlineLevel="0" collapsed="false">
      <c r="A45" s="24" t="n">
        <v>43</v>
      </c>
      <c r="B45" s="25" t="n">
        <f aca="false">'1. Hướng dẫn'!$C$5+42</f>
        <v>46308</v>
      </c>
      <c r="C45" s="26" t="n">
        <v>7</v>
      </c>
      <c r="D45" s="26" t="s">
        <v>78</v>
      </c>
      <c r="E45" s="27" t="s">
        <v>206</v>
      </c>
      <c r="F45" s="28" t="s">
        <v>207</v>
      </c>
      <c r="G45" s="29" t="s">
        <v>208</v>
      </c>
      <c r="H45" s="30" t="s">
        <v>209</v>
      </c>
      <c r="I45" s="26" t="s">
        <v>116</v>
      </c>
      <c r="J45" s="26" t="s">
        <v>112</v>
      </c>
      <c r="K45" s="27" t="s">
        <v>121</v>
      </c>
      <c r="L45" s="31" t="n">
        <v>100</v>
      </c>
      <c r="M45" s="26" t="str">
        <f aca="false">COUNTIF('4. Chi tiết N15-45'!$D$224:$D$229,"Xong")&amp;"/6"</f>
        <v>0/6</v>
      </c>
      <c r="N45" s="32" t="n">
        <f aca="false">COUNTIF('4. Chi tiết N15-45'!$D$224:$D$229,"Xong")/6</f>
        <v>0</v>
      </c>
      <c r="O45" s="26"/>
    </row>
    <row r="46" customFormat="false" ht="25.5" hidden="false" customHeight="true" outlineLevel="0" collapsed="false">
      <c r="A46" s="24" t="n">
        <v>44</v>
      </c>
      <c r="B46" s="25" t="n">
        <f aca="false">'1. Hướng dẫn'!$C$5+43</f>
        <v>46309</v>
      </c>
      <c r="C46" s="26" t="n">
        <v>7</v>
      </c>
      <c r="D46" s="26" t="s">
        <v>78</v>
      </c>
      <c r="E46" s="27" t="s">
        <v>210</v>
      </c>
      <c r="F46" s="28" t="s">
        <v>207</v>
      </c>
      <c r="G46" s="29" t="s">
        <v>211</v>
      </c>
      <c r="H46" s="30" t="s">
        <v>212</v>
      </c>
      <c r="I46" s="26" t="s">
        <v>116</v>
      </c>
      <c r="J46" s="26" t="s">
        <v>112</v>
      </c>
      <c r="K46" s="27" t="s">
        <v>93</v>
      </c>
      <c r="L46" s="31" t="n">
        <v>100</v>
      </c>
      <c r="M46" s="26" t="str">
        <f aca="false">COUNTIF('4. Chi tiết N15-45'!$D$232:$D$237,"Xong")&amp;"/6"</f>
        <v>0/6</v>
      </c>
      <c r="N46" s="32" t="n">
        <f aca="false">COUNTIF('4. Chi tiết N15-45'!$D$232:$D$237,"Xong")/6</f>
        <v>0</v>
      </c>
      <c r="O46" s="26"/>
    </row>
    <row r="47" customFormat="false" ht="25.5" hidden="false" customHeight="true" outlineLevel="0" collapsed="false">
      <c r="A47" s="24" t="n">
        <v>45</v>
      </c>
      <c r="B47" s="25" t="n">
        <f aca="false">'1. Hướng dẫn'!$C$5+44</f>
        <v>46310</v>
      </c>
      <c r="C47" s="26" t="n">
        <v>7</v>
      </c>
      <c r="D47" s="26" t="s">
        <v>78</v>
      </c>
      <c r="E47" s="27" t="s">
        <v>213</v>
      </c>
      <c r="F47" s="28" t="s">
        <v>214</v>
      </c>
      <c r="G47" s="29" t="s">
        <v>215</v>
      </c>
      <c r="H47" s="30" t="s">
        <v>216</v>
      </c>
      <c r="I47" s="26" t="s">
        <v>116</v>
      </c>
      <c r="J47" s="26" t="s">
        <v>217</v>
      </c>
      <c r="K47" s="27" t="s">
        <v>93</v>
      </c>
      <c r="L47" s="31" t="n">
        <v>100</v>
      </c>
      <c r="M47" s="26" t="str">
        <f aca="false">COUNTIF('4. Chi tiết N15-45'!$D$240:$D$245,"Xong")&amp;"/6"</f>
        <v>0/6</v>
      </c>
      <c r="N47" s="32" t="n">
        <f aca="false">COUNTIF('4. Chi tiết N15-45'!$D$240:$D$245,"Xong")/6</f>
        <v>0</v>
      </c>
      <c r="O47" s="26"/>
    </row>
    <row r="48" customFormat="false" ht="25.5" hidden="false" customHeight="true" outlineLevel="0" collapsed="false">
      <c r="A48" s="24" t="n">
        <v>46</v>
      </c>
      <c r="B48" s="25" t="n">
        <f aca="false">'1. Hướng dẫn'!$C$5+45</f>
        <v>46311</v>
      </c>
      <c r="C48" s="26" t="n">
        <v>7</v>
      </c>
      <c r="D48" s="26" t="s">
        <v>78</v>
      </c>
      <c r="E48" s="27" t="s">
        <v>218</v>
      </c>
      <c r="F48" s="28" t="s">
        <v>214</v>
      </c>
      <c r="G48" s="29" t="s">
        <v>219</v>
      </c>
      <c r="H48" s="30" t="s">
        <v>220</v>
      </c>
      <c r="I48" s="26" t="s">
        <v>221</v>
      </c>
      <c r="J48" s="26" t="s">
        <v>217</v>
      </c>
      <c r="K48" s="27" t="s">
        <v>93</v>
      </c>
      <c r="L48" s="31" t="n">
        <v>100</v>
      </c>
      <c r="M48" s="26" t="str">
        <f aca="false">COUNTIF('5. Chi tiết N46-77'!$D$4:$D$9,"Xong")&amp;"/6"</f>
        <v>0/6</v>
      </c>
      <c r="N48" s="32" t="n">
        <f aca="false">COUNTIF('5. Chi tiết N46-77'!$D$4:$D$9,"Xong")/6</f>
        <v>0</v>
      </c>
      <c r="O48" s="26"/>
    </row>
    <row r="49" customFormat="false" ht="25.5" hidden="false" customHeight="true" outlineLevel="0" collapsed="false">
      <c r="A49" s="24" t="n">
        <v>47</v>
      </c>
      <c r="B49" s="25" t="n">
        <f aca="false">'1. Hướng dẫn'!$C$5+46</f>
        <v>46312</v>
      </c>
      <c r="C49" s="26" t="n">
        <v>7</v>
      </c>
      <c r="D49" s="26" t="s">
        <v>78</v>
      </c>
      <c r="E49" s="27" t="s">
        <v>222</v>
      </c>
      <c r="F49" s="28" t="s">
        <v>214</v>
      </c>
      <c r="G49" s="29" t="s">
        <v>223</v>
      </c>
      <c r="H49" s="30" t="s">
        <v>224</v>
      </c>
      <c r="I49" s="26" t="s">
        <v>221</v>
      </c>
      <c r="J49" s="26" t="s">
        <v>225</v>
      </c>
      <c r="K49" s="27" t="s">
        <v>121</v>
      </c>
      <c r="L49" s="31" t="n">
        <v>100</v>
      </c>
      <c r="M49" s="26" t="str">
        <f aca="false">COUNTIF('5. Chi tiết N46-77'!$D$12:$D$17,"Xong")&amp;"/6"</f>
        <v>0/6</v>
      </c>
      <c r="N49" s="32" t="n">
        <f aca="false">COUNTIF('5. Chi tiết N46-77'!$D$12:$D$17,"Xong")/6</f>
        <v>0</v>
      </c>
      <c r="O49" s="26"/>
    </row>
    <row r="50" customFormat="false" ht="25.5" hidden="false" customHeight="true" outlineLevel="0" collapsed="false">
      <c r="A50" s="24" t="n">
        <v>48</v>
      </c>
      <c r="B50" s="25" t="n">
        <f aca="false">'1. Hướng dẫn'!$C$5+47</f>
        <v>46313</v>
      </c>
      <c r="C50" s="26" t="n">
        <v>7</v>
      </c>
      <c r="D50" s="26" t="s">
        <v>78</v>
      </c>
      <c r="E50" s="27" t="s">
        <v>226</v>
      </c>
      <c r="F50" s="28" t="s">
        <v>227</v>
      </c>
      <c r="G50" s="29" t="s">
        <v>228</v>
      </c>
      <c r="H50" s="30" t="s">
        <v>229</v>
      </c>
      <c r="I50" s="26" t="s">
        <v>116</v>
      </c>
      <c r="J50" s="26" t="s">
        <v>112</v>
      </c>
      <c r="K50" s="27" t="s">
        <v>93</v>
      </c>
      <c r="L50" s="31" t="n">
        <v>100</v>
      </c>
      <c r="M50" s="26" t="str">
        <f aca="false">COUNTIF('5. Chi tiết N46-77'!$D$20:$D$25,"Xong")&amp;"/6"</f>
        <v>0/6</v>
      </c>
      <c r="N50" s="32" t="n">
        <f aca="false">COUNTIF('5. Chi tiết N46-77'!$D$20:$D$25,"Xong")/6</f>
        <v>0</v>
      </c>
      <c r="O50" s="26"/>
    </row>
    <row r="51" customFormat="false" ht="25.5" hidden="false" customHeight="true" outlineLevel="0" collapsed="false">
      <c r="A51" s="34" t="n">
        <v>49</v>
      </c>
      <c r="B51" s="35" t="n">
        <f aca="false">'1. Hướng dẫn'!$C$5+48</f>
        <v>46314</v>
      </c>
      <c r="C51" s="36" t="n">
        <v>7</v>
      </c>
      <c r="D51" s="36" t="s">
        <v>78</v>
      </c>
      <c r="E51" s="37" t="s">
        <v>230</v>
      </c>
      <c r="F51" s="38" t="s">
        <v>231</v>
      </c>
      <c r="G51" s="37" t="s">
        <v>134</v>
      </c>
      <c r="H51" s="36" t="s">
        <v>134</v>
      </c>
      <c r="I51" s="39" t="s">
        <v>135</v>
      </c>
      <c r="J51" s="36" t="s">
        <v>134</v>
      </c>
      <c r="K51" s="37" t="s">
        <v>136</v>
      </c>
      <c r="L51" s="40" t="n">
        <v>105</v>
      </c>
      <c r="M51" s="36" t="str">
        <f aca="false">COUNTIF('5. Chi tiết N46-77'!$D$28:$D$32,"Xong")&amp;"/5"</f>
        <v>0/5</v>
      </c>
      <c r="N51" s="41" t="n">
        <f aca="false">COUNTIF('5. Chi tiết N46-77'!$D$28:$D$32,"Xong")/5</f>
        <v>0</v>
      </c>
      <c r="O51" s="36"/>
    </row>
    <row r="52" customFormat="false" ht="25.5" hidden="false" customHeight="true" outlineLevel="0" collapsed="false">
      <c r="A52" s="24" t="n">
        <v>50</v>
      </c>
      <c r="B52" s="25" t="n">
        <f aca="false">'1. Hướng dẫn'!$C$5+49</f>
        <v>46315</v>
      </c>
      <c r="C52" s="26" t="n">
        <v>8</v>
      </c>
      <c r="D52" s="26" t="s">
        <v>78</v>
      </c>
      <c r="E52" s="27" t="s">
        <v>232</v>
      </c>
      <c r="F52" s="28" t="s">
        <v>227</v>
      </c>
      <c r="G52" s="29" t="s">
        <v>233</v>
      </c>
      <c r="H52" s="30" t="s">
        <v>234</v>
      </c>
      <c r="I52" s="26" t="s">
        <v>116</v>
      </c>
      <c r="J52" s="26" t="s">
        <v>112</v>
      </c>
      <c r="K52" s="27" t="s">
        <v>93</v>
      </c>
      <c r="L52" s="31" t="n">
        <v>100</v>
      </c>
      <c r="M52" s="26" t="str">
        <f aca="false">COUNTIF('5. Chi tiết N46-77'!$D$35:$D$40,"Xong")&amp;"/6"</f>
        <v>0/6</v>
      </c>
      <c r="N52" s="32" t="n">
        <f aca="false">COUNTIF('5. Chi tiết N46-77'!$D$35:$D$40,"Xong")/6</f>
        <v>0</v>
      </c>
      <c r="O52" s="26"/>
    </row>
    <row r="53" customFormat="false" ht="25.5" hidden="false" customHeight="true" outlineLevel="0" collapsed="false">
      <c r="A53" s="24" t="n">
        <v>51</v>
      </c>
      <c r="B53" s="25" t="n">
        <f aca="false">'1. Hướng dẫn'!$C$5+50</f>
        <v>46316</v>
      </c>
      <c r="C53" s="26" t="n">
        <v>8</v>
      </c>
      <c r="D53" s="26" t="s">
        <v>78</v>
      </c>
      <c r="E53" s="27" t="s">
        <v>235</v>
      </c>
      <c r="F53" s="28" t="s">
        <v>236</v>
      </c>
      <c r="G53" s="29" t="s">
        <v>237</v>
      </c>
      <c r="H53" s="30" t="s">
        <v>238</v>
      </c>
      <c r="I53" s="26" t="s">
        <v>111</v>
      </c>
      <c r="J53" s="26" t="s">
        <v>112</v>
      </c>
      <c r="K53" s="27" t="s">
        <v>93</v>
      </c>
      <c r="L53" s="31" t="n">
        <v>100</v>
      </c>
      <c r="M53" s="26" t="str">
        <f aca="false">COUNTIF('5. Chi tiết N46-77'!$D$43:$D$48,"Xong")&amp;"/6"</f>
        <v>0/6</v>
      </c>
      <c r="N53" s="32" t="n">
        <f aca="false">COUNTIF('5. Chi tiết N46-77'!$D$43:$D$48,"Xong")/6</f>
        <v>0</v>
      </c>
      <c r="O53" s="26"/>
    </row>
    <row r="54" customFormat="false" ht="25.5" hidden="false" customHeight="true" outlineLevel="0" collapsed="false">
      <c r="A54" s="24" t="n">
        <v>52</v>
      </c>
      <c r="B54" s="25" t="n">
        <f aca="false">'1. Hướng dẫn'!$C$5+51</f>
        <v>46317</v>
      </c>
      <c r="C54" s="26" t="n">
        <v>8</v>
      </c>
      <c r="D54" s="26" t="s">
        <v>78</v>
      </c>
      <c r="E54" s="27" t="s">
        <v>239</v>
      </c>
      <c r="F54" s="28" t="s">
        <v>236</v>
      </c>
      <c r="G54" s="29" t="s">
        <v>240</v>
      </c>
      <c r="H54" s="30" t="s">
        <v>241</v>
      </c>
      <c r="I54" s="26" t="s">
        <v>116</v>
      </c>
      <c r="J54" s="26" t="s">
        <v>112</v>
      </c>
      <c r="K54" s="27" t="s">
        <v>93</v>
      </c>
      <c r="L54" s="31" t="n">
        <v>100</v>
      </c>
      <c r="M54" s="26" t="str">
        <f aca="false">COUNTIF('5. Chi tiết N46-77'!$D$51:$D$56,"Xong")&amp;"/6"</f>
        <v>0/6</v>
      </c>
      <c r="N54" s="32" t="n">
        <f aca="false">COUNTIF('5. Chi tiết N46-77'!$D$51:$D$56,"Xong")/6</f>
        <v>0</v>
      </c>
      <c r="O54" s="26"/>
    </row>
    <row r="55" customFormat="false" ht="25.5" hidden="false" customHeight="true" outlineLevel="0" collapsed="false">
      <c r="A55" s="24" t="n">
        <v>53</v>
      </c>
      <c r="B55" s="25" t="n">
        <f aca="false">'1. Hướng dẫn'!$C$5+52</f>
        <v>46318</v>
      </c>
      <c r="C55" s="26" t="n">
        <v>8</v>
      </c>
      <c r="D55" s="26" t="s">
        <v>78</v>
      </c>
      <c r="E55" s="27" t="s">
        <v>242</v>
      </c>
      <c r="F55" s="28" t="s">
        <v>243</v>
      </c>
      <c r="G55" s="29" t="s">
        <v>244</v>
      </c>
      <c r="H55" s="30" t="s">
        <v>245</v>
      </c>
      <c r="I55" s="26" t="s">
        <v>116</v>
      </c>
      <c r="J55" s="26" t="s">
        <v>217</v>
      </c>
      <c r="K55" s="27" t="s">
        <v>121</v>
      </c>
      <c r="L55" s="31" t="n">
        <v>100</v>
      </c>
      <c r="M55" s="26" t="str">
        <f aca="false">COUNTIF('5. Chi tiết N46-77'!$D$59:$D$64,"Xong")&amp;"/6"</f>
        <v>0/6</v>
      </c>
      <c r="N55" s="32" t="n">
        <f aca="false">COUNTIF('5. Chi tiết N46-77'!$D$59:$D$64,"Xong")/6</f>
        <v>0</v>
      </c>
      <c r="O55" s="26"/>
    </row>
    <row r="56" customFormat="false" ht="25.5" hidden="false" customHeight="true" outlineLevel="0" collapsed="false">
      <c r="A56" s="24" t="n">
        <v>54</v>
      </c>
      <c r="B56" s="25" t="n">
        <f aca="false">'1. Hướng dẫn'!$C$5+53</f>
        <v>46319</v>
      </c>
      <c r="C56" s="26" t="n">
        <v>8</v>
      </c>
      <c r="D56" s="26" t="s">
        <v>78</v>
      </c>
      <c r="E56" s="27" t="s">
        <v>246</v>
      </c>
      <c r="F56" s="28" t="s">
        <v>243</v>
      </c>
      <c r="G56" s="29" t="s">
        <v>247</v>
      </c>
      <c r="H56" s="30" t="s">
        <v>248</v>
      </c>
      <c r="I56" s="26" t="s">
        <v>116</v>
      </c>
      <c r="J56" s="26" t="s">
        <v>217</v>
      </c>
      <c r="K56" s="27" t="s">
        <v>93</v>
      </c>
      <c r="L56" s="31" t="n">
        <v>100</v>
      </c>
      <c r="M56" s="26" t="str">
        <f aca="false">COUNTIF('5. Chi tiết N46-77'!$D$67:$D$72,"Xong")&amp;"/6"</f>
        <v>0/6</v>
      </c>
      <c r="N56" s="32" t="n">
        <f aca="false">COUNTIF('5. Chi tiết N46-77'!$D$67:$D$72,"Xong")/6</f>
        <v>0</v>
      </c>
      <c r="O56" s="26"/>
    </row>
    <row r="57" customFormat="false" ht="25.5" hidden="false" customHeight="true" outlineLevel="0" collapsed="false">
      <c r="A57" s="24" t="n">
        <v>55</v>
      </c>
      <c r="B57" s="25" t="n">
        <f aca="false">'1. Hướng dẫn'!$C$5+54</f>
        <v>46320</v>
      </c>
      <c r="C57" s="26" t="n">
        <v>8</v>
      </c>
      <c r="D57" s="26" t="s">
        <v>78</v>
      </c>
      <c r="E57" s="27" t="s">
        <v>249</v>
      </c>
      <c r="F57" s="28" t="s">
        <v>243</v>
      </c>
      <c r="G57" s="29" t="s">
        <v>250</v>
      </c>
      <c r="H57" s="30" t="s">
        <v>251</v>
      </c>
      <c r="I57" s="26" t="s">
        <v>221</v>
      </c>
      <c r="J57" s="26" t="s">
        <v>225</v>
      </c>
      <c r="K57" s="27" t="s">
        <v>121</v>
      </c>
      <c r="L57" s="31" t="n">
        <v>100</v>
      </c>
      <c r="M57" s="26" t="str">
        <f aca="false">COUNTIF('5. Chi tiết N46-77'!$D$75:$D$80,"Xong")&amp;"/6"</f>
        <v>0/6</v>
      </c>
      <c r="N57" s="32" t="n">
        <f aca="false">COUNTIF('5. Chi tiết N46-77'!$D$75:$D$80,"Xong")/6</f>
        <v>0</v>
      </c>
      <c r="O57" s="26"/>
    </row>
    <row r="58" customFormat="false" ht="25.5" hidden="false" customHeight="true" outlineLevel="0" collapsed="false">
      <c r="A58" s="34" t="n">
        <v>56</v>
      </c>
      <c r="B58" s="35" t="n">
        <f aca="false">'1. Hướng dẫn'!$C$5+55</f>
        <v>46321</v>
      </c>
      <c r="C58" s="36" t="n">
        <v>8</v>
      </c>
      <c r="D58" s="36" t="s">
        <v>78</v>
      </c>
      <c r="E58" s="37" t="s">
        <v>252</v>
      </c>
      <c r="F58" s="38" t="s">
        <v>253</v>
      </c>
      <c r="G58" s="37" t="s">
        <v>134</v>
      </c>
      <c r="H58" s="36" t="s">
        <v>134</v>
      </c>
      <c r="I58" s="39" t="s">
        <v>135</v>
      </c>
      <c r="J58" s="36" t="s">
        <v>134</v>
      </c>
      <c r="K58" s="37" t="s">
        <v>136</v>
      </c>
      <c r="L58" s="40" t="n">
        <v>105</v>
      </c>
      <c r="M58" s="36" t="str">
        <f aca="false">COUNTIF('5. Chi tiết N46-77'!$D$83:$D$87,"Xong")&amp;"/5"</f>
        <v>0/5</v>
      </c>
      <c r="N58" s="41" t="n">
        <f aca="false">COUNTIF('5. Chi tiết N46-77'!$D$83:$D$87,"Xong")/5</f>
        <v>0</v>
      </c>
      <c r="O58" s="36"/>
    </row>
    <row r="59" customFormat="false" ht="25.5" hidden="false" customHeight="true" outlineLevel="0" collapsed="false">
      <c r="A59" s="24" t="n">
        <v>57</v>
      </c>
      <c r="B59" s="25" t="n">
        <f aca="false">'1. Hướng dẫn'!$C$5+56</f>
        <v>46322</v>
      </c>
      <c r="C59" s="26" t="n">
        <v>9</v>
      </c>
      <c r="D59" s="26" t="s">
        <v>78</v>
      </c>
      <c r="E59" s="27" t="s">
        <v>254</v>
      </c>
      <c r="F59" s="28" t="s">
        <v>255</v>
      </c>
      <c r="G59" s="29" t="s">
        <v>256</v>
      </c>
      <c r="H59" s="30" t="s">
        <v>257</v>
      </c>
      <c r="I59" s="26" t="s">
        <v>111</v>
      </c>
      <c r="J59" s="26" t="s">
        <v>112</v>
      </c>
      <c r="K59" s="27" t="s">
        <v>93</v>
      </c>
      <c r="L59" s="31" t="n">
        <v>100</v>
      </c>
      <c r="M59" s="26" t="str">
        <f aca="false">COUNTIF('5. Chi tiết N46-77'!$D$90:$D$95,"Xong")&amp;"/6"</f>
        <v>0/6</v>
      </c>
      <c r="N59" s="32" t="n">
        <f aca="false">COUNTIF('5. Chi tiết N46-77'!$D$90:$D$95,"Xong")/6</f>
        <v>0</v>
      </c>
      <c r="O59" s="26"/>
    </row>
    <row r="60" customFormat="false" ht="25.5" hidden="false" customHeight="true" outlineLevel="0" collapsed="false">
      <c r="A60" s="24" t="n">
        <v>58</v>
      </c>
      <c r="B60" s="25" t="n">
        <f aca="false">'1. Hướng dẫn'!$C$5+57</f>
        <v>46323</v>
      </c>
      <c r="C60" s="26" t="n">
        <v>9</v>
      </c>
      <c r="D60" s="26" t="s">
        <v>78</v>
      </c>
      <c r="E60" s="27" t="s">
        <v>258</v>
      </c>
      <c r="F60" s="28" t="s">
        <v>255</v>
      </c>
      <c r="G60" s="29" t="s">
        <v>259</v>
      </c>
      <c r="H60" s="30" t="s">
        <v>260</v>
      </c>
      <c r="I60" s="26" t="s">
        <v>116</v>
      </c>
      <c r="J60" s="26" t="s">
        <v>112</v>
      </c>
      <c r="K60" s="27" t="s">
        <v>93</v>
      </c>
      <c r="L60" s="31" t="n">
        <v>100</v>
      </c>
      <c r="M60" s="26" t="str">
        <f aca="false">COUNTIF('5. Chi tiết N46-77'!$D$98:$D$103,"Xong")&amp;"/6"</f>
        <v>0/6</v>
      </c>
      <c r="N60" s="32" t="n">
        <f aca="false">COUNTIF('5. Chi tiết N46-77'!$D$98:$D$103,"Xong")/6</f>
        <v>0</v>
      </c>
      <c r="O60" s="26"/>
    </row>
    <row r="61" customFormat="false" ht="25.5" hidden="false" customHeight="true" outlineLevel="0" collapsed="false">
      <c r="A61" s="24" t="n">
        <v>59</v>
      </c>
      <c r="B61" s="25" t="n">
        <f aca="false">'1. Hướng dẫn'!$C$5+58</f>
        <v>46324</v>
      </c>
      <c r="C61" s="26" t="n">
        <v>9</v>
      </c>
      <c r="D61" s="26" t="s">
        <v>78</v>
      </c>
      <c r="E61" s="27" t="s">
        <v>261</v>
      </c>
      <c r="F61" s="28" t="s">
        <v>262</v>
      </c>
      <c r="G61" s="29" t="s">
        <v>263</v>
      </c>
      <c r="H61" s="30" t="s">
        <v>264</v>
      </c>
      <c r="I61" s="26" t="s">
        <v>116</v>
      </c>
      <c r="J61" s="26" t="s">
        <v>217</v>
      </c>
      <c r="K61" s="27" t="s">
        <v>121</v>
      </c>
      <c r="L61" s="31" t="n">
        <v>100</v>
      </c>
      <c r="M61" s="26" t="str">
        <f aca="false">COUNTIF('5. Chi tiết N46-77'!$D$106:$D$111,"Xong")&amp;"/6"</f>
        <v>0/6</v>
      </c>
      <c r="N61" s="32" t="n">
        <f aca="false">COUNTIF('5. Chi tiết N46-77'!$D$106:$D$111,"Xong")/6</f>
        <v>0</v>
      </c>
      <c r="O61" s="26"/>
    </row>
    <row r="62" customFormat="false" ht="25.5" hidden="false" customHeight="true" outlineLevel="0" collapsed="false">
      <c r="A62" s="24" t="n">
        <v>60</v>
      </c>
      <c r="B62" s="25" t="n">
        <f aca="false">'1. Hướng dẫn'!$C$5+59</f>
        <v>46325</v>
      </c>
      <c r="C62" s="26" t="n">
        <v>9</v>
      </c>
      <c r="D62" s="26" t="s">
        <v>78</v>
      </c>
      <c r="E62" s="27" t="s">
        <v>265</v>
      </c>
      <c r="F62" s="28" t="s">
        <v>262</v>
      </c>
      <c r="G62" s="29" t="s">
        <v>266</v>
      </c>
      <c r="H62" s="30" t="s">
        <v>267</v>
      </c>
      <c r="I62" s="26" t="s">
        <v>221</v>
      </c>
      <c r="J62" s="26" t="s">
        <v>217</v>
      </c>
      <c r="K62" s="27" t="s">
        <v>93</v>
      </c>
      <c r="L62" s="31" t="n">
        <v>100</v>
      </c>
      <c r="M62" s="26" t="str">
        <f aca="false">COUNTIF('5. Chi tiết N46-77'!$D$114:$D$119,"Xong")&amp;"/6"</f>
        <v>0/6</v>
      </c>
      <c r="N62" s="32" t="n">
        <f aca="false">COUNTIF('5. Chi tiết N46-77'!$D$114:$D$119,"Xong")/6</f>
        <v>0</v>
      </c>
      <c r="O62" s="26"/>
    </row>
    <row r="63" customFormat="false" ht="25.5" hidden="false" customHeight="true" outlineLevel="0" collapsed="false">
      <c r="A63" s="24" t="n">
        <v>61</v>
      </c>
      <c r="B63" s="25" t="n">
        <f aca="false">'1. Hướng dẫn'!$C$5+60</f>
        <v>46326</v>
      </c>
      <c r="C63" s="26" t="n">
        <v>9</v>
      </c>
      <c r="D63" s="26" t="s">
        <v>78</v>
      </c>
      <c r="E63" s="27" t="s">
        <v>268</v>
      </c>
      <c r="F63" s="28" t="s">
        <v>262</v>
      </c>
      <c r="G63" s="29" t="s">
        <v>269</v>
      </c>
      <c r="H63" s="30" t="s">
        <v>270</v>
      </c>
      <c r="I63" s="26" t="s">
        <v>221</v>
      </c>
      <c r="J63" s="26" t="s">
        <v>225</v>
      </c>
      <c r="K63" s="27" t="s">
        <v>121</v>
      </c>
      <c r="L63" s="31" t="n">
        <v>100</v>
      </c>
      <c r="M63" s="26" t="str">
        <f aca="false">COUNTIF('5. Chi tiết N46-77'!$D$122:$D$127,"Xong")&amp;"/6"</f>
        <v>0/6</v>
      </c>
      <c r="N63" s="32" t="n">
        <f aca="false">COUNTIF('5. Chi tiết N46-77'!$D$122:$D$127,"Xong")/6</f>
        <v>0</v>
      </c>
      <c r="O63" s="26"/>
    </row>
    <row r="64" customFormat="false" ht="25.5" hidden="false" customHeight="true" outlineLevel="0" collapsed="false">
      <c r="A64" s="24" t="n">
        <v>62</v>
      </c>
      <c r="B64" s="25" t="n">
        <f aca="false">'1. Hướng dẫn'!$C$5+61</f>
        <v>46327</v>
      </c>
      <c r="C64" s="26" t="n">
        <v>9</v>
      </c>
      <c r="D64" s="26" t="s">
        <v>78</v>
      </c>
      <c r="E64" s="27" t="s">
        <v>271</v>
      </c>
      <c r="F64" s="28" t="s">
        <v>272</v>
      </c>
      <c r="G64" s="29" t="s">
        <v>273</v>
      </c>
      <c r="H64" s="30" t="s">
        <v>274</v>
      </c>
      <c r="I64" s="26" t="s">
        <v>116</v>
      </c>
      <c r="J64" s="26" t="s">
        <v>217</v>
      </c>
      <c r="K64" s="27" t="s">
        <v>93</v>
      </c>
      <c r="L64" s="31" t="n">
        <v>100</v>
      </c>
      <c r="M64" s="26" t="str">
        <f aca="false">COUNTIF('5. Chi tiết N46-77'!$D$130:$D$135,"Xong")&amp;"/6"</f>
        <v>0/6</v>
      </c>
      <c r="N64" s="32" t="n">
        <f aca="false">COUNTIF('5. Chi tiết N46-77'!$D$130:$D$135,"Xong")/6</f>
        <v>0</v>
      </c>
      <c r="O64" s="26"/>
    </row>
    <row r="65" customFormat="false" ht="25.5" hidden="false" customHeight="true" outlineLevel="0" collapsed="false">
      <c r="A65" s="34" t="n">
        <v>63</v>
      </c>
      <c r="B65" s="35" t="n">
        <f aca="false">'1. Hướng dẫn'!$C$5+62</f>
        <v>46328</v>
      </c>
      <c r="C65" s="36" t="n">
        <v>9</v>
      </c>
      <c r="D65" s="36" t="s">
        <v>78</v>
      </c>
      <c r="E65" s="37" t="s">
        <v>275</v>
      </c>
      <c r="F65" s="38" t="s">
        <v>276</v>
      </c>
      <c r="G65" s="37" t="s">
        <v>134</v>
      </c>
      <c r="H65" s="36" t="s">
        <v>134</v>
      </c>
      <c r="I65" s="39" t="s">
        <v>135</v>
      </c>
      <c r="J65" s="36" t="s">
        <v>134</v>
      </c>
      <c r="K65" s="37" t="s">
        <v>136</v>
      </c>
      <c r="L65" s="40" t="n">
        <v>105</v>
      </c>
      <c r="M65" s="36" t="str">
        <f aca="false">COUNTIF('5. Chi tiết N46-77'!$D$138:$D$142,"Xong")&amp;"/5"</f>
        <v>0/5</v>
      </c>
      <c r="N65" s="41" t="n">
        <f aca="false">COUNTIF('5. Chi tiết N46-77'!$D$138:$D$142,"Xong")/5</f>
        <v>0</v>
      </c>
      <c r="O65" s="36"/>
    </row>
    <row r="66" customFormat="false" ht="25.5" hidden="false" customHeight="true" outlineLevel="0" collapsed="false">
      <c r="A66" s="24" t="n">
        <v>64</v>
      </c>
      <c r="B66" s="25" t="n">
        <f aca="false">'1. Hướng dẫn'!$C$5+63</f>
        <v>46329</v>
      </c>
      <c r="C66" s="26" t="n">
        <v>10</v>
      </c>
      <c r="D66" s="26" t="s">
        <v>78</v>
      </c>
      <c r="E66" s="27" t="s">
        <v>277</v>
      </c>
      <c r="F66" s="28" t="s">
        <v>272</v>
      </c>
      <c r="G66" s="29" t="s">
        <v>278</v>
      </c>
      <c r="H66" s="30" t="s">
        <v>279</v>
      </c>
      <c r="I66" s="26" t="s">
        <v>221</v>
      </c>
      <c r="J66" s="26" t="s">
        <v>217</v>
      </c>
      <c r="K66" s="27" t="s">
        <v>93</v>
      </c>
      <c r="L66" s="31" t="n">
        <v>100</v>
      </c>
      <c r="M66" s="26" t="str">
        <f aca="false">COUNTIF('5. Chi tiết N46-77'!$D$145:$D$150,"Xong")&amp;"/6"</f>
        <v>0/6</v>
      </c>
      <c r="N66" s="32" t="n">
        <f aca="false">COUNTIF('5. Chi tiết N46-77'!$D$145:$D$150,"Xong")/6</f>
        <v>0</v>
      </c>
      <c r="O66" s="26"/>
    </row>
    <row r="67" customFormat="false" ht="25.5" hidden="false" customHeight="true" outlineLevel="0" collapsed="false">
      <c r="A67" s="24" t="n">
        <v>65</v>
      </c>
      <c r="B67" s="25" t="n">
        <f aca="false">'1. Hướng dẫn'!$C$5+64</f>
        <v>46330</v>
      </c>
      <c r="C67" s="26" t="n">
        <v>10</v>
      </c>
      <c r="D67" s="26" t="s">
        <v>78</v>
      </c>
      <c r="E67" s="27" t="s">
        <v>280</v>
      </c>
      <c r="F67" s="28" t="s">
        <v>272</v>
      </c>
      <c r="G67" s="29" t="s">
        <v>281</v>
      </c>
      <c r="H67" s="30" t="s">
        <v>282</v>
      </c>
      <c r="I67" s="26" t="s">
        <v>221</v>
      </c>
      <c r="J67" s="26" t="s">
        <v>225</v>
      </c>
      <c r="K67" s="27" t="s">
        <v>121</v>
      </c>
      <c r="L67" s="31" t="n">
        <v>100</v>
      </c>
      <c r="M67" s="26" t="str">
        <f aca="false">COUNTIF('5. Chi tiết N46-77'!$D$153:$D$158,"Xong")&amp;"/6"</f>
        <v>0/6</v>
      </c>
      <c r="N67" s="32" t="n">
        <f aca="false">COUNTIF('5. Chi tiết N46-77'!$D$153:$D$158,"Xong")/6</f>
        <v>0</v>
      </c>
      <c r="O67" s="26"/>
    </row>
    <row r="68" customFormat="false" ht="25.5" hidden="false" customHeight="true" outlineLevel="0" collapsed="false">
      <c r="A68" s="24" t="n">
        <v>66</v>
      </c>
      <c r="B68" s="25" t="n">
        <f aca="false">'1. Hướng dẫn'!$C$5+65</f>
        <v>46331</v>
      </c>
      <c r="C68" s="26" t="n">
        <v>10</v>
      </c>
      <c r="D68" s="26" t="s">
        <v>78</v>
      </c>
      <c r="E68" s="27" t="s">
        <v>283</v>
      </c>
      <c r="F68" s="28" t="s">
        <v>284</v>
      </c>
      <c r="G68" s="29" t="s">
        <v>285</v>
      </c>
      <c r="H68" s="30" t="s">
        <v>286</v>
      </c>
      <c r="I68" s="26" t="s">
        <v>116</v>
      </c>
      <c r="J68" s="26" t="s">
        <v>112</v>
      </c>
      <c r="K68" s="27" t="s">
        <v>93</v>
      </c>
      <c r="L68" s="31" t="n">
        <v>100</v>
      </c>
      <c r="M68" s="26" t="str">
        <f aca="false">COUNTIF('5. Chi tiết N46-77'!$D$161:$D$166,"Xong")&amp;"/6"</f>
        <v>0/6</v>
      </c>
      <c r="N68" s="32" t="n">
        <f aca="false">COUNTIF('5. Chi tiết N46-77'!$D$161:$D$166,"Xong")/6</f>
        <v>0</v>
      </c>
      <c r="O68" s="26"/>
    </row>
    <row r="69" customFormat="false" ht="25.5" hidden="false" customHeight="true" outlineLevel="0" collapsed="false">
      <c r="A69" s="24" t="n">
        <v>67</v>
      </c>
      <c r="B69" s="25" t="n">
        <f aca="false">'1. Hướng dẫn'!$C$5+66</f>
        <v>46332</v>
      </c>
      <c r="C69" s="26" t="n">
        <v>10</v>
      </c>
      <c r="D69" s="26" t="s">
        <v>78</v>
      </c>
      <c r="E69" s="27" t="s">
        <v>287</v>
      </c>
      <c r="F69" s="28" t="s">
        <v>284</v>
      </c>
      <c r="G69" s="29" t="s">
        <v>288</v>
      </c>
      <c r="H69" s="26" t="s">
        <v>289</v>
      </c>
      <c r="I69" s="26" t="s">
        <v>116</v>
      </c>
      <c r="J69" s="26" t="s">
        <v>112</v>
      </c>
      <c r="K69" s="27" t="s">
        <v>121</v>
      </c>
      <c r="L69" s="31" t="n">
        <v>100</v>
      </c>
      <c r="M69" s="26" t="str">
        <f aca="false">COUNTIF('5. Chi tiết N46-77'!$D$169:$D$174,"Xong")&amp;"/6"</f>
        <v>0/6</v>
      </c>
      <c r="N69" s="32" t="n">
        <f aca="false">COUNTIF('5. Chi tiết N46-77'!$D$169:$D$174,"Xong")/6</f>
        <v>0</v>
      </c>
      <c r="O69" s="26"/>
    </row>
    <row r="70" customFormat="false" ht="25.5" hidden="false" customHeight="true" outlineLevel="0" collapsed="false">
      <c r="A70" s="24" t="n">
        <v>68</v>
      </c>
      <c r="B70" s="25" t="n">
        <f aca="false">'1. Hướng dẫn'!$C$5+67</f>
        <v>46333</v>
      </c>
      <c r="C70" s="26" t="n">
        <v>10</v>
      </c>
      <c r="D70" s="26" t="s">
        <v>78</v>
      </c>
      <c r="E70" s="27" t="s">
        <v>290</v>
      </c>
      <c r="F70" s="28" t="s">
        <v>291</v>
      </c>
      <c r="G70" s="29" t="s">
        <v>292</v>
      </c>
      <c r="H70" s="26" t="s">
        <v>289</v>
      </c>
      <c r="I70" s="26" t="s">
        <v>116</v>
      </c>
      <c r="J70" s="26" t="s">
        <v>112</v>
      </c>
      <c r="K70" s="27" t="s">
        <v>93</v>
      </c>
      <c r="L70" s="31" t="n">
        <v>100</v>
      </c>
      <c r="M70" s="26" t="str">
        <f aca="false">COUNTIF('5. Chi tiết N46-77'!$D$177:$D$182,"Xong")&amp;"/6"</f>
        <v>0/6</v>
      </c>
      <c r="N70" s="32" t="n">
        <f aca="false">COUNTIF('5. Chi tiết N46-77'!$D$177:$D$182,"Xong")/6</f>
        <v>0</v>
      </c>
      <c r="O70" s="26"/>
    </row>
    <row r="71" customFormat="false" ht="25.5" hidden="false" customHeight="true" outlineLevel="0" collapsed="false">
      <c r="A71" s="24" t="n">
        <v>69</v>
      </c>
      <c r="B71" s="25" t="n">
        <f aca="false">'1. Hướng dẫn'!$C$5+68</f>
        <v>46334</v>
      </c>
      <c r="C71" s="26" t="n">
        <v>10</v>
      </c>
      <c r="D71" s="26" t="s">
        <v>78</v>
      </c>
      <c r="E71" s="27" t="s">
        <v>293</v>
      </c>
      <c r="F71" s="28" t="s">
        <v>291</v>
      </c>
      <c r="G71" s="29" t="s">
        <v>294</v>
      </c>
      <c r="H71" s="26" t="s">
        <v>289</v>
      </c>
      <c r="I71" s="26" t="s">
        <v>221</v>
      </c>
      <c r="J71" s="26" t="s">
        <v>112</v>
      </c>
      <c r="K71" s="27" t="s">
        <v>93</v>
      </c>
      <c r="L71" s="31" t="n">
        <v>100</v>
      </c>
      <c r="M71" s="26" t="str">
        <f aca="false">COUNTIF('5. Chi tiết N46-77'!$D$185:$D$190,"Xong")&amp;"/6"</f>
        <v>0/6</v>
      </c>
      <c r="N71" s="32" t="n">
        <f aca="false">COUNTIF('5. Chi tiết N46-77'!$D$185:$D$190,"Xong")/6</f>
        <v>0</v>
      </c>
      <c r="O71" s="26"/>
    </row>
    <row r="72" customFormat="false" ht="25.5" hidden="false" customHeight="true" outlineLevel="0" collapsed="false">
      <c r="A72" s="34" t="n">
        <v>70</v>
      </c>
      <c r="B72" s="35" t="n">
        <f aca="false">'1. Hướng dẫn'!$C$5+69</f>
        <v>46335</v>
      </c>
      <c r="C72" s="36" t="n">
        <v>10</v>
      </c>
      <c r="D72" s="36" t="s">
        <v>78</v>
      </c>
      <c r="E72" s="37" t="s">
        <v>295</v>
      </c>
      <c r="F72" s="38" t="s">
        <v>296</v>
      </c>
      <c r="G72" s="37" t="s">
        <v>134</v>
      </c>
      <c r="H72" s="36" t="s">
        <v>134</v>
      </c>
      <c r="I72" s="39" t="s">
        <v>135</v>
      </c>
      <c r="J72" s="36" t="s">
        <v>134</v>
      </c>
      <c r="K72" s="37" t="s">
        <v>136</v>
      </c>
      <c r="L72" s="40" t="n">
        <v>105</v>
      </c>
      <c r="M72" s="36" t="str">
        <f aca="false">COUNTIF('5. Chi tiết N46-77'!$D$193:$D$197,"Xong")&amp;"/5"</f>
        <v>0/5</v>
      </c>
      <c r="N72" s="41" t="n">
        <f aca="false">COUNTIF('5. Chi tiết N46-77'!$D$193:$D$197,"Xong")/5</f>
        <v>0</v>
      </c>
      <c r="O72" s="36"/>
    </row>
    <row r="73" customFormat="false" ht="25.5" hidden="false" customHeight="true" outlineLevel="0" collapsed="false">
      <c r="A73" s="24" t="n">
        <v>71</v>
      </c>
      <c r="B73" s="25" t="n">
        <f aca="false">'1. Hướng dẫn'!$C$5+70</f>
        <v>46336</v>
      </c>
      <c r="C73" s="26" t="n">
        <v>11</v>
      </c>
      <c r="D73" s="26" t="s">
        <v>78</v>
      </c>
      <c r="E73" s="27" t="s">
        <v>297</v>
      </c>
      <c r="F73" s="33" t="s">
        <v>298</v>
      </c>
      <c r="G73" s="29" t="s">
        <v>299</v>
      </c>
      <c r="H73" s="26" t="s">
        <v>289</v>
      </c>
      <c r="I73" s="26" t="s">
        <v>116</v>
      </c>
      <c r="J73" s="26" t="s">
        <v>112</v>
      </c>
      <c r="K73" s="27" t="s">
        <v>121</v>
      </c>
      <c r="L73" s="31" t="n">
        <v>100</v>
      </c>
      <c r="M73" s="26" t="str">
        <f aca="false">COUNTIF('5. Chi tiết N46-77'!$D$200:$D$205,"Xong")&amp;"/6"</f>
        <v>0/6</v>
      </c>
      <c r="N73" s="32" t="n">
        <f aca="false">COUNTIF('5. Chi tiết N46-77'!$D$200:$D$205,"Xong")/6</f>
        <v>0</v>
      </c>
      <c r="O73" s="26"/>
    </row>
    <row r="74" customFormat="false" ht="25.5" hidden="false" customHeight="true" outlineLevel="0" collapsed="false">
      <c r="A74" s="24" t="n">
        <v>72</v>
      </c>
      <c r="B74" s="25" t="n">
        <f aca="false">'1. Hướng dẫn'!$C$5+71</f>
        <v>46337</v>
      </c>
      <c r="C74" s="26" t="n">
        <v>11</v>
      </c>
      <c r="D74" s="26" t="s">
        <v>78</v>
      </c>
      <c r="E74" s="27" t="s">
        <v>300</v>
      </c>
      <c r="F74" s="33" t="s">
        <v>298</v>
      </c>
      <c r="G74" s="29" t="s">
        <v>301</v>
      </c>
      <c r="H74" s="26" t="s">
        <v>289</v>
      </c>
      <c r="I74" s="26" t="s">
        <v>221</v>
      </c>
      <c r="J74" s="26" t="s">
        <v>112</v>
      </c>
      <c r="K74" s="27" t="s">
        <v>93</v>
      </c>
      <c r="L74" s="31" t="n">
        <v>100</v>
      </c>
      <c r="M74" s="26" t="str">
        <f aca="false">COUNTIF('5. Chi tiết N46-77'!$D$208:$D$213,"Xong")&amp;"/6"</f>
        <v>0/6</v>
      </c>
      <c r="N74" s="32" t="n">
        <f aca="false">COUNTIF('5. Chi tiết N46-77'!$D$208:$D$213,"Xong")/6</f>
        <v>0</v>
      </c>
      <c r="O74" s="26"/>
    </row>
    <row r="75" customFormat="false" ht="25.5" hidden="false" customHeight="true" outlineLevel="0" collapsed="false">
      <c r="A75" s="24" t="n">
        <v>73</v>
      </c>
      <c r="B75" s="25" t="n">
        <f aca="false">'1. Hướng dẫn'!$C$5+72</f>
        <v>46338</v>
      </c>
      <c r="C75" s="26" t="n">
        <v>11</v>
      </c>
      <c r="D75" s="26" t="s">
        <v>78</v>
      </c>
      <c r="E75" s="27" t="s">
        <v>302</v>
      </c>
      <c r="F75" s="28" t="s">
        <v>303</v>
      </c>
      <c r="G75" s="29" t="s">
        <v>196</v>
      </c>
      <c r="H75" s="26" t="s">
        <v>289</v>
      </c>
      <c r="I75" s="26" t="s">
        <v>116</v>
      </c>
      <c r="J75" s="26" t="s">
        <v>112</v>
      </c>
      <c r="K75" s="27" t="s">
        <v>121</v>
      </c>
      <c r="L75" s="31" t="n">
        <v>100</v>
      </c>
      <c r="M75" s="26" t="str">
        <f aca="false">COUNTIF('5. Chi tiết N46-77'!$D$216:$D$221,"Xong")&amp;"/6"</f>
        <v>0/6</v>
      </c>
      <c r="N75" s="32" t="n">
        <f aca="false">COUNTIF('5. Chi tiết N46-77'!$D$216:$D$221,"Xong")/6</f>
        <v>0</v>
      </c>
      <c r="O75" s="26"/>
    </row>
    <row r="76" customFormat="false" ht="25.5" hidden="false" customHeight="true" outlineLevel="0" collapsed="false">
      <c r="A76" s="24" t="n">
        <v>74</v>
      </c>
      <c r="B76" s="25" t="n">
        <f aca="false">'1. Hướng dẫn'!$C$5+73</f>
        <v>46339</v>
      </c>
      <c r="C76" s="26" t="n">
        <v>11</v>
      </c>
      <c r="D76" s="26" t="s">
        <v>78</v>
      </c>
      <c r="E76" s="27" t="s">
        <v>304</v>
      </c>
      <c r="F76" s="28" t="s">
        <v>303</v>
      </c>
      <c r="G76" s="29" t="s">
        <v>305</v>
      </c>
      <c r="H76" s="26" t="s">
        <v>289</v>
      </c>
      <c r="I76" s="26" t="s">
        <v>116</v>
      </c>
      <c r="J76" s="26" t="s">
        <v>112</v>
      </c>
      <c r="K76" s="27" t="s">
        <v>93</v>
      </c>
      <c r="L76" s="31" t="n">
        <v>100</v>
      </c>
      <c r="M76" s="26" t="str">
        <f aca="false">COUNTIF('5. Chi tiết N46-77'!$D$224:$D$229,"Xong")&amp;"/6"</f>
        <v>0/6</v>
      </c>
      <c r="N76" s="32" t="n">
        <f aca="false">COUNTIF('5. Chi tiết N46-77'!$D$224:$D$229,"Xong")/6</f>
        <v>0</v>
      </c>
      <c r="O76" s="26"/>
    </row>
    <row r="77" customFormat="false" ht="25.5" hidden="false" customHeight="true" outlineLevel="0" collapsed="false">
      <c r="A77" s="24" t="n">
        <v>75</v>
      </c>
      <c r="B77" s="25" t="n">
        <f aca="false">'1. Hướng dẫn'!$C$5+74</f>
        <v>46340</v>
      </c>
      <c r="C77" s="26" t="n">
        <v>11</v>
      </c>
      <c r="D77" s="26" t="s">
        <v>78</v>
      </c>
      <c r="E77" s="27" t="s">
        <v>306</v>
      </c>
      <c r="F77" s="28" t="s">
        <v>307</v>
      </c>
      <c r="G77" s="29" t="s">
        <v>193</v>
      </c>
      <c r="H77" s="26" t="s">
        <v>289</v>
      </c>
      <c r="I77" s="26" t="s">
        <v>116</v>
      </c>
      <c r="J77" s="26" t="s">
        <v>112</v>
      </c>
      <c r="K77" s="27" t="s">
        <v>93</v>
      </c>
      <c r="L77" s="31" t="n">
        <v>100</v>
      </c>
      <c r="M77" s="26" t="str">
        <f aca="false">COUNTIF('5. Chi tiết N46-77'!$D$232:$D$237,"Xong")&amp;"/6"</f>
        <v>0/6</v>
      </c>
      <c r="N77" s="32" t="n">
        <f aca="false">COUNTIF('5. Chi tiết N46-77'!$D$232:$D$237,"Xong")/6</f>
        <v>0</v>
      </c>
      <c r="O77" s="26"/>
    </row>
    <row r="78" customFormat="false" ht="25.5" hidden="false" customHeight="true" outlineLevel="0" collapsed="false">
      <c r="A78" s="24" t="n">
        <v>76</v>
      </c>
      <c r="B78" s="25" t="n">
        <f aca="false">'1. Hướng dẫn'!$C$5+75</f>
        <v>46341</v>
      </c>
      <c r="C78" s="26" t="n">
        <v>11</v>
      </c>
      <c r="D78" s="26" t="s">
        <v>78</v>
      </c>
      <c r="E78" s="27" t="s">
        <v>308</v>
      </c>
      <c r="F78" s="28" t="s">
        <v>307</v>
      </c>
      <c r="G78" s="29" t="s">
        <v>170</v>
      </c>
      <c r="H78" s="26" t="s">
        <v>289</v>
      </c>
      <c r="I78" s="26" t="s">
        <v>116</v>
      </c>
      <c r="J78" s="26" t="s">
        <v>112</v>
      </c>
      <c r="K78" s="27" t="s">
        <v>93</v>
      </c>
      <c r="L78" s="31" t="n">
        <v>100</v>
      </c>
      <c r="M78" s="26" t="str">
        <f aca="false">COUNTIF('5. Chi tiết N46-77'!$D$240:$D$245,"Xong")&amp;"/6"</f>
        <v>0/6</v>
      </c>
      <c r="N78" s="32" t="n">
        <f aca="false">COUNTIF('5. Chi tiết N46-77'!$D$240:$D$245,"Xong")/6</f>
        <v>0</v>
      </c>
      <c r="O78" s="26"/>
    </row>
    <row r="79" customFormat="false" ht="25.5" hidden="false" customHeight="true" outlineLevel="0" collapsed="false">
      <c r="A79" s="34" t="n">
        <v>77</v>
      </c>
      <c r="B79" s="35" t="n">
        <f aca="false">'1. Hướng dẫn'!$C$5+76</f>
        <v>46342</v>
      </c>
      <c r="C79" s="36" t="n">
        <v>11</v>
      </c>
      <c r="D79" s="36" t="s">
        <v>78</v>
      </c>
      <c r="E79" s="37" t="s">
        <v>309</v>
      </c>
      <c r="F79" s="38" t="s">
        <v>310</v>
      </c>
      <c r="G79" s="37" t="s">
        <v>134</v>
      </c>
      <c r="H79" s="36" t="s">
        <v>134</v>
      </c>
      <c r="I79" s="39" t="s">
        <v>135</v>
      </c>
      <c r="J79" s="36" t="s">
        <v>134</v>
      </c>
      <c r="K79" s="37" t="s">
        <v>136</v>
      </c>
      <c r="L79" s="40" t="n">
        <v>105</v>
      </c>
      <c r="M79" s="36" t="str">
        <f aca="false">COUNTIF('5. Chi tiết N46-77'!$D$248:$D$252,"Xong")&amp;"/5"</f>
        <v>0/5</v>
      </c>
      <c r="N79" s="41" t="n">
        <f aca="false">COUNTIF('5. Chi tiết N46-77'!$D$248:$D$252,"Xong")/5</f>
        <v>0</v>
      </c>
      <c r="O79" s="36"/>
    </row>
    <row r="80" customFormat="false" ht="25.5" hidden="false" customHeight="true" outlineLevel="0" collapsed="false">
      <c r="A80" s="42" t="n">
        <v>78</v>
      </c>
      <c r="B80" s="43" t="n">
        <f aca="false">'1. Hướng dẫn'!$C$5+77</f>
        <v>46343</v>
      </c>
      <c r="C80" s="44" t="n">
        <v>12</v>
      </c>
      <c r="D80" s="44" t="s">
        <v>311</v>
      </c>
      <c r="E80" s="45" t="s">
        <v>312</v>
      </c>
      <c r="F80" s="46" t="s">
        <v>313</v>
      </c>
      <c r="G80" s="45" t="s">
        <v>289</v>
      </c>
      <c r="H80" s="44" t="s">
        <v>289</v>
      </c>
      <c r="I80" s="44" t="s">
        <v>289</v>
      </c>
      <c r="J80" s="44" t="s">
        <v>289</v>
      </c>
      <c r="K80" s="45" t="s">
        <v>314</v>
      </c>
      <c r="L80" s="47" t="n">
        <v>100</v>
      </c>
      <c r="M80" s="44" t="str">
        <f aca="false">COUNTIF('6. Chi tiết N78-90'!$D$4:$D$7,"Xong")&amp;"/4"</f>
        <v>0/4</v>
      </c>
      <c r="N80" s="48" t="n">
        <f aca="false">COUNTIF('6. Chi tiết N78-90'!$D$4:$D$7,"Xong")/4</f>
        <v>0</v>
      </c>
      <c r="O80" s="44"/>
    </row>
    <row r="81" customFormat="false" ht="25.5" hidden="false" customHeight="true" outlineLevel="0" collapsed="false">
      <c r="A81" s="42" t="n">
        <v>79</v>
      </c>
      <c r="B81" s="43" t="n">
        <f aca="false">'1. Hướng dẫn'!$C$5+78</f>
        <v>46344</v>
      </c>
      <c r="C81" s="44" t="n">
        <v>12</v>
      </c>
      <c r="D81" s="44" t="s">
        <v>311</v>
      </c>
      <c r="E81" s="45" t="s">
        <v>312</v>
      </c>
      <c r="F81" s="46" t="s">
        <v>315</v>
      </c>
      <c r="G81" s="45" t="s">
        <v>289</v>
      </c>
      <c r="H81" s="44" t="s">
        <v>289</v>
      </c>
      <c r="I81" s="44" t="s">
        <v>289</v>
      </c>
      <c r="J81" s="44" t="s">
        <v>289</v>
      </c>
      <c r="K81" s="45" t="s">
        <v>314</v>
      </c>
      <c r="L81" s="47" t="n">
        <v>100</v>
      </c>
      <c r="M81" s="44" t="str">
        <f aca="false">COUNTIF('6. Chi tiết N78-90'!$D$10:$D$13,"Xong")&amp;"/4"</f>
        <v>0/4</v>
      </c>
      <c r="N81" s="48" t="n">
        <f aca="false">COUNTIF('6. Chi tiết N78-90'!$D$10:$D$13,"Xong")/4</f>
        <v>0</v>
      </c>
      <c r="O81" s="44"/>
    </row>
    <row r="82" customFormat="false" ht="25.5" hidden="false" customHeight="true" outlineLevel="0" collapsed="false">
      <c r="A82" s="42" t="n">
        <v>80</v>
      </c>
      <c r="B82" s="43" t="n">
        <f aca="false">'1. Hướng dẫn'!$C$5+79</f>
        <v>46345</v>
      </c>
      <c r="C82" s="44" t="n">
        <v>12</v>
      </c>
      <c r="D82" s="44" t="s">
        <v>311</v>
      </c>
      <c r="E82" s="45" t="s">
        <v>312</v>
      </c>
      <c r="F82" s="46" t="s">
        <v>316</v>
      </c>
      <c r="G82" s="45" t="s">
        <v>289</v>
      </c>
      <c r="H82" s="44" t="s">
        <v>289</v>
      </c>
      <c r="I82" s="44" t="s">
        <v>289</v>
      </c>
      <c r="J82" s="44" t="s">
        <v>289</v>
      </c>
      <c r="K82" s="45" t="s">
        <v>314</v>
      </c>
      <c r="L82" s="47" t="n">
        <v>100</v>
      </c>
      <c r="M82" s="44" t="str">
        <f aca="false">COUNTIF('6. Chi tiết N78-90'!$D$16:$D$19,"Xong")&amp;"/4"</f>
        <v>0/4</v>
      </c>
      <c r="N82" s="48" t="n">
        <f aca="false">COUNTIF('6. Chi tiết N78-90'!$D$16:$D$19,"Xong")/4</f>
        <v>0</v>
      </c>
      <c r="O82" s="44"/>
    </row>
    <row r="83" customFormat="false" ht="25.5" hidden="false" customHeight="true" outlineLevel="0" collapsed="false">
      <c r="A83" s="42" t="n">
        <v>81</v>
      </c>
      <c r="B83" s="43" t="n">
        <f aca="false">'1. Hướng dẫn'!$C$5+80</f>
        <v>46346</v>
      </c>
      <c r="C83" s="44" t="n">
        <v>12</v>
      </c>
      <c r="D83" s="44" t="s">
        <v>311</v>
      </c>
      <c r="E83" s="45" t="s">
        <v>312</v>
      </c>
      <c r="F83" s="46" t="s">
        <v>317</v>
      </c>
      <c r="G83" s="45" t="s">
        <v>289</v>
      </c>
      <c r="H83" s="44" t="s">
        <v>289</v>
      </c>
      <c r="I83" s="44" t="s">
        <v>289</v>
      </c>
      <c r="J83" s="44" t="s">
        <v>289</v>
      </c>
      <c r="K83" s="45" t="s">
        <v>314</v>
      </c>
      <c r="L83" s="47" t="n">
        <v>100</v>
      </c>
      <c r="M83" s="44" t="str">
        <f aca="false">COUNTIF('6. Chi tiết N78-90'!$D$22:$D$25,"Xong")&amp;"/4"</f>
        <v>0/4</v>
      </c>
      <c r="N83" s="48" t="n">
        <f aca="false">COUNTIF('6. Chi tiết N78-90'!$D$22:$D$25,"Xong")/4</f>
        <v>0</v>
      </c>
      <c r="O83" s="44"/>
    </row>
    <row r="84" customFormat="false" ht="25.5" hidden="false" customHeight="true" outlineLevel="0" collapsed="false">
      <c r="A84" s="42" t="n">
        <v>82</v>
      </c>
      <c r="B84" s="43" t="n">
        <f aca="false">'1. Hướng dẫn'!$C$5+81</f>
        <v>46347</v>
      </c>
      <c r="C84" s="44" t="n">
        <v>12</v>
      </c>
      <c r="D84" s="44" t="s">
        <v>311</v>
      </c>
      <c r="E84" s="45" t="s">
        <v>312</v>
      </c>
      <c r="F84" s="46" t="s">
        <v>318</v>
      </c>
      <c r="G84" s="45" t="s">
        <v>289</v>
      </c>
      <c r="H84" s="44" t="s">
        <v>289</v>
      </c>
      <c r="I84" s="44" t="s">
        <v>289</v>
      </c>
      <c r="J84" s="44" t="s">
        <v>289</v>
      </c>
      <c r="K84" s="45" t="s">
        <v>314</v>
      </c>
      <c r="L84" s="47" t="n">
        <v>95</v>
      </c>
      <c r="M84" s="44" t="str">
        <f aca="false">COUNTIF('6. Chi tiết N78-90'!$D$28:$D$31,"Xong")&amp;"/4"</f>
        <v>0/4</v>
      </c>
      <c r="N84" s="48" t="n">
        <f aca="false">COUNTIF('6. Chi tiết N78-90'!$D$28:$D$31,"Xong")/4</f>
        <v>0</v>
      </c>
      <c r="O84" s="44"/>
    </row>
    <row r="85" customFormat="false" ht="25.5" hidden="false" customHeight="true" outlineLevel="0" collapsed="false">
      <c r="A85" s="42" t="n">
        <v>83</v>
      </c>
      <c r="B85" s="43" t="n">
        <f aca="false">'1. Hướng dẫn'!$C$5+82</f>
        <v>46348</v>
      </c>
      <c r="C85" s="44" t="n">
        <v>12</v>
      </c>
      <c r="D85" s="44" t="s">
        <v>311</v>
      </c>
      <c r="E85" s="45" t="s">
        <v>312</v>
      </c>
      <c r="F85" s="46" t="s">
        <v>319</v>
      </c>
      <c r="G85" s="45" t="s">
        <v>289</v>
      </c>
      <c r="H85" s="44" t="s">
        <v>289</v>
      </c>
      <c r="I85" s="44" t="s">
        <v>289</v>
      </c>
      <c r="J85" s="44" t="s">
        <v>289</v>
      </c>
      <c r="K85" s="45" t="s">
        <v>314</v>
      </c>
      <c r="L85" s="47" t="n">
        <v>95</v>
      </c>
      <c r="M85" s="44" t="str">
        <f aca="false">COUNTIF('6. Chi tiết N78-90'!$D$34:$D$37,"Xong")&amp;"/4"</f>
        <v>0/4</v>
      </c>
      <c r="N85" s="48" t="n">
        <f aca="false">COUNTIF('6. Chi tiết N78-90'!$D$34:$D$37,"Xong")/4</f>
        <v>0</v>
      </c>
      <c r="O85" s="44"/>
    </row>
    <row r="86" customFormat="false" ht="25.5" hidden="false" customHeight="true" outlineLevel="0" collapsed="false">
      <c r="A86" s="49" t="n">
        <v>84</v>
      </c>
      <c r="B86" s="50" t="n">
        <f aca="false">'1. Hướng dẫn'!$C$5+83</f>
        <v>46349</v>
      </c>
      <c r="C86" s="51" t="n">
        <v>12</v>
      </c>
      <c r="D86" s="51" t="s">
        <v>311</v>
      </c>
      <c r="E86" s="52" t="s">
        <v>312</v>
      </c>
      <c r="F86" s="53" t="s">
        <v>320</v>
      </c>
      <c r="G86" s="52" t="s">
        <v>289</v>
      </c>
      <c r="H86" s="51" t="s">
        <v>289</v>
      </c>
      <c r="I86" s="51" t="s">
        <v>289</v>
      </c>
      <c r="J86" s="51" t="s">
        <v>289</v>
      </c>
      <c r="K86" s="52" t="s">
        <v>314</v>
      </c>
      <c r="L86" s="54" t="n">
        <v>120</v>
      </c>
      <c r="M86" s="51" t="str">
        <f aca="false">COUNTIF('6. Chi tiết N78-90'!$D$40:$D$43,"Xong")&amp;"/4"</f>
        <v>0/4</v>
      </c>
      <c r="N86" s="55" t="n">
        <f aca="false">COUNTIF('6. Chi tiết N78-90'!$D$40:$D$43,"Xong")/4</f>
        <v>0</v>
      </c>
      <c r="O86" s="51"/>
    </row>
    <row r="87" customFormat="false" ht="25.5" hidden="false" customHeight="true" outlineLevel="0" collapsed="false">
      <c r="A87" s="42" t="n">
        <v>85</v>
      </c>
      <c r="B87" s="43" t="n">
        <f aca="false">'1. Hướng dẫn'!$C$5+84</f>
        <v>46350</v>
      </c>
      <c r="C87" s="44" t="n">
        <v>13</v>
      </c>
      <c r="D87" s="44" t="s">
        <v>311</v>
      </c>
      <c r="E87" s="45" t="s">
        <v>312</v>
      </c>
      <c r="F87" s="46" t="s">
        <v>321</v>
      </c>
      <c r="G87" s="45" t="s">
        <v>289</v>
      </c>
      <c r="H87" s="44" t="s">
        <v>289</v>
      </c>
      <c r="I87" s="44" t="s">
        <v>289</v>
      </c>
      <c r="J87" s="44" t="s">
        <v>289</v>
      </c>
      <c r="K87" s="45" t="s">
        <v>314</v>
      </c>
      <c r="L87" s="47" t="n">
        <v>100</v>
      </c>
      <c r="M87" s="44" t="str">
        <f aca="false">COUNTIF('6. Chi tiết N78-90'!$D$46:$D$49,"Xong")&amp;"/4"</f>
        <v>0/4</v>
      </c>
      <c r="N87" s="48" t="n">
        <f aca="false">COUNTIF('6. Chi tiết N78-90'!$D$46:$D$49,"Xong")/4</f>
        <v>0</v>
      </c>
      <c r="O87" s="44"/>
    </row>
    <row r="88" customFormat="false" ht="25.5" hidden="false" customHeight="true" outlineLevel="0" collapsed="false">
      <c r="A88" s="42" t="n">
        <v>86</v>
      </c>
      <c r="B88" s="43" t="n">
        <f aca="false">'1. Hướng dẫn'!$C$5+85</f>
        <v>46351</v>
      </c>
      <c r="C88" s="44" t="n">
        <v>13</v>
      </c>
      <c r="D88" s="44" t="s">
        <v>311</v>
      </c>
      <c r="E88" s="45" t="s">
        <v>312</v>
      </c>
      <c r="F88" s="46" t="s">
        <v>322</v>
      </c>
      <c r="G88" s="45" t="s">
        <v>289</v>
      </c>
      <c r="H88" s="44" t="s">
        <v>289</v>
      </c>
      <c r="I88" s="44" t="s">
        <v>289</v>
      </c>
      <c r="J88" s="44" t="s">
        <v>289</v>
      </c>
      <c r="K88" s="45" t="s">
        <v>314</v>
      </c>
      <c r="L88" s="47" t="n">
        <v>95</v>
      </c>
      <c r="M88" s="44" t="str">
        <f aca="false">COUNTIF('6. Chi tiết N78-90'!$D$52:$D$55,"Xong")&amp;"/4"</f>
        <v>0/4</v>
      </c>
      <c r="N88" s="48" t="n">
        <f aca="false">COUNTIF('6. Chi tiết N78-90'!$D$52:$D$55,"Xong")/4</f>
        <v>0</v>
      </c>
      <c r="O88" s="44"/>
    </row>
    <row r="89" customFormat="false" ht="25.5" hidden="false" customHeight="true" outlineLevel="0" collapsed="false">
      <c r="A89" s="42" t="n">
        <v>87</v>
      </c>
      <c r="B89" s="43" t="n">
        <f aca="false">'1. Hướng dẫn'!$C$5+86</f>
        <v>46352</v>
      </c>
      <c r="C89" s="44" t="n">
        <v>13</v>
      </c>
      <c r="D89" s="44" t="s">
        <v>311</v>
      </c>
      <c r="E89" s="45" t="s">
        <v>312</v>
      </c>
      <c r="F89" s="46" t="s">
        <v>323</v>
      </c>
      <c r="G89" s="45" t="s">
        <v>289</v>
      </c>
      <c r="H89" s="44" t="s">
        <v>289</v>
      </c>
      <c r="I89" s="44" t="s">
        <v>289</v>
      </c>
      <c r="J89" s="44" t="s">
        <v>289</v>
      </c>
      <c r="K89" s="45" t="s">
        <v>314</v>
      </c>
      <c r="L89" s="47" t="n">
        <v>95</v>
      </c>
      <c r="M89" s="44" t="str">
        <f aca="false">COUNTIF('6. Chi tiết N78-90'!$D$58:$D$61,"Xong")&amp;"/4"</f>
        <v>0/4</v>
      </c>
      <c r="N89" s="48" t="n">
        <f aca="false">COUNTIF('6. Chi tiết N78-90'!$D$58:$D$61,"Xong")/4</f>
        <v>0</v>
      </c>
      <c r="O89" s="44"/>
    </row>
    <row r="90" customFormat="false" ht="25.5" hidden="false" customHeight="true" outlineLevel="0" collapsed="false">
      <c r="A90" s="49" t="n">
        <v>88</v>
      </c>
      <c r="B90" s="50" t="n">
        <f aca="false">'1. Hướng dẫn'!$C$5+87</f>
        <v>46353</v>
      </c>
      <c r="C90" s="51" t="n">
        <v>13</v>
      </c>
      <c r="D90" s="51" t="s">
        <v>311</v>
      </c>
      <c r="E90" s="52" t="s">
        <v>312</v>
      </c>
      <c r="F90" s="53" t="s">
        <v>324</v>
      </c>
      <c r="G90" s="52" t="s">
        <v>289</v>
      </c>
      <c r="H90" s="51" t="s">
        <v>289</v>
      </c>
      <c r="I90" s="51" t="s">
        <v>289</v>
      </c>
      <c r="J90" s="51" t="s">
        <v>289</v>
      </c>
      <c r="K90" s="52" t="s">
        <v>314</v>
      </c>
      <c r="L90" s="54" t="n">
        <v>120</v>
      </c>
      <c r="M90" s="51" t="str">
        <f aca="false">COUNTIF('6. Chi tiết N78-90'!$D$64:$D$67,"Xong")&amp;"/4"</f>
        <v>0/4</v>
      </c>
      <c r="N90" s="55" t="n">
        <f aca="false">COUNTIF('6. Chi tiết N78-90'!$D$64:$D$67,"Xong")/4</f>
        <v>0</v>
      </c>
      <c r="O90" s="51"/>
    </row>
    <row r="91" customFormat="false" ht="25.5" hidden="false" customHeight="true" outlineLevel="0" collapsed="false">
      <c r="A91" s="42" t="n">
        <v>89</v>
      </c>
      <c r="B91" s="43" t="n">
        <f aca="false">'1. Hướng dẫn'!$C$5+88</f>
        <v>46354</v>
      </c>
      <c r="C91" s="44" t="n">
        <v>13</v>
      </c>
      <c r="D91" s="44" t="s">
        <v>311</v>
      </c>
      <c r="E91" s="45" t="s">
        <v>312</v>
      </c>
      <c r="F91" s="46" t="s">
        <v>325</v>
      </c>
      <c r="G91" s="45" t="s">
        <v>289</v>
      </c>
      <c r="H91" s="44" t="s">
        <v>289</v>
      </c>
      <c r="I91" s="44" t="s">
        <v>289</v>
      </c>
      <c r="J91" s="44" t="s">
        <v>289</v>
      </c>
      <c r="K91" s="45" t="s">
        <v>314</v>
      </c>
      <c r="L91" s="47" t="n">
        <v>100</v>
      </c>
      <c r="M91" s="44" t="str">
        <f aca="false">COUNTIF('6. Chi tiết N78-90'!$D$70:$D$73,"Xong")&amp;"/4"</f>
        <v>0/4</v>
      </c>
      <c r="N91" s="48" t="n">
        <f aca="false">COUNTIF('6. Chi tiết N78-90'!$D$70:$D$73,"Xong")/4</f>
        <v>0</v>
      </c>
      <c r="O91" s="44"/>
    </row>
    <row r="92" customFormat="false" ht="25.5" hidden="false" customHeight="true" outlineLevel="0" collapsed="false">
      <c r="A92" s="42" t="n">
        <v>90</v>
      </c>
      <c r="B92" s="43" t="n">
        <f aca="false">'1. Hướng dẫn'!$C$5+89</f>
        <v>46355</v>
      </c>
      <c r="C92" s="44" t="n">
        <v>13</v>
      </c>
      <c r="D92" s="44" t="s">
        <v>311</v>
      </c>
      <c r="E92" s="45" t="s">
        <v>312</v>
      </c>
      <c r="F92" s="46" t="s">
        <v>326</v>
      </c>
      <c r="G92" s="45" t="s">
        <v>289</v>
      </c>
      <c r="H92" s="44" t="s">
        <v>289</v>
      </c>
      <c r="I92" s="44" t="s">
        <v>289</v>
      </c>
      <c r="J92" s="44" t="s">
        <v>289</v>
      </c>
      <c r="K92" s="45" t="s">
        <v>314</v>
      </c>
      <c r="L92" s="47" t="n">
        <v>60</v>
      </c>
      <c r="M92" s="44" t="str">
        <f aca="false">COUNTIF('6. Chi tiết N78-90'!$D$76:$D$79,"Xong")&amp;"/4"</f>
        <v>0/4</v>
      </c>
      <c r="N92" s="48" t="n">
        <f aca="false">COUNTIF('6. Chi tiết N78-90'!$D$76:$D$79,"Xong")/4</f>
        <v>0</v>
      </c>
      <c r="O92" s="44"/>
    </row>
  </sheetData>
  <autoFilter ref="A2:O92"/>
  <mergeCells count="1">
    <mergeCell ref="A1:O1"/>
  </mergeCells>
  <conditionalFormatting sqref="A3:O92">
    <cfRule type="expression" priority="2" aboveAverage="0" equalAverage="0" bottom="0" percent="0" rank="0" text="" dxfId="8">
      <formula>$N3=1</formula>
    </cfRule>
  </conditionalFormatting>
  <conditionalFormatting sqref="N3:N92">
    <cfRule type="cellIs" priority="3" operator="between" aboveAverage="0" equalAverage="0" bottom="0" percent="0" rank="0" text="" dxfId="9">
      <formula>0.0001</formula>
      <formula>0.9999</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E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4"/>
    <col collapsed="false" customWidth="true" hidden="false" outlineLevel="0" max="3" min="3" style="0" width="8"/>
    <col collapsed="false" customWidth="true" hidden="false" outlineLevel="0" max="4" min="4" style="0" width="13"/>
    <col collapsed="false" customWidth="true" hidden="false" outlineLevel="0" max="5" min="5" style="0" width="26"/>
  </cols>
  <sheetData>
    <row r="1" customFormat="false" ht="31.5" hidden="false" customHeight="true" outlineLevel="0" collapsed="false">
      <c r="A1" s="15" t="s">
        <v>327</v>
      </c>
      <c r="B1" s="15"/>
      <c r="C1" s="15"/>
      <c r="D1" s="15"/>
      <c r="E1" s="15"/>
    </row>
    <row r="2" customFormat="false" ht="25.5" hidden="false" customHeight="true" outlineLevel="0" collapsed="false">
      <c r="A2" s="16" t="s">
        <v>328</v>
      </c>
      <c r="B2" s="16" t="s">
        <v>329</v>
      </c>
      <c r="C2" s="16" t="s">
        <v>85</v>
      </c>
      <c r="D2" s="16" t="s">
        <v>330</v>
      </c>
      <c r="E2" s="16" t="s">
        <v>88</v>
      </c>
    </row>
    <row r="3" customFormat="false" ht="25.5" hidden="false" customHeight="true" outlineLevel="0" collapsed="false">
      <c r="A3" s="56" t="s">
        <v>331</v>
      </c>
      <c r="B3" s="56"/>
      <c r="C3" s="56"/>
      <c r="D3" s="56"/>
      <c r="E3" s="56"/>
    </row>
    <row r="4" customFormat="false" ht="33.75" hidden="false" customHeight="true" outlineLevel="0" collapsed="false">
      <c r="A4" s="57" t="s">
        <v>332</v>
      </c>
      <c r="B4" s="58" t="s">
        <v>333</v>
      </c>
      <c r="C4" s="59" t="n">
        <v>25</v>
      </c>
      <c r="D4" s="60" t="s">
        <v>334</v>
      </c>
      <c r="E4" s="58"/>
    </row>
    <row r="5" customFormat="false" ht="21.75" hidden="false" customHeight="true" outlineLevel="0" collapsed="false">
      <c r="A5" s="61" t="s">
        <v>335</v>
      </c>
      <c r="B5" s="58" t="s">
        <v>336</v>
      </c>
      <c r="C5" s="59" t="n">
        <v>25</v>
      </c>
      <c r="D5" s="60" t="s">
        <v>334</v>
      </c>
      <c r="E5" s="58"/>
    </row>
    <row r="6" customFormat="false" ht="21.75" hidden="false" customHeight="true" outlineLevel="0" collapsed="false">
      <c r="A6" s="61" t="s">
        <v>337</v>
      </c>
      <c r="B6" s="58" t="s">
        <v>338</v>
      </c>
      <c r="C6" s="59" t="n">
        <v>15</v>
      </c>
      <c r="D6" s="60" t="s">
        <v>334</v>
      </c>
      <c r="E6" s="58"/>
    </row>
    <row r="7" customFormat="false" ht="21.75" hidden="false" customHeight="true" outlineLevel="0" collapsed="false">
      <c r="A7" s="57" t="s">
        <v>339</v>
      </c>
      <c r="B7" s="58" t="s">
        <v>340</v>
      </c>
      <c r="C7" s="59" t="n">
        <v>15</v>
      </c>
      <c r="D7" s="60" t="s">
        <v>334</v>
      </c>
      <c r="E7" s="58"/>
    </row>
    <row r="8" customFormat="false" ht="21.75" hidden="false" customHeight="true" outlineLevel="0" collapsed="false">
      <c r="A8" s="57" t="s">
        <v>341</v>
      </c>
      <c r="B8" s="58" t="s">
        <v>342</v>
      </c>
      <c r="C8" s="59" t="n">
        <v>10</v>
      </c>
      <c r="D8" s="60" t="s">
        <v>334</v>
      </c>
      <c r="E8" s="58"/>
    </row>
    <row r="9" customFormat="false" ht="6" hidden="false" customHeight="true" outlineLevel="0" collapsed="false"/>
    <row r="10" customFormat="false" ht="25.5" hidden="false" customHeight="true" outlineLevel="0" collapsed="false">
      <c r="A10" s="56" t="s">
        <v>343</v>
      </c>
      <c r="B10" s="56"/>
      <c r="C10" s="56"/>
      <c r="D10" s="56"/>
      <c r="E10" s="56"/>
    </row>
    <row r="11" customFormat="false" ht="33.75" hidden="false" customHeight="true" outlineLevel="0" collapsed="false">
      <c r="A11" s="57" t="s">
        <v>332</v>
      </c>
      <c r="B11" s="58" t="s">
        <v>344</v>
      </c>
      <c r="C11" s="59" t="n">
        <v>25</v>
      </c>
      <c r="D11" s="60" t="s">
        <v>334</v>
      </c>
      <c r="E11" s="58"/>
    </row>
    <row r="12" customFormat="false" ht="21.75" hidden="false" customHeight="true" outlineLevel="0" collapsed="false">
      <c r="A12" s="61" t="s">
        <v>335</v>
      </c>
      <c r="B12" s="58" t="s">
        <v>336</v>
      </c>
      <c r="C12" s="59" t="n">
        <v>25</v>
      </c>
      <c r="D12" s="60" t="s">
        <v>334</v>
      </c>
      <c r="E12" s="58"/>
    </row>
    <row r="13" customFormat="false" ht="21.75" hidden="false" customHeight="true" outlineLevel="0" collapsed="false">
      <c r="A13" s="61" t="s">
        <v>337</v>
      </c>
      <c r="B13" s="58" t="s">
        <v>338</v>
      </c>
      <c r="C13" s="59" t="n">
        <v>15</v>
      </c>
      <c r="D13" s="60" t="s">
        <v>334</v>
      </c>
      <c r="E13" s="58"/>
    </row>
    <row r="14" customFormat="false" ht="21.75" hidden="false" customHeight="true" outlineLevel="0" collapsed="false">
      <c r="A14" s="57" t="s">
        <v>339</v>
      </c>
      <c r="B14" s="58" t="s">
        <v>345</v>
      </c>
      <c r="C14" s="59" t="n">
        <v>15</v>
      </c>
      <c r="D14" s="60" t="s">
        <v>334</v>
      </c>
      <c r="E14" s="58"/>
    </row>
    <row r="15" customFormat="false" ht="21.75" hidden="false" customHeight="true" outlineLevel="0" collapsed="false">
      <c r="A15" s="57" t="s">
        <v>341</v>
      </c>
      <c r="B15" s="58" t="s">
        <v>342</v>
      </c>
      <c r="C15" s="59" t="n">
        <v>10</v>
      </c>
      <c r="D15" s="60" t="s">
        <v>334</v>
      </c>
      <c r="E15" s="58"/>
    </row>
    <row r="16" customFormat="false" ht="6" hidden="false" customHeight="true" outlineLevel="0" collapsed="false"/>
    <row r="17" customFormat="false" ht="25.5" hidden="false" customHeight="true" outlineLevel="0" collapsed="false">
      <c r="A17" s="56" t="s">
        <v>346</v>
      </c>
      <c r="B17" s="56"/>
      <c r="C17" s="56"/>
      <c r="D17" s="56"/>
      <c r="E17" s="56"/>
    </row>
    <row r="18" customFormat="false" ht="33.75" hidden="false" customHeight="true" outlineLevel="0" collapsed="false">
      <c r="A18" s="57" t="s">
        <v>332</v>
      </c>
      <c r="B18" s="58" t="s">
        <v>347</v>
      </c>
      <c r="C18" s="59" t="n">
        <v>25</v>
      </c>
      <c r="D18" s="60" t="s">
        <v>334</v>
      </c>
      <c r="E18" s="58"/>
    </row>
    <row r="19" customFormat="false" ht="21.75" hidden="false" customHeight="true" outlineLevel="0" collapsed="false">
      <c r="A19" s="61" t="s">
        <v>335</v>
      </c>
      <c r="B19" s="58" t="s">
        <v>336</v>
      </c>
      <c r="C19" s="59" t="n">
        <v>25</v>
      </c>
      <c r="D19" s="60" t="s">
        <v>334</v>
      </c>
      <c r="E19" s="58"/>
    </row>
    <row r="20" customFormat="false" ht="21.75" hidden="false" customHeight="true" outlineLevel="0" collapsed="false">
      <c r="A20" s="61" t="s">
        <v>337</v>
      </c>
      <c r="B20" s="58" t="s">
        <v>338</v>
      </c>
      <c r="C20" s="59" t="n">
        <v>15</v>
      </c>
      <c r="D20" s="60" t="s">
        <v>334</v>
      </c>
      <c r="E20" s="58"/>
    </row>
    <row r="21" customFormat="false" ht="21.75" hidden="false" customHeight="true" outlineLevel="0" collapsed="false">
      <c r="A21" s="57" t="s">
        <v>339</v>
      </c>
      <c r="B21" s="58" t="s">
        <v>348</v>
      </c>
      <c r="C21" s="59" t="n">
        <v>15</v>
      </c>
      <c r="D21" s="60" t="s">
        <v>334</v>
      </c>
      <c r="E21" s="58"/>
    </row>
    <row r="22" customFormat="false" ht="21.75" hidden="false" customHeight="true" outlineLevel="0" collapsed="false">
      <c r="A22" s="57" t="s">
        <v>341</v>
      </c>
      <c r="B22" s="58" t="s">
        <v>342</v>
      </c>
      <c r="C22" s="59" t="n">
        <v>10</v>
      </c>
      <c r="D22" s="60" t="s">
        <v>334</v>
      </c>
      <c r="E22" s="58"/>
    </row>
    <row r="23" customFormat="false" ht="6" hidden="false" customHeight="true" outlineLevel="0" collapsed="false"/>
    <row r="24" customFormat="false" ht="25.5" hidden="false" customHeight="true" outlineLevel="0" collapsed="false">
      <c r="A24" s="56" t="s">
        <v>349</v>
      </c>
      <c r="B24" s="56"/>
      <c r="C24" s="56"/>
      <c r="D24" s="56"/>
      <c r="E24" s="56"/>
    </row>
    <row r="25" customFormat="false" ht="33.75" hidden="false" customHeight="true" outlineLevel="0" collapsed="false">
      <c r="A25" s="57" t="s">
        <v>332</v>
      </c>
      <c r="B25" s="58" t="s">
        <v>350</v>
      </c>
      <c r="C25" s="59" t="n">
        <v>25</v>
      </c>
      <c r="D25" s="60" t="s">
        <v>334</v>
      </c>
      <c r="E25" s="58"/>
    </row>
    <row r="26" customFormat="false" ht="21.75" hidden="false" customHeight="true" outlineLevel="0" collapsed="false">
      <c r="A26" s="61" t="s">
        <v>335</v>
      </c>
      <c r="B26" s="58" t="s">
        <v>336</v>
      </c>
      <c r="C26" s="59" t="n">
        <v>25</v>
      </c>
      <c r="D26" s="60" t="s">
        <v>334</v>
      </c>
      <c r="E26" s="58"/>
    </row>
    <row r="27" customFormat="false" ht="21.75" hidden="false" customHeight="true" outlineLevel="0" collapsed="false">
      <c r="A27" s="61" t="s">
        <v>337</v>
      </c>
      <c r="B27" s="58" t="s">
        <v>338</v>
      </c>
      <c r="C27" s="59" t="n">
        <v>15</v>
      </c>
      <c r="D27" s="60" t="s">
        <v>334</v>
      </c>
      <c r="E27" s="58"/>
    </row>
    <row r="28" customFormat="false" ht="21.75" hidden="false" customHeight="true" outlineLevel="0" collapsed="false">
      <c r="A28" s="57" t="s">
        <v>339</v>
      </c>
      <c r="B28" s="58" t="s">
        <v>351</v>
      </c>
      <c r="C28" s="59" t="n">
        <v>15</v>
      </c>
      <c r="D28" s="60" t="s">
        <v>334</v>
      </c>
      <c r="E28" s="58"/>
    </row>
    <row r="29" customFormat="false" ht="21.75" hidden="false" customHeight="true" outlineLevel="0" collapsed="false">
      <c r="A29" s="57" t="s">
        <v>341</v>
      </c>
      <c r="B29" s="58" t="s">
        <v>342</v>
      </c>
      <c r="C29" s="59" t="n">
        <v>10</v>
      </c>
      <c r="D29" s="60" t="s">
        <v>334</v>
      </c>
      <c r="E29" s="58"/>
    </row>
    <row r="30" customFormat="false" ht="6" hidden="false" customHeight="true" outlineLevel="0" collapsed="false"/>
    <row r="31" customFormat="false" ht="25.5" hidden="false" customHeight="true" outlineLevel="0" collapsed="false">
      <c r="A31" s="56" t="s">
        <v>352</v>
      </c>
      <c r="B31" s="56"/>
      <c r="C31" s="56"/>
      <c r="D31" s="56"/>
      <c r="E31" s="56"/>
    </row>
    <row r="32" customFormat="false" ht="33.75" hidden="false" customHeight="true" outlineLevel="0" collapsed="false">
      <c r="A32" s="57" t="s">
        <v>332</v>
      </c>
      <c r="B32" s="58" t="s">
        <v>353</v>
      </c>
      <c r="C32" s="59" t="n">
        <v>25</v>
      </c>
      <c r="D32" s="60" t="s">
        <v>334</v>
      </c>
      <c r="E32" s="58"/>
    </row>
    <row r="33" customFormat="false" ht="21.75" hidden="false" customHeight="true" outlineLevel="0" collapsed="false">
      <c r="A33" s="61" t="s">
        <v>335</v>
      </c>
      <c r="B33" s="58" t="s">
        <v>336</v>
      </c>
      <c r="C33" s="59" t="n">
        <v>25</v>
      </c>
      <c r="D33" s="60" t="s">
        <v>334</v>
      </c>
      <c r="E33" s="58"/>
    </row>
    <row r="34" customFormat="false" ht="21.75" hidden="false" customHeight="true" outlineLevel="0" collapsed="false">
      <c r="A34" s="61" t="s">
        <v>337</v>
      </c>
      <c r="B34" s="58" t="s">
        <v>338</v>
      </c>
      <c r="C34" s="59" t="n">
        <v>15</v>
      </c>
      <c r="D34" s="60" t="s">
        <v>334</v>
      </c>
      <c r="E34" s="58"/>
    </row>
    <row r="35" customFormat="false" ht="21.75" hidden="false" customHeight="true" outlineLevel="0" collapsed="false">
      <c r="A35" s="57" t="s">
        <v>339</v>
      </c>
      <c r="B35" s="58" t="s">
        <v>354</v>
      </c>
      <c r="C35" s="59" t="n">
        <v>15</v>
      </c>
      <c r="D35" s="60" t="s">
        <v>334</v>
      </c>
      <c r="E35" s="58"/>
    </row>
    <row r="36" customFormat="false" ht="21.75" hidden="false" customHeight="true" outlineLevel="0" collapsed="false">
      <c r="A36" s="57" t="s">
        <v>341</v>
      </c>
      <c r="B36" s="58" t="s">
        <v>342</v>
      </c>
      <c r="C36" s="59" t="n">
        <v>10</v>
      </c>
      <c r="D36" s="60" t="s">
        <v>334</v>
      </c>
      <c r="E36" s="58"/>
    </row>
    <row r="37" customFormat="false" ht="6" hidden="false" customHeight="true" outlineLevel="0" collapsed="false"/>
    <row r="38" customFormat="false" ht="25.5" hidden="false" customHeight="true" outlineLevel="0" collapsed="false">
      <c r="A38" s="56" t="s">
        <v>355</v>
      </c>
      <c r="B38" s="56"/>
      <c r="C38" s="56"/>
      <c r="D38" s="56"/>
      <c r="E38" s="56"/>
    </row>
    <row r="39" customFormat="false" ht="33.75" hidden="false" customHeight="true" outlineLevel="0" collapsed="false">
      <c r="A39" s="57" t="s">
        <v>356</v>
      </c>
      <c r="B39" s="58" t="s">
        <v>357</v>
      </c>
      <c r="C39" s="59" t="n">
        <v>25</v>
      </c>
      <c r="D39" s="60" t="s">
        <v>334</v>
      </c>
      <c r="E39" s="58"/>
    </row>
    <row r="40" customFormat="false" ht="21.75" hidden="false" customHeight="true" outlineLevel="0" collapsed="false">
      <c r="A40" s="57" t="s">
        <v>358</v>
      </c>
      <c r="B40" s="58" t="s">
        <v>359</v>
      </c>
      <c r="C40" s="59" t="n">
        <v>25</v>
      </c>
      <c r="D40" s="60" t="s">
        <v>334</v>
      </c>
      <c r="E40" s="58"/>
    </row>
    <row r="41" customFormat="false" ht="21.75" hidden="false" customHeight="true" outlineLevel="0" collapsed="false">
      <c r="A41" s="61" t="s">
        <v>335</v>
      </c>
      <c r="B41" s="58" t="s">
        <v>360</v>
      </c>
      <c r="C41" s="59" t="n">
        <v>20</v>
      </c>
      <c r="D41" s="60" t="s">
        <v>334</v>
      </c>
      <c r="E41" s="58"/>
    </row>
    <row r="42" customFormat="false" ht="21.75" hidden="false" customHeight="true" outlineLevel="0" collapsed="false">
      <c r="A42" s="57" t="s">
        <v>339</v>
      </c>
      <c r="B42" s="58" t="s">
        <v>361</v>
      </c>
      <c r="C42" s="59" t="n">
        <v>10</v>
      </c>
      <c r="D42" s="60" t="s">
        <v>334</v>
      </c>
      <c r="E42" s="58"/>
    </row>
    <row r="43" customFormat="false" ht="21.75" hidden="false" customHeight="true" outlineLevel="0" collapsed="false">
      <c r="A43" s="57" t="s">
        <v>341</v>
      </c>
      <c r="B43" s="58" t="s">
        <v>362</v>
      </c>
      <c r="C43" s="59" t="n">
        <v>10</v>
      </c>
      <c r="D43" s="60" t="s">
        <v>334</v>
      </c>
      <c r="E43" s="58"/>
    </row>
    <row r="44" customFormat="false" ht="6" hidden="false" customHeight="true" outlineLevel="0" collapsed="false"/>
    <row r="45" customFormat="false" ht="25.5" hidden="false" customHeight="true" outlineLevel="0" collapsed="false">
      <c r="A45" s="56" t="s">
        <v>363</v>
      </c>
      <c r="B45" s="56"/>
      <c r="C45" s="56"/>
      <c r="D45" s="56"/>
      <c r="E45" s="56"/>
    </row>
    <row r="46" customFormat="false" ht="21.75" hidden="false" customHeight="true" outlineLevel="0" collapsed="false">
      <c r="A46" s="61" t="s">
        <v>364</v>
      </c>
      <c r="B46" s="58" t="s">
        <v>365</v>
      </c>
      <c r="C46" s="59" t="n">
        <v>25</v>
      </c>
      <c r="D46" s="60" t="s">
        <v>334</v>
      </c>
      <c r="E46" s="58"/>
    </row>
    <row r="47" customFormat="false" ht="21.75" hidden="false" customHeight="true" outlineLevel="0" collapsed="false">
      <c r="A47" s="61" t="s">
        <v>366</v>
      </c>
      <c r="B47" s="58" t="s">
        <v>367</v>
      </c>
      <c r="C47" s="59" t="n">
        <v>20</v>
      </c>
      <c r="D47" s="60" t="s">
        <v>334</v>
      </c>
      <c r="E47" s="58"/>
    </row>
    <row r="48" customFormat="false" ht="21.75" hidden="false" customHeight="true" outlineLevel="0" collapsed="false">
      <c r="A48" s="61" t="s">
        <v>368</v>
      </c>
      <c r="B48" s="58" t="s">
        <v>369</v>
      </c>
      <c r="C48" s="59" t="n">
        <v>15</v>
      </c>
      <c r="D48" s="60" t="s">
        <v>334</v>
      </c>
      <c r="E48" s="58"/>
    </row>
    <row r="49" customFormat="false" ht="21.75" hidden="false" customHeight="true" outlineLevel="0" collapsed="false">
      <c r="A49" s="57" t="s">
        <v>339</v>
      </c>
      <c r="B49" s="58" t="s">
        <v>370</v>
      </c>
      <c r="C49" s="59" t="n">
        <v>15</v>
      </c>
      <c r="D49" s="60" t="s">
        <v>334</v>
      </c>
      <c r="E49" s="58"/>
    </row>
    <row r="50" customFormat="false" ht="21.75" hidden="false" customHeight="true" outlineLevel="0" collapsed="false">
      <c r="A50" s="57" t="s">
        <v>341</v>
      </c>
      <c r="B50" s="58" t="s">
        <v>371</v>
      </c>
      <c r="C50" s="59" t="n">
        <v>10</v>
      </c>
      <c r="D50" s="60" t="s">
        <v>334</v>
      </c>
      <c r="E50" s="58"/>
    </row>
    <row r="51" customFormat="false" ht="6" hidden="false" customHeight="true" outlineLevel="0" collapsed="false"/>
    <row r="52" customFormat="false" ht="25.5" hidden="false" customHeight="true" outlineLevel="0" collapsed="false">
      <c r="A52" s="56" t="s">
        <v>372</v>
      </c>
      <c r="B52" s="56"/>
      <c r="C52" s="56"/>
      <c r="D52" s="56"/>
      <c r="E52" s="56"/>
    </row>
    <row r="53" customFormat="false" ht="33.75" hidden="false" customHeight="true" outlineLevel="0" collapsed="false">
      <c r="A53" s="57" t="s">
        <v>332</v>
      </c>
      <c r="B53" s="58" t="s">
        <v>373</v>
      </c>
      <c r="C53" s="59" t="n">
        <v>25</v>
      </c>
      <c r="D53" s="60" t="s">
        <v>334</v>
      </c>
      <c r="E53" s="58"/>
    </row>
    <row r="54" customFormat="false" ht="21.75" hidden="false" customHeight="true" outlineLevel="0" collapsed="false">
      <c r="A54" s="61" t="s">
        <v>335</v>
      </c>
      <c r="B54" s="58" t="s">
        <v>336</v>
      </c>
      <c r="C54" s="59" t="n">
        <v>25</v>
      </c>
      <c r="D54" s="60" t="s">
        <v>334</v>
      </c>
      <c r="E54" s="58"/>
    </row>
    <row r="55" customFormat="false" ht="21.75" hidden="false" customHeight="true" outlineLevel="0" collapsed="false">
      <c r="A55" s="61" t="s">
        <v>337</v>
      </c>
      <c r="B55" s="58" t="s">
        <v>338</v>
      </c>
      <c r="C55" s="59" t="n">
        <v>15</v>
      </c>
      <c r="D55" s="60" t="s">
        <v>334</v>
      </c>
      <c r="E55" s="58"/>
    </row>
    <row r="56" customFormat="false" ht="21.75" hidden="false" customHeight="true" outlineLevel="0" collapsed="false">
      <c r="A56" s="57" t="s">
        <v>339</v>
      </c>
      <c r="B56" s="58" t="s">
        <v>374</v>
      </c>
      <c r="C56" s="59" t="n">
        <v>15</v>
      </c>
      <c r="D56" s="60" t="s">
        <v>334</v>
      </c>
      <c r="E56" s="58"/>
    </row>
    <row r="57" customFormat="false" ht="21.75" hidden="false" customHeight="true" outlineLevel="0" collapsed="false">
      <c r="A57" s="57" t="s">
        <v>341</v>
      </c>
      <c r="B57" s="58" t="s">
        <v>342</v>
      </c>
      <c r="C57" s="59" t="n">
        <v>10</v>
      </c>
      <c r="D57" s="60" t="s">
        <v>334</v>
      </c>
      <c r="E57" s="58"/>
    </row>
    <row r="58" customFormat="false" ht="6" hidden="false" customHeight="true" outlineLevel="0" collapsed="false"/>
    <row r="59" customFormat="false" ht="25.5" hidden="false" customHeight="true" outlineLevel="0" collapsed="false">
      <c r="A59" s="56" t="s">
        <v>375</v>
      </c>
      <c r="B59" s="56"/>
      <c r="C59" s="56"/>
      <c r="D59" s="56"/>
      <c r="E59" s="56"/>
    </row>
    <row r="60" customFormat="false" ht="33.75" hidden="false" customHeight="true" outlineLevel="0" collapsed="false">
      <c r="A60" s="57" t="s">
        <v>332</v>
      </c>
      <c r="B60" s="58" t="s">
        <v>376</v>
      </c>
      <c r="C60" s="59" t="n">
        <v>25</v>
      </c>
      <c r="D60" s="60" t="s">
        <v>334</v>
      </c>
      <c r="E60" s="58"/>
    </row>
    <row r="61" customFormat="false" ht="21.75" hidden="false" customHeight="true" outlineLevel="0" collapsed="false">
      <c r="A61" s="61" t="s">
        <v>335</v>
      </c>
      <c r="B61" s="58" t="s">
        <v>336</v>
      </c>
      <c r="C61" s="59" t="n">
        <v>25</v>
      </c>
      <c r="D61" s="60" t="s">
        <v>334</v>
      </c>
      <c r="E61" s="58"/>
    </row>
    <row r="62" customFormat="false" ht="21.75" hidden="false" customHeight="true" outlineLevel="0" collapsed="false">
      <c r="A62" s="61" t="s">
        <v>337</v>
      </c>
      <c r="B62" s="58" t="s">
        <v>338</v>
      </c>
      <c r="C62" s="59" t="n">
        <v>15</v>
      </c>
      <c r="D62" s="60" t="s">
        <v>334</v>
      </c>
      <c r="E62" s="58"/>
    </row>
    <row r="63" customFormat="false" ht="21.75" hidden="false" customHeight="true" outlineLevel="0" collapsed="false">
      <c r="A63" s="57" t="s">
        <v>339</v>
      </c>
      <c r="B63" s="58" t="s">
        <v>377</v>
      </c>
      <c r="C63" s="59" t="n">
        <v>15</v>
      </c>
      <c r="D63" s="60" t="s">
        <v>334</v>
      </c>
      <c r="E63" s="58"/>
    </row>
    <row r="64" customFormat="false" ht="21.75" hidden="false" customHeight="true" outlineLevel="0" collapsed="false">
      <c r="A64" s="57" t="s">
        <v>341</v>
      </c>
      <c r="B64" s="58" t="s">
        <v>342</v>
      </c>
      <c r="C64" s="59" t="n">
        <v>10</v>
      </c>
      <c r="D64" s="60" t="s">
        <v>334</v>
      </c>
      <c r="E64" s="58"/>
    </row>
    <row r="65" customFormat="false" ht="6" hidden="false" customHeight="true" outlineLevel="0" collapsed="false"/>
    <row r="66" customFormat="false" ht="25.5" hidden="false" customHeight="true" outlineLevel="0" collapsed="false">
      <c r="A66" s="56" t="s">
        <v>378</v>
      </c>
      <c r="B66" s="56"/>
      <c r="C66" s="56"/>
      <c r="D66" s="56"/>
      <c r="E66" s="56"/>
    </row>
    <row r="67" customFormat="false" ht="33.75" hidden="false" customHeight="true" outlineLevel="0" collapsed="false">
      <c r="A67" s="57" t="s">
        <v>332</v>
      </c>
      <c r="B67" s="58" t="s">
        <v>379</v>
      </c>
      <c r="C67" s="59" t="n">
        <v>25</v>
      </c>
      <c r="D67" s="60" t="s">
        <v>334</v>
      </c>
      <c r="E67" s="58"/>
    </row>
    <row r="68" customFormat="false" ht="21.75" hidden="false" customHeight="true" outlineLevel="0" collapsed="false">
      <c r="A68" s="61" t="s">
        <v>335</v>
      </c>
      <c r="B68" s="58" t="s">
        <v>336</v>
      </c>
      <c r="C68" s="59" t="n">
        <v>25</v>
      </c>
      <c r="D68" s="60" t="s">
        <v>334</v>
      </c>
      <c r="E68" s="58"/>
    </row>
    <row r="69" customFormat="false" ht="21.75" hidden="false" customHeight="true" outlineLevel="0" collapsed="false">
      <c r="A69" s="61" t="s">
        <v>337</v>
      </c>
      <c r="B69" s="58" t="s">
        <v>338</v>
      </c>
      <c r="C69" s="59" t="n">
        <v>15</v>
      </c>
      <c r="D69" s="60" t="s">
        <v>334</v>
      </c>
      <c r="E69" s="58"/>
    </row>
    <row r="70" customFormat="false" ht="21.75" hidden="false" customHeight="true" outlineLevel="0" collapsed="false">
      <c r="A70" s="57" t="s">
        <v>339</v>
      </c>
      <c r="B70" s="58" t="s">
        <v>380</v>
      </c>
      <c r="C70" s="59" t="n">
        <v>15</v>
      </c>
      <c r="D70" s="60" t="s">
        <v>334</v>
      </c>
      <c r="E70" s="58"/>
    </row>
    <row r="71" customFormat="false" ht="21.75" hidden="false" customHeight="true" outlineLevel="0" collapsed="false">
      <c r="A71" s="57" t="s">
        <v>341</v>
      </c>
      <c r="B71" s="58" t="s">
        <v>342</v>
      </c>
      <c r="C71" s="59" t="n">
        <v>10</v>
      </c>
      <c r="D71" s="60" t="s">
        <v>334</v>
      </c>
      <c r="E71" s="58"/>
    </row>
    <row r="72" customFormat="false" ht="6" hidden="false" customHeight="true" outlineLevel="0" collapsed="false"/>
    <row r="73" customFormat="false" ht="25.5" hidden="false" customHeight="true" outlineLevel="0" collapsed="false">
      <c r="A73" s="56" t="s">
        <v>381</v>
      </c>
      <c r="B73" s="56"/>
      <c r="C73" s="56"/>
      <c r="D73" s="56"/>
      <c r="E73" s="56"/>
    </row>
    <row r="74" customFormat="false" ht="33.75" hidden="false" customHeight="true" outlineLevel="0" collapsed="false">
      <c r="A74" s="57" t="s">
        <v>332</v>
      </c>
      <c r="B74" s="58" t="s">
        <v>382</v>
      </c>
      <c r="C74" s="59" t="n">
        <v>25</v>
      </c>
      <c r="D74" s="60" t="s">
        <v>334</v>
      </c>
      <c r="E74" s="58"/>
    </row>
    <row r="75" customFormat="false" ht="21.75" hidden="false" customHeight="true" outlineLevel="0" collapsed="false">
      <c r="A75" s="61" t="s">
        <v>335</v>
      </c>
      <c r="B75" s="58" t="s">
        <v>336</v>
      </c>
      <c r="C75" s="59" t="n">
        <v>25</v>
      </c>
      <c r="D75" s="60" t="s">
        <v>334</v>
      </c>
      <c r="E75" s="58"/>
    </row>
    <row r="76" customFormat="false" ht="21.75" hidden="false" customHeight="true" outlineLevel="0" collapsed="false">
      <c r="A76" s="61" t="s">
        <v>337</v>
      </c>
      <c r="B76" s="58" t="s">
        <v>338</v>
      </c>
      <c r="C76" s="59" t="n">
        <v>15</v>
      </c>
      <c r="D76" s="60" t="s">
        <v>334</v>
      </c>
      <c r="E76" s="58"/>
    </row>
    <row r="77" customFormat="false" ht="21.75" hidden="false" customHeight="true" outlineLevel="0" collapsed="false">
      <c r="A77" s="57" t="s">
        <v>339</v>
      </c>
      <c r="B77" s="58" t="s">
        <v>383</v>
      </c>
      <c r="C77" s="59" t="n">
        <v>15</v>
      </c>
      <c r="D77" s="60" t="s">
        <v>334</v>
      </c>
      <c r="E77" s="58"/>
    </row>
    <row r="78" customFormat="false" ht="21.75" hidden="false" customHeight="true" outlineLevel="0" collapsed="false">
      <c r="A78" s="57" t="s">
        <v>341</v>
      </c>
      <c r="B78" s="58" t="s">
        <v>342</v>
      </c>
      <c r="C78" s="59" t="n">
        <v>10</v>
      </c>
      <c r="D78" s="60" t="s">
        <v>334</v>
      </c>
      <c r="E78" s="58"/>
    </row>
    <row r="79" customFormat="false" ht="6" hidden="false" customHeight="true" outlineLevel="0" collapsed="false"/>
    <row r="80" customFormat="false" ht="25.5" hidden="false" customHeight="true" outlineLevel="0" collapsed="false">
      <c r="A80" s="56" t="s">
        <v>384</v>
      </c>
      <c r="B80" s="56"/>
      <c r="C80" s="56"/>
      <c r="D80" s="56"/>
      <c r="E80" s="56"/>
    </row>
    <row r="81" customFormat="false" ht="33.75" hidden="false" customHeight="true" outlineLevel="0" collapsed="false">
      <c r="A81" s="57" t="s">
        <v>332</v>
      </c>
      <c r="B81" s="58" t="s">
        <v>385</v>
      </c>
      <c r="C81" s="59" t="n">
        <v>25</v>
      </c>
      <c r="D81" s="60" t="s">
        <v>334</v>
      </c>
      <c r="E81" s="58"/>
    </row>
    <row r="82" customFormat="false" ht="21.75" hidden="false" customHeight="true" outlineLevel="0" collapsed="false">
      <c r="A82" s="61" t="s">
        <v>335</v>
      </c>
      <c r="B82" s="58" t="s">
        <v>336</v>
      </c>
      <c r="C82" s="59" t="n">
        <v>25</v>
      </c>
      <c r="D82" s="60" t="s">
        <v>334</v>
      </c>
      <c r="E82" s="58"/>
    </row>
    <row r="83" customFormat="false" ht="21.75" hidden="false" customHeight="true" outlineLevel="0" collapsed="false">
      <c r="A83" s="61" t="s">
        <v>337</v>
      </c>
      <c r="B83" s="58" t="s">
        <v>338</v>
      </c>
      <c r="C83" s="59" t="n">
        <v>15</v>
      </c>
      <c r="D83" s="60" t="s">
        <v>334</v>
      </c>
      <c r="E83" s="58"/>
    </row>
    <row r="84" customFormat="false" ht="21.75" hidden="false" customHeight="true" outlineLevel="0" collapsed="false">
      <c r="A84" s="57" t="s">
        <v>339</v>
      </c>
      <c r="B84" s="58" t="s">
        <v>386</v>
      </c>
      <c r="C84" s="59" t="n">
        <v>15</v>
      </c>
      <c r="D84" s="60" t="s">
        <v>334</v>
      </c>
      <c r="E84" s="58"/>
    </row>
    <row r="85" customFormat="false" ht="21.75" hidden="false" customHeight="true" outlineLevel="0" collapsed="false">
      <c r="A85" s="57" t="s">
        <v>341</v>
      </c>
      <c r="B85" s="58" t="s">
        <v>342</v>
      </c>
      <c r="C85" s="59" t="n">
        <v>10</v>
      </c>
      <c r="D85" s="60" t="s">
        <v>334</v>
      </c>
      <c r="E85" s="58"/>
    </row>
    <row r="86" customFormat="false" ht="6" hidden="false" customHeight="true" outlineLevel="0" collapsed="false"/>
    <row r="87" customFormat="false" ht="25.5" hidden="false" customHeight="true" outlineLevel="0" collapsed="false">
      <c r="A87" s="56" t="s">
        <v>387</v>
      </c>
      <c r="B87" s="56"/>
      <c r="C87" s="56"/>
      <c r="D87" s="56"/>
      <c r="E87" s="56"/>
    </row>
    <row r="88" customFormat="false" ht="33.75" hidden="false" customHeight="true" outlineLevel="0" collapsed="false">
      <c r="A88" s="57" t="s">
        <v>356</v>
      </c>
      <c r="B88" s="58" t="s">
        <v>357</v>
      </c>
      <c r="C88" s="59" t="n">
        <v>25</v>
      </c>
      <c r="D88" s="60" t="s">
        <v>334</v>
      </c>
      <c r="E88" s="58"/>
    </row>
    <row r="89" customFormat="false" ht="21.75" hidden="false" customHeight="true" outlineLevel="0" collapsed="false">
      <c r="A89" s="57" t="s">
        <v>358</v>
      </c>
      <c r="B89" s="58" t="s">
        <v>359</v>
      </c>
      <c r="C89" s="59" t="n">
        <v>25</v>
      </c>
      <c r="D89" s="60" t="s">
        <v>334</v>
      </c>
      <c r="E89" s="58"/>
    </row>
    <row r="90" customFormat="false" ht="21.75" hidden="false" customHeight="true" outlineLevel="0" collapsed="false">
      <c r="A90" s="61" t="s">
        <v>335</v>
      </c>
      <c r="B90" s="58" t="s">
        <v>360</v>
      </c>
      <c r="C90" s="59" t="n">
        <v>20</v>
      </c>
      <c r="D90" s="60" t="s">
        <v>334</v>
      </c>
      <c r="E90" s="58"/>
    </row>
    <row r="91" customFormat="false" ht="21.75" hidden="false" customHeight="true" outlineLevel="0" collapsed="false">
      <c r="A91" s="57" t="s">
        <v>339</v>
      </c>
      <c r="B91" s="58" t="s">
        <v>388</v>
      </c>
      <c r="C91" s="59" t="n">
        <v>10</v>
      </c>
      <c r="D91" s="60" t="s">
        <v>334</v>
      </c>
      <c r="E91" s="58"/>
    </row>
    <row r="92" customFormat="false" ht="21.75" hidden="false" customHeight="true" outlineLevel="0" collapsed="false">
      <c r="A92" s="57" t="s">
        <v>341</v>
      </c>
      <c r="B92" s="58" t="s">
        <v>362</v>
      </c>
      <c r="C92" s="59" t="n">
        <v>10</v>
      </c>
      <c r="D92" s="60" t="s">
        <v>334</v>
      </c>
      <c r="E92" s="58"/>
    </row>
    <row r="93" customFormat="false" ht="6" hidden="false" customHeight="true" outlineLevel="0" collapsed="false"/>
    <row r="94" customFormat="false" ht="25.5" hidden="false" customHeight="true" outlineLevel="0" collapsed="false">
      <c r="A94" s="56" t="s">
        <v>389</v>
      </c>
      <c r="B94" s="56"/>
      <c r="C94" s="56"/>
      <c r="D94" s="56"/>
      <c r="E94" s="56"/>
    </row>
    <row r="95" customFormat="false" ht="21.75" hidden="false" customHeight="true" outlineLevel="0" collapsed="false">
      <c r="A95" s="61" t="s">
        <v>364</v>
      </c>
      <c r="B95" s="58" t="s">
        <v>390</v>
      </c>
      <c r="C95" s="59" t="n">
        <v>25</v>
      </c>
      <c r="D95" s="60" t="s">
        <v>334</v>
      </c>
      <c r="E95" s="58"/>
    </row>
    <row r="96" customFormat="false" ht="21.75" hidden="false" customHeight="true" outlineLevel="0" collapsed="false">
      <c r="A96" s="61" t="s">
        <v>366</v>
      </c>
      <c r="B96" s="58" t="s">
        <v>367</v>
      </c>
      <c r="C96" s="59" t="n">
        <v>20</v>
      </c>
      <c r="D96" s="60" t="s">
        <v>334</v>
      </c>
      <c r="E96" s="58"/>
    </row>
    <row r="97" customFormat="false" ht="21.75" hidden="false" customHeight="true" outlineLevel="0" collapsed="false">
      <c r="A97" s="61" t="s">
        <v>368</v>
      </c>
      <c r="B97" s="58" t="s">
        <v>391</v>
      </c>
      <c r="C97" s="59" t="n">
        <v>15</v>
      </c>
      <c r="D97" s="60" t="s">
        <v>334</v>
      </c>
      <c r="E97" s="58"/>
    </row>
    <row r="98" customFormat="false" ht="21.75" hidden="false" customHeight="true" outlineLevel="0" collapsed="false">
      <c r="A98" s="57" t="s">
        <v>339</v>
      </c>
      <c r="B98" s="58" t="s">
        <v>370</v>
      </c>
      <c r="C98" s="59" t="n">
        <v>15</v>
      </c>
      <c r="D98" s="60" t="s">
        <v>334</v>
      </c>
      <c r="E98" s="58"/>
    </row>
    <row r="99" customFormat="false" ht="21.75" hidden="false" customHeight="true" outlineLevel="0" collapsed="false">
      <c r="A99" s="57" t="s">
        <v>341</v>
      </c>
      <c r="B99" s="58" t="s">
        <v>371</v>
      </c>
      <c r="C99" s="59" t="n">
        <v>10</v>
      </c>
      <c r="D99" s="60" t="s">
        <v>334</v>
      </c>
      <c r="E99" s="58"/>
    </row>
    <row r="100" customFormat="false" ht="6" hidden="false" customHeight="true" outlineLevel="0" collapsed="false"/>
  </sheetData>
  <mergeCells count="15">
    <mergeCell ref="A1:E1"/>
    <mergeCell ref="A3:E3"/>
    <mergeCell ref="A10:E10"/>
    <mergeCell ref="A17:E17"/>
    <mergeCell ref="A24:E24"/>
    <mergeCell ref="A31:E31"/>
    <mergeCell ref="A38:E38"/>
    <mergeCell ref="A45:E45"/>
    <mergeCell ref="A52:E52"/>
    <mergeCell ref="A59:E59"/>
    <mergeCell ref="A66:E66"/>
    <mergeCell ref="A73:E73"/>
    <mergeCell ref="A80:E80"/>
    <mergeCell ref="A87:E87"/>
    <mergeCell ref="A94:E94"/>
  </mergeCells>
  <conditionalFormatting sqref="A3:E101">
    <cfRule type="expression" priority="2" aboveAverage="0" equalAverage="0" bottom="0" percent="0" rank="0" text="" dxfId="8">
      <formula>$D3="Xong"</formula>
    </cfRule>
    <cfRule type="expression" priority="3" aboveAverage="0" equalAverage="0" bottom="0" percent="0" rank="0" text="" dxfId="9">
      <formula>$D3="Đang học"</formula>
    </cfRule>
  </conditionalFormatting>
  <dataValidations count="1">
    <dataValidation allowBlank="true" errorStyle="stop" operator="between" showDropDown="false" showErrorMessage="false" showInputMessage="false" sqref="D3:D101" type="list">
      <formula1>"Chưa học,Đang học,Xong"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E2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4"/>
    <col collapsed="false" customWidth="true" hidden="false" outlineLevel="0" max="3" min="3" style="0" width="8"/>
    <col collapsed="false" customWidth="true" hidden="false" outlineLevel="0" max="4" min="4" style="0" width="13"/>
    <col collapsed="false" customWidth="true" hidden="false" outlineLevel="0" max="5" min="5" style="0" width="26"/>
  </cols>
  <sheetData>
    <row r="1" customFormat="false" ht="31.5" hidden="false" customHeight="true" outlineLevel="0" collapsed="false">
      <c r="A1" s="15" t="s">
        <v>392</v>
      </c>
      <c r="B1" s="15"/>
      <c r="C1" s="15"/>
      <c r="D1" s="15"/>
      <c r="E1" s="15"/>
    </row>
    <row r="2" customFormat="false" ht="25.5" hidden="false" customHeight="true" outlineLevel="0" collapsed="false">
      <c r="A2" s="16" t="s">
        <v>328</v>
      </c>
      <c r="B2" s="16" t="s">
        <v>329</v>
      </c>
      <c r="C2" s="16" t="s">
        <v>85</v>
      </c>
      <c r="D2" s="16" t="s">
        <v>330</v>
      </c>
      <c r="E2" s="16" t="s">
        <v>88</v>
      </c>
    </row>
    <row r="3" customFormat="false" ht="25.5" hidden="false" customHeight="true" outlineLevel="0" collapsed="false">
      <c r="A3" s="62" t="s">
        <v>393</v>
      </c>
      <c r="B3" s="62"/>
      <c r="C3" s="62"/>
      <c r="D3" s="62"/>
      <c r="E3" s="62"/>
    </row>
    <row r="4" customFormat="false" ht="21.75" hidden="false" customHeight="true" outlineLevel="0" collapsed="false">
      <c r="A4" s="61" t="s">
        <v>394</v>
      </c>
      <c r="B4" s="58" t="s">
        <v>395</v>
      </c>
      <c r="C4" s="59" t="n">
        <v>5</v>
      </c>
      <c r="D4" s="60" t="s">
        <v>334</v>
      </c>
      <c r="E4" s="58"/>
    </row>
    <row r="5" customFormat="false" ht="46.5" hidden="false" customHeight="true" outlineLevel="0" collapsed="false">
      <c r="A5" s="57" t="s">
        <v>396</v>
      </c>
      <c r="B5" s="58" t="s">
        <v>397</v>
      </c>
      <c r="C5" s="59" t="n">
        <v>10</v>
      </c>
      <c r="D5" s="60" t="s">
        <v>334</v>
      </c>
      <c r="E5" s="58"/>
    </row>
    <row r="6" customFormat="false" ht="99" hidden="false" customHeight="true" outlineLevel="0" collapsed="false">
      <c r="A6" s="57" t="s">
        <v>398</v>
      </c>
      <c r="B6" s="58" t="s">
        <v>399</v>
      </c>
      <c r="C6" s="59" t="n">
        <v>20</v>
      </c>
      <c r="D6" s="60" t="s">
        <v>334</v>
      </c>
      <c r="E6" s="58"/>
    </row>
    <row r="7" customFormat="false" ht="111.75" hidden="false" customHeight="true" outlineLevel="0" collapsed="false">
      <c r="A7" s="57" t="s">
        <v>400</v>
      </c>
      <c r="B7" s="58" t="s">
        <v>401</v>
      </c>
      <c r="C7" s="59" t="n">
        <v>25</v>
      </c>
      <c r="D7" s="60" t="s">
        <v>334</v>
      </c>
      <c r="E7" s="58"/>
    </row>
    <row r="8" customFormat="false" ht="216" hidden="false" customHeight="true" outlineLevel="0" collapsed="false">
      <c r="A8" s="57" t="s">
        <v>339</v>
      </c>
      <c r="B8" s="58" t="s">
        <v>402</v>
      </c>
      <c r="C8" s="59" t="n">
        <v>20</v>
      </c>
      <c r="D8" s="60" t="s">
        <v>334</v>
      </c>
      <c r="E8" s="58"/>
    </row>
    <row r="9" customFormat="false" ht="33.75" hidden="false" customHeight="true" outlineLevel="0" collapsed="false">
      <c r="A9" s="57" t="s">
        <v>341</v>
      </c>
      <c r="B9" s="58" t="s">
        <v>403</v>
      </c>
      <c r="C9" s="59" t="n">
        <v>20</v>
      </c>
      <c r="D9" s="60" t="s">
        <v>334</v>
      </c>
      <c r="E9" s="58"/>
    </row>
    <row r="10" customFormat="false" ht="6" hidden="false" customHeight="true" outlineLevel="0" collapsed="false"/>
    <row r="11" customFormat="false" ht="25.5" hidden="false" customHeight="true" outlineLevel="0" collapsed="false">
      <c r="A11" s="62" t="s">
        <v>404</v>
      </c>
      <c r="B11" s="62"/>
      <c r="C11" s="62"/>
      <c r="D11" s="62"/>
      <c r="E11" s="62"/>
    </row>
    <row r="12" customFormat="false" ht="21.75" hidden="false" customHeight="true" outlineLevel="0" collapsed="false">
      <c r="A12" s="61" t="s">
        <v>394</v>
      </c>
      <c r="B12" s="58" t="s">
        <v>395</v>
      </c>
      <c r="C12" s="59" t="n">
        <v>5</v>
      </c>
      <c r="D12" s="60" t="s">
        <v>334</v>
      </c>
      <c r="E12" s="58"/>
    </row>
    <row r="13" customFormat="false" ht="46.5" hidden="false" customHeight="true" outlineLevel="0" collapsed="false">
      <c r="A13" s="57" t="s">
        <v>396</v>
      </c>
      <c r="B13" s="58" t="s">
        <v>405</v>
      </c>
      <c r="C13" s="59" t="n">
        <v>10</v>
      </c>
      <c r="D13" s="60" t="s">
        <v>334</v>
      </c>
      <c r="E13" s="58"/>
    </row>
    <row r="14" customFormat="false" ht="111.75" hidden="false" customHeight="true" outlineLevel="0" collapsed="false">
      <c r="A14" s="57" t="s">
        <v>398</v>
      </c>
      <c r="B14" s="58" t="s">
        <v>406</v>
      </c>
      <c r="C14" s="59" t="n">
        <v>20</v>
      </c>
      <c r="D14" s="60" t="s">
        <v>334</v>
      </c>
      <c r="E14" s="58"/>
    </row>
    <row r="15" customFormat="false" ht="85.5" hidden="false" customHeight="true" outlineLevel="0" collapsed="false">
      <c r="A15" s="57" t="s">
        <v>400</v>
      </c>
      <c r="B15" s="58" t="s">
        <v>407</v>
      </c>
      <c r="C15" s="59" t="n">
        <v>25</v>
      </c>
      <c r="D15" s="60" t="s">
        <v>334</v>
      </c>
      <c r="E15" s="58"/>
    </row>
    <row r="16" customFormat="false" ht="216" hidden="false" customHeight="true" outlineLevel="0" collapsed="false">
      <c r="A16" s="57" t="s">
        <v>339</v>
      </c>
      <c r="B16" s="58" t="s">
        <v>408</v>
      </c>
      <c r="C16" s="59" t="n">
        <v>20</v>
      </c>
      <c r="D16" s="60" t="s">
        <v>334</v>
      </c>
      <c r="E16" s="58"/>
    </row>
    <row r="17" customFormat="false" ht="21.75" hidden="false" customHeight="true" outlineLevel="0" collapsed="false">
      <c r="A17" s="57" t="s">
        <v>341</v>
      </c>
      <c r="B17" s="58" t="s">
        <v>409</v>
      </c>
      <c r="C17" s="59" t="n">
        <v>20</v>
      </c>
      <c r="D17" s="60" t="s">
        <v>334</v>
      </c>
      <c r="E17" s="58"/>
    </row>
    <row r="18" customFormat="false" ht="6" hidden="false" customHeight="true" outlineLevel="0" collapsed="false"/>
    <row r="19" customFormat="false" ht="25.5" hidden="false" customHeight="true" outlineLevel="0" collapsed="false">
      <c r="A19" s="62" t="s">
        <v>410</v>
      </c>
      <c r="B19" s="62"/>
      <c r="C19" s="62"/>
      <c r="D19" s="62"/>
      <c r="E19" s="62"/>
    </row>
    <row r="20" customFormat="false" ht="21.75" hidden="false" customHeight="true" outlineLevel="0" collapsed="false">
      <c r="A20" s="61" t="s">
        <v>394</v>
      </c>
      <c r="B20" s="58" t="s">
        <v>395</v>
      </c>
      <c r="C20" s="59" t="n">
        <v>5</v>
      </c>
      <c r="D20" s="60" t="s">
        <v>334</v>
      </c>
      <c r="E20" s="58"/>
    </row>
    <row r="21" customFormat="false" ht="46.5" hidden="false" customHeight="true" outlineLevel="0" collapsed="false">
      <c r="A21" s="57" t="s">
        <v>396</v>
      </c>
      <c r="B21" s="58" t="s">
        <v>411</v>
      </c>
      <c r="C21" s="59" t="n">
        <v>10</v>
      </c>
      <c r="D21" s="60" t="s">
        <v>334</v>
      </c>
      <c r="E21" s="58"/>
    </row>
    <row r="22" customFormat="false" ht="99" hidden="false" customHeight="true" outlineLevel="0" collapsed="false">
      <c r="A22" s="57" t="s">
        <v>398</v>
      </c>
      <c r="B22" s="58" t="s">
        <v>412</v>
      </c>
      <c r="C22" s="59" t="n">
        <v>20</v>
      </c>
      <c r="D22" s="60" t="s">
        <v>334</v>
      </c>
      <c r="E22" s="58"/>
    </row>
    <row r="23" customFormat="false" ht="124.5" hidden="false" customHeight="true" outlineLevel="0" collapsed="false">
      <c r="A23" s="57" t="s">
        <v>400</v>
      </c>
      <c r="B23" s="58" t="s">
        <v>413</v>
      </c>
      <c r="C23" s="59" t="n">
        <v>25</v>
      </c>
      <c r="D23" s="60" t="s">
        <v>334</v>
      </c>
      <c r="E23" s="58"/>
    </row>
    <row r="24" customFormat="false" ht="216" hidden="false" customHeight="true" outlineLevel="0" collapsed="false">
      <c r="A24" s="57" t="s">
        <v>339</v>
      </c>
      <c r="B24" s="58" t="s">
        <v>414</v>
      </c>
      <c r="C24" s="59" t="n">
        <v>20</v>
      </c>
      <c r="D24" s="60" t="s">
        <v>334</v>
      </c>
      <c r="E24" s="58"/>
    </row>
    <row r="25" customFormat="false" ht="21.75" hidden="false" customHeight="true" outlineLevel="0" collapsed="false">
      <c r="A25" s="57" t="s">
        <v>415</v>
      </c>
      <c r="B25" s="58" t="s">
        <v>416</v>
      </c>
      <c r="C25" s="59" t="n">
        <v>20</v>
      </c>
      <c r="D25" s="60" t="s">
        <v>334</v>
      </c>
      <c r="E25" s="58"/>
    </row>
    <row r="26" customFormat="false" ht="6" hidden="false" customHeight="true" outlineLevel="0" collapsed="false"/>
    <row r="27" customFormat="false" ht="25.5" hidden="false" customHeight="true" outlineLevel="0" collapsed="false">
      <c r="A27" s="62" t="s">
        <v>417</v>
      </c>
      <c r="B27" s="62"/>
      <c r="C27" s="62"/>
      <c r="D27" s="62"/>
      <c r="E27" s="62"/>
    </row>
    <row r="28" customFormat="false" ht="21.75" hidden="false" customHeight="true" outlineLevel="0" collapsed="false">
      <c r="A28" s="61" t="s">
        <v>394</v>
      </c>
      <c r="B28" s="58" t="s">
        <v>395</v>
      </c>
      <c r="C28" s="59" t="n">
        <v>5</v>
      </c>
      <c r="D28" s="60" t="s">
        <v>334</v>
      </c>
      <c r="E28" s="58"/>
    </row>
    <row r="29" customFormat="false" ht="46.5" hidden="false" customHeight="true" outlineLevel="0" collapsed="false">
      <c r="A29" s="57" t="s">
        <v>396</v>
      </c>
      <c r="B29" s="58" t="s">
        <v>418</v>
      </c>
      <c r="C29" s="59" t="n">
        <v>10</v>
      </c>
      <c r="D29" s="60" t="s">
        <v>334</v>
      </c>
      <c r="E29" s="58"/>
    </row>
    <row r="30" customFormat="false" ht="99" hidden="false" customHeight="true" outlineLevel="0" collapsed="false">
      <c r="A30" s="57" t="s">
        <v>398</v>
      </c>
      <c r="B30" s="58" t="s">
        <v>419</v>
      </c>
      <c r="C30" s="59" t="n">
        <v>20</v>
      </c>
      <c r="D30" s="60" t="s">
        <v>334</v>
      </c>
      <c r="E30" s="58"/>
    </row>
    <row r="31" customFormat="false" ht="85.5" hidden="false" customHeight="true" outlineLevel="0" collapsed="false">
      <c r="A31" s="57" t="s">
        <v>400</v>
      </c>
      <c r="B31" s="58" t="s">
        <v>420</v>
      </c>
      <c r="C31" s="59" t="n">
        <v>25</v>
      </c>
      <c r="D31" s="60" t="s">
        <v>334</v>
      </c>
      <c r="E31" s="58"/>
    </row>
    <row r="32" customFormat="false" ht="216" hidden="false" customHeight="true" outlineLevel="0" collapsed="false">
      <c r="A32" s="57" t="s">
        <v>339</v>
      </c>
      <c r="B32" s="58" t="s">
        <v>421</v>
      </c>
      <c r="C32" s="59" t="n">
        <v>20</v>
      </c>
      <c r="D32" s="60" t="s">
        <v>334</v>
      </c>
      <c r="E32" s="58"/>
    </row>
    <row r="33" customFormat="false" ht="21.75" hidden="false" customHeight="true" outlineLevel="0" collapsed="false">
      <c r="A33" s="57" t="s">
        <v>341</v>
      </c>
      <c r="B33" s="58" t="s">
        <v>422</v>
      </c>
      <c r="C33" s="59" t="n">
        <v>20</v>
      </c>
      <c r="D33" s="60" t="s">
        <v>334</v>
      </c>
      <c r="E33" s="58"/>
    </row>
    <row r="34" customFormat="false" ht="6" hidden="false" customHeight="true" outlineLevel="0" collapsed="false"/>
    <row r="35" customFormat="false" ht="25.5" hidden="false" customHeight="true" outlineLevel="0" collapsed="false">
      <c r="A35" s="62" t="s">
        <v>423</v>
      </c>
      <c r="B35" s="62"/>
      <c r="C35" s="62"/>
      <c r="D35" s="62"/>
      <c r="E35" s="62"/>
    </row>
    <row r="36" customFormat="false" ht="21.75" hidden="false" customHeight="true" outlineLevel="0" collapsed="false">
      <c r="A36" s="61" t="s">
        <v>394</v>
      </c>
      <c r="B36" s="58" t="s">
        <v>395</v>
      </c>
      <c r="C36" s="59" t="n">
        <v>5</v>
      </c>
      <c r="D36" s="60" t="s">
        <v>334</v>
      </c>
      <c r="E36" s="58"/>
    </row>
    <row r="37" customFormat="false" ht="46.5" hidden="false" customHeight="true" outlineLevel="0" collapsed="false">
      <c r="A37" s="57" t="s">
        <v>396</v>
      </c>
      <c r="B37" s="58" t="s">
        <v>424</v>
      </c>
      <c r="C37" s="59" t="n">
        <v>10</v>
      </c>
      <c r="D37" s="60" t="s">
        <v>334</v>
      </c>
      <c r="E37" s="58"/>
    </row>
    <row r="38" customFormat="false" ht="99" hidden="false" customHeight="true" outlineLevel="0" collapsed="false">
      <c r="A38" s="57" t="s">
        <v>398</v>
      </c>
      <c r="B38" s="58" t="s">
        <v>425</v>
      </c>
      <c r="C38" s="59" t="n">
        <v>20</v>
      </c>
      <c r="D38" s="60" t="s">
        <v>334</v>
      </c>
      <c r="E38" s="58"/>
    </row>
    <row r="39" customFormat="false" ht="111.75" hidden="false" customHeight="true" outlineLevel="0" collapsed="false">
      <c r="A39" s="57" t="s">
        <v>400</v>
      </c>
      <c r="B39" s="58" t="s">
        <v>426</v>
      </c>
      <c r="C39" s="59" t="n">
        <v>25</v>
      </c>
      <c r="D39" s="60" t="s">
        <v>334</v>
      </c>
      <c r="E39" s="58"/>
    </row>
    <row r="40" customFormat="false" ht="216" hidden="false" customHeight="true" outlineLevel="0" collapsed="false">
      <c r="A40" s="57" t="s">
        <v>339</v>
      </c>
      <c r="B40" s="58" t="s">
        <v>427</v>
      </c>
      <c r="C40" s="59" t="n">
        <v>20</v>
      </c>
      <c r="D40" s="60" t="s">
        <v>334</v>
      </c>
      <c r="E40" s="58"/>
    </row>
    <row r="41" customFormat="false" ht="21.75" hidden="false" customHeight="true" outlineLevel="0" collapsed="false">
      <c r="A41" s="57" t="s">
        <v>415</v>
      </c>
      <c r="B41" s="58" t="s">
        <v>428</v>
      </c>
      <c r="C41" s="59" t="n">
        <v>20</v>
      </c>
      <c r="D41" s="60" t="s">
        <v>334</v>
      </c>
      <c r="E41" s="58"/>
    </row>
    <row r="42" customFormat="false" ht="6" hidden="false" customHeight="true" outlineLevel="0" collapsed="false"/>
    <row r="43" customFormat="false" ht="25.5" hidden="false" customHeight="true" outlineLevel="0" collapsed="false">
      <c r="A43" s="62" t="s">
        <v>429</v>
      </c>
      <c r="B43" s="62"/>
      <c r="C43" s="62"/>
      <c r="D43" s="62"/>
      <c r="E43" s="62"/>
    </row>
    <row r="44" customFormat="false" ht="21.75" hidden="false" customHeight="true" outlineLevel="0" collapsed="false">
      <c r="A44" s="61" t="s">
        <v>394</v>
      </c>
      <c r="B44" s="58" t="s">
        <v>395</v>
      </c>
      <c r="C44" s="59" t="n">
        <v>5</v>
      </c>
      <c r="D44" s="60" t="s">
        <v>334</v>
      </c>
      <c r="E44" s="58"/>
    </row>
    <row r="45" customFormat="false" ht="46.5" hidden="false" customHeight="true" outlineLevel="0" collapsed="false">
      <c r="A45" s="57" t="s">
        <v>396</v>
      </c>
      <c r="B45" s="58" t="s">
        <v>430</v>
      </c>
      <c r="C45" s="59" t="n">
        <v>10</v>
      </c>
      <c r="D45" s="60" t="s">
        <v>334</v>
      </c>
      <c r="E45" s="58"/>
    </row>
    <row r="46" customFormat="false" ht="99" hidden="false" customHeight="true" outlineLevel="0" collapsed="false">
      <c r="A46" s="57" t="s">
        <v>398</v>
      </c>
      <c r="B46" s="58" t="s">
        <v>431</v>
      </c>
      <c r="C46" s="59" t="n">
        <v>20</v>
      </c>
      <c r="D46" s="60" t="s">
        <v>334</v>
      </c>
      <c r="E46" s="58"/>
    </row>
    <row r="47" customFormat="false" ht="85.5" hidden="false" customHeight="true" outlineLevel="0" collapsed="false">
      <c r="A47" s="57" t="s">
        <v>400</v>
      </c>
      <c r="B47" s="58" t="s">
        <v>432</v>
      </c>
      <c r="C47" s="59" t="n">
        <v>25</v>
      </c>
      <c r="D47" s="60" t="s">
        <v>334</v>
      </c>
      <c r="E47" s="58"/>
    </row>
    <row r="48" customFormat="false" ht="216" hidden="false" customHeight="true" outlineLevel="0" collapsed="false">
      <c r="A48" s="57" t="s">
        <v>339</v>
      </c>
      <c r="B48" s="58" t="s">
        <v>433</v>
      </c>
      <c r="C48" s="59" t="n">
        <v>20</v>
      </c>
      <c r="D48" s="60" t="s">
        <v>334</v>
      </c>
      <c r="E48" s="58"/>
    </row>
    <row r="49" customFormat="false" ht="21.75" hidden="false" customHeight="true" outlineLevel="0" collapsed="false">
      <c r="A49" s="57" t="s">
        <v>341</v>
      </c>
      <c r="B49" s="58" t="s">
        <v>434</v>
      </c>
      <c r="C49" s="59" t="n">
        <v>20</v>
      </c>
      <c r="D49" s="60" t="s">
        <v>334</v>
      </c>
      <c r="E49" s="58"/>
    </row>
    <row r="50" customFormat="false" ht="6" hidden="false" customHeight="true" outlineLevel="0" collapsed="false"/>
    <row r="51" customFormat="false" ht="25.5" hidden="false" customHeight="true" outlineLevel="0" collapsed="false">
      <c r="A51" s="63" t="s">
        <v>435</v>
      </c>
      <c r="B51" s="63"/>
      <c r="C51" s="63"/>
      <c r="D51" s="63"/>
      <c r="E51" s="63"/>
    </row>
    <row r="52" customFormat="false" ht="33.75" hidden="false" customHeight="true" outlineLevel="0" collapsed="false">
      <c r="A52" s="57" t="s">
        <v>398</v>
      </c>
      <c r="B52" s="58" t="s">
        <v>436</v>
      </c>
      <c r="C52" s="59" t="n">
        <v>25</v>
      </c>
      <c r="D52" s="60" t="s">
        <v>334</v>
      </c>
      <c r="E52" s="58"/>
    </row>
    <row r="53" customFormat="false" ht="21.75" hidden="false" customHeight="true" outlineLevel="0" collapsed="false">
      <c r="A53" s="57" t="s">
        <v>396</v>
      </c>
      <c r="B53" s="58" t="s">
        <v>437</v>
      </c>
      <c r="C53" s="59" t="n">
        <v>10</v>
      </c>
      <c r="D53" s="60" t="s">
        <v>334</v>
      </c>
      <c r="E53" s="58"/>
    </row>
    <row r="54" customFormat="false" ht="21.75" hidden="false" customHeight="true" outlineLevel="0" collapsed="false">
      <c r="A54" s="57" t="s">
        <v>400</v>
      </c>
      <c r="B54" s="58" t="s">
        <v>438</v>
      </c>
      <c r="C54" s="59" t="n">
        <v>25</v>
      </c>
      <c r="D54" s="60" t="s">
        <v>334</v>
      </c>
      <c r="E54" s="58"/>
    </row>
    <row r="55" customFormat="false" ht="21.75" hidden="false" customHeight="true" outlineLevel="0" collapsed="false">
      <c r="A55" s="57" t="s">
        <v>339</v>
      </c>
      <c r="B55" s="58" t="s">
        <v>439</v>
      </c>
      <c r="C55" s="59" t="n">
        <v>20</v>
      </c>
      <c r="D55" s="60" t="s">
        <v>334</v>
      </c>
      <c r="E55" s="58"/>
    </row>
    <row r="56" customFormat="false" ht="21.75" hidden="false" customHeight="true" outlineLevel="0" collapsed="false">
      <c r="A56" s="57" t="s">
        <v>440</v>
      </c>
      <c r="B56" s="58" t="s">
        <v>441</v>
      </c>
      <c r="C56" s="59" t="n">
        <v>25</v>
      </c>
      <c r="D56" s="60" t="s">
        <v>334</v>
      </c>
      <c r="E56" s="58"/>
    </row>
    <row r="57" customFormat="false" ht="6" hidden="false" customHeight="true" outlineLevel="0" collapsed="false"/>
    <row r="58" customFormat="false" ht="25.5" hidden="false" customHeight="true" outlineLevel="0" collapsed="false">
      <c r="A58" s="62" t="s">
        <v>442</v>
      </c>
      <c r="B58" s="62"/>
      <c r="C58" s="62"/>
      <c r="D58" s="62"/>
      <c r="E58" s="62"/>
    </row>
    <row r="59" customFormat="false" ht="21.75" hidden="false" customHeight="true" outlineLevel="0" collapsed="false">
      <c r="A59" s="61" t="s">
        <v>394</v>
      </c>
      <c r="B59" s="58" t="s">
        <v>395</v>
      </c>
      <c r="C59" s="59" t="n">
        <v>5</v>
      </c>
      <c r="D59" s="60" t="s">
        <v>334</v>
      </c>
      <c r="E59" s="58"/>
    </row>
    <row r="60" customFormat="false" ht="46.5" hidden="false" customHeight="true" outlineLevel="0" collapsed="false">
      <c r="A60" s="57" t="s">
        <v>396</v>
      </c>
      <c r="B60" s="58" t="s">
        <v>443</v>
      </c>
      <c r="C60" s="59" t="n">
        <v>10</v>
      </c>
      <c r="D60" s="60" t="s">
        <v>334</v>
      </c>
      <c r="E60" s="58"/>
    </row>
    <row r="61" customFormat="false" ht="99" hidden="false" customHeight="true" outlineLevel="0" collapsed="false">
      <c r="A61" s="57" t="s">
        <v>398</v>
      </c>
      <c r="B61" s="58" t="s">
        <v>444</v>
      </c>
      <c r="C61" s="59" t="n">
        <v>20</v>
      </c>
      <c r="D61" s="60" t="s">
        <v>334</v>
      </c>
      <c r="E61" s="58"/>
    </row>
    <row r="62" customFormat="false" ht="111.75" hidden="false" customHeight="true" outlineLevel="0" collapsed="false">
      <c r="A62" s="57" t="s">
        <v>400</v>
      </c>
      <c r="B62" s="58" t="s">
        <v>445</v>
      </c>
      <c r="C62" s="59" t="n">
        <v>25</v>
      </c>
      <c r="D62" s="60" t="s">
        <v>334</v>
      </c>
      <c r="E62" s="58"/>
    </row>
    <row r="63" customFormat="false" ht="216" hidden="false" customHeight="true" outlineLevel="0" collapsed="false">
      <c r="A63" s="57" t="s">
        <v>339</v>
      </c>
      <c r="B63" s="58" t="s">
        <v>446</v>
      </c>
      <c r="C63" s="59" t="n">
        <v>20</v>
      </c>
      <c r="D63" s="60" t="s">
        <v>334</v>
      </c>
      <c r="E63" s="58"/>
    </row>
    <row r="64" customFormat="false" ht="21.75" hidden="false" customHeight="true" outlineLevel="0" collapsed="false">
      <c r="A64" s="57" t="s">
        <v>341</v>
      </c>
      <c r="B64" s="58" t="s">
        <v>409</v>
      </c>
      <c r="C64" s="59" t="n">
        <v>20</v>
      </c>
      <c r="D64" s="60" t="s">
        <v>334</v>
      </c>
      <c r="E64" s="58"/>
    </row>
    <row r="65" customFormat="false" ht="6" hidden="false" customHeight="true" outlineLevel="0" collapsed="false"/>
    <row r="66" customFormat="false" ht="25.5" hidden="false" customHeight="true" outlineLevel="0" collapsed="false">
      <c r="A66" s="62" t="s">
        <v>447</v>
      </c>
      <c r="B66" s="62"/>
      <c r="C66" s="62"/>
      <c r="D66" s="62"/>
      <c r="E66" s="62"/>
    </row>
    <row r="67" customFormat="false" ht="21.75" hidden="false" customHeight="true" outlineLevel="0" collapsed="false">
      <c r="A67" s="61" t="s">
        <v>394</v>
      </c>
      <c r="B67" s="58" t="s">
        <v>395</v>
      </c>
      <c r="C67" s="59" t="n">
        <v>5</v>
      </c>
      <c r="D67" s="60" t="s">
        <v>334</v>
      </c>
      <c r="E67" s="58"/>
    </row>
    <row r="68" customFormat="false" ht="46.5" hidden="false" customHeight="true" outlineLevel="0" collapsed="false">
      <c r="A68" s="57" t="s">
        <v>396</v>
      </c>
      <c r="B68" s="58" t="s">
        <v>448</v>
      </c>
      <c r="C68" s="59" t="n">
        <v>10</v>
      </c>
      <c r="D68" s="60" t="s">
        <v>334</v>
      </c>
      <c r="E68" s="58"/>
    </row>
    <row r="69" customFormat="false" ht="99" hidden="false" customHeight="true" outlineLevel="0" collapsed="false">
      <c r="A69" s="57" t="s">
        <v>398</v>
      </c>
      <c r="B69" s="58" t="s">
        <v>449</v>
      </c>
      <c r="C69" s="59" t="n">
        <v>20</v>
      </c>
      <c r="D69" s="60" t="s">
        <v>334</v>
      </c>
      <c r="E69" s="58"/>
    </row>
    <row r="70" customFormat="false" ht="111.75" hidden="false" customHeight="true" outlineLevel="0" collapsed="false">
      <c r="A70" s="57" t="s">
        <v>400</v>
      </c>
      <c r="B70" s="58" t="s">
        <v>450</v>
      </c>
      <c r="C70" s="59" t="n">
        <v>25</v>
      </c>
      <c r="D70" s="60" t="s">
        <v>334</v>
      </c>
      <c r="E70" s="58"/>
    </row>
    <row r="71" customFormat="false" ht="216" hidden="false" customHeight="true" outlineLevel="0" collapsed="false">
      <c r="A71" s="57" t="s">
        <v>339</v>
      </c>
      <c r="B71" s="58" t="s">
        <v>451</v>
      </c>
      <c r="C71" s="59" t="n">
        <v>20</v>
      </c>
      <c r="D71" s="60" t="s">
        <v>334</v>
      </c>
      <c r="E71" s="58"/>
    </row>
    <row r="72" customFormat="false" ht="21.75" hidden="false" customHeight="true" outlineLevel="0" collapsed="false">
      <c r="A72" s="57" t="s">
        <v>415</v>
      </c>
      <c r="B72" s="58" t="s">
        <v>416</v>
      </c>
      <c r="C72" s="59" t="n">
        <v>20</v>
      </c>
      <c r="D72" s="60" t="s">
        <v>334</v>
      </c>
      <c r="E72" s="58"/>
    </row>
    <row r="73" customFormat="false" ht="6" hidden="false" customHeight="true" outlineLevel="0" collapsed="false"/>
    <row r="74" customFormat="false" ht="25.5" hidden="false" customHeight="true" outlineLevel="0" collapsed="false">
      <c r="A74" s="62" t="s">
        <v>452</v>
      </c>
      <c r="B74" s="62"/>
      <c r="C74" s="62"/>
      <c r="D74" s="62"/>
      <c r="E74" s="62"/>
    </row>
    <row r="75" customFormat="false" ht="21.75" hidden="false" customHeight="true" outlineLevel="0" collapsed="false">
      <c r="A75" s="61" t="s">
        <v>394</v>
      </c>
      <c r="B75" s="58" t="s">
        <v>395</v>
      </c>
      <c r="C75" s="59" t="n">
        <v>5</v>
      </c>
      <c r="D75" s="60" t="s">
        <v>334</v>
      </c>
      <c r="E75" s="58"/>
    </row>
    <row r="76" customFormat="false" ht="46.5" hidden="false" customHeight="true" outlineLevel="0" collapsed="false">
      <c r="A76" s="57" t="s">
        <v>396</v>
      </c>
      <c r="B76" s="58" t="s">
        <v>453</v>
      </c>
      <c r="C76" s="59" t="n">
        <v>10</v>
      </c>
      <c r="D76" s="60" t="s">
        <v>334</v>
      </c>
      <c r="E76" s="58"/>
    </row>
    <row r="77" customFormat="false" ht="99" hidden="false" customHeight="true" outlineLevel="0" collapsed="false">
      <c r="A77" s="57" t="s">
        <v>398</v>
      </c>
      <c r="B77" s="58" t="s">
        <v>454</v>
      </c>
      <c r="C77" s="59" t="n">
        <v>20</v>
      </c>
      <c r="D77" s="60" t="s">
        <v>334</v>
      </c>
      <c r="E77" s="58"/>
    </row>
    <row r="78" customFormat="false" ht="111.75" hidden="false" customHeight="true" outlineLevel="0" collapsed="false">
      <c r="A78" s="57" t="s">
        <v>400</v>
      </c>
      <c r="B78" s="58" t="s">
        <v>455</v>
      </c>
      <c r="C78" s="59" t="n">
        <v>25</v>
      </c>
      <c r="D78" s="60" t="s">
        <v>334</v>
      </c>
      <c r="E78" s="58"/>
    </row>
    <row r="79" customFormat="false" ht="216" hidden="false" customHeight="true" outlineLevel="0" collapsed="false">
      <c r="A79" s="57" t="s">
        <v>339</v>
      </c>
      <c r="B79" s="58" t="s">
        <v>456</v>
      </c>
      <c r="C79" s="59" t="n">
        <v>20</v>
      </c>
      <c r="D79" s="60" t="s">
        <v>334</v>
      </c>
      <c r="E79" s="58"/>
    </row>
    <row r="80" customFormat="false" ht="21.75" hidden="false" customHeight="true" outlineLevel="0" collapsed="false">
      <c r="A80" s="57" t="s">
        <v>341</v>
      </c>
      <c r="B80" s="58" t="s">
        <v>422</v>
      </c>
      <c r="C80" s="59" t="n">
        <v>20</v>
      </c>
      <c r="D80" s="60" t="s">
        <v>334</v>
      </c>
      <c r="E80" s="58"/>
    </row>
    <row r="81" customFormat="false" ht="6" hidden="false" customHeight="true" outlineLevel="0" collapsed="false"/>
    <row r="82" customFormat="false" ht="25.5" hidden="false" customHeight="true" outlineLevel="0" collapsed="false">
      <c r="A82" s="62" t="s">
        <v>457</v>
      </c>
      <c r="B82" s="62"/>
      <c r="C82" s="62"/>
      <c r="D82" s="62"/>
      <c r="E82" s="62"/>
    </row>
    <row r="83" customFormat="false" ht="21.75" hidden="false" customHeight="true" outlineLevel="0" collapsed="false">
      <c r="A83" s="61" t="s">
        <v>394</v>
      </c>
      <c r="B83" s="58" t="s">
        <v>395</v>
      </c>
      <c r="C83" s="59" t="n">
        <v>5</v>
      </c>
      <c r="D83" s="60" t="s">
        <v>334</v>
      </c>
      <c r="E83" s="58"/>
    </row>
    <row r="84" customFormat="false" ht="46.5" hidden="false" customHeight="true" outlineLevel="0" collapsed="false">
      <c r="A84" s="57" t="s">
        <v>396</v>
      </c>
      <c r="B84" s="58" t="s">
        <v>458</v>
      </c>
      <c r="C84" s="59" t="n">
        <v>10</v>
      </c>
      <c r="D84" s="60" t="s">
        <v>334</v>
      </c>
      <c r="E84" s="58"/>
    </row>
    <row r="85" customFormat="false" ht="99" hidden="false" customHeight="true" outlineLevel="0" collapsed="false">
      <c r="A85" s="57" t="s">
        <v>398</v>
      </c>
      <c r="B85" s="58" t="s">
        <v>459</v>
      </c>
      <c r="C85" s="59" t="n">
        <v>20</v>
      </c>
      <c r="D85" s="60" t="s">
        <v>334</v>
      </c>
      <c r="E85" s="58"/>
    </row>
    <row r="86" customFormat="false" ht="85.5" hidden="false" customHeight="true" outlineLevel="0" collapsed="false">
      <c r="A86" s="57" t="s">
        <v>400</v>
      </c>
      <c r="B86" s="58" t="s">
        <v>460</v>
      </c>
      <c r="C86" s="59" t="n">
        <v>25</v>
      </c>
      <c r="D86" s="60" t="s">
        <v>334</v>
      </c>
      <c r="E86" s="58"/>
    </row>
    <row r="87" customFormat="false" ht="216" hidden="false" customHeight="true" outlineLevel="0" collapsed="false">
      <c r="A87" s="57" t="s">
        <v>339</v>
      </c>
      <c r="B87" s="58" t="s">
        <v>461</v>
      </c>
      <c r="C87" s="59" t="n">
        <v>20</v>
      </c>
      <c r="D87" s="60" t="s">
        <v>334</v>
      </c>
      <c r="E87" s="58"/>
    </row>
    <row r="88" customFormat="false" ht="21.75" hidden="false" customHeight="true" outlineLevel="0" collapsed="false">
      <c r="A88" s="57" t="s">
        <v>415</v>
      </c>
      <c r="B88" s="58" t="s">
        <v>428</v>
      </c>
      <c r="C88" s="59" t="n">
        <v>20</v>
      </c>
      <c r="D88" s="60" t="s">
        <v>334</v>
      </c>
      <c r="E88" s="58"/>
    </row>
    <row r="89" customFormat="false" ht="6" hidden="false" customHeight="true" outlineLevel="0" collapsed="false"/>
    <row r="90" customFormat="false" ht="25.5" hidden="false" customHeight="true" outlineLevel="0" collapsed="false">
      <c r="A90" s="62" t="s">
        <v>462</v>
      </c>
      <c r="B90" s="62"/>
      <c r="C90" s="62"/>
      <c r="D90" s="62"/>
      <c r="E90" s="62"/>
    </row>
    <row r="91" customFormat="false" ht="21.75" hidden="false" customHeight="true" outlineLevel="0" collapsed="false">
      <c r="A91" s="61" t="s">
        <v>394</v>
      </c>
      <c r="B91" s="58" t="s">
        <v>395</v>
      </c>
      <c r="C91" s="59" t="n">
        <v>5</v>
      </c>
      <c r="D91" s="60" t="s">
        <v>334</v>
      </c>
      <c r="E91" s="58"/>
    </row>
    <row r="92" customFormat="false" ht="46.5" hidden="false" customHeight="true" outlineLevel="0" collapsed="false">
      <c r="A92" s="57" t="s">
        <v>396</v>
      </c>
      <c r="B92" s="58" t="s">
        <v>463</v>
      </c>
      <c r="C92" s="59" t="n">
        <v>10</v>
      </c>
      <c r="D92" s="60" t="s">
        <v>334</v>
      </c>
      <c r="E92" s="58"/>
    </row>
    <row r="93" customFormat="false" ht="99" hidden="false" customHeight="true" outlineLevel="0" collapsed="false">
      <c r="A93" s="57" t="s">
        <v>398</v>
      </c>
      <c r="B93" s="58" t="s">
        <v>464</v>
      </c>
      <c r="C93" s="59" t="n">
        <v>20</v>
      </c>
      <c r="D93" s="60" t="s">
        <v>334</v>
      </c>
      <c r="E93" s="58"/>
    </row>
    <row r="94" customFormat="false" ht="111.75" hidden="false" customHeight="true" outlineLevel="0" collapsed="false">
      <c r="A94" s="57" t="s">
        <v>400</v>
      </c>
      <c r="B94" s="58" t="s">
        <v>465</v>
      </c>
      <c r="C94" s="59" t="n">
        <v>25</v>
      </c>
      <c r="D94" s="60" t="s">
        <v>334</v>
      </c>
      <c r="E94" s="58"/>
    </row>
    <row r="95" customFormat="false" ht="216" hidden="false" customHeight="true" outlineLevel="0" collapsed="false">
      <c r="A95" s="57" t="s">
        <v>339</v>
      </c>
      <c r="B95" s="58" t="s">
        <v>466</v>
      </c>
      <c r="C95" s="59" t="n">
        <v>20</v>
      </c>
      <c r="D95" s="60" t="s">
        <v>334</v>
      </c>
      <c r="E95" s="58"/>
    </row>
    <row r="96" customFormat="false" ht="21.75" hidden="false" customHeight="true" outlineLevel="0" collapsed="false">
      <c r="A96" s="57" t="s">
        <v>341</v>
      </c>
      <c r="B96" s="58" t="s">
        <v>434</v>
      </c>
      <c r="C96" s="59" t="n">
        <v>20</v>
      </c>
      <c r="D96" s="60" t="s">
        <v>334</v>
      </c>
      <c r="E96" s="58"/>
    </row>
    <row r="97" customFormat="false" ht="6" hidden="false" customHeight="true" outlineLevel="0" collapsed="false"/>
    <row r="98" customFormat="false" ht="25.5" hidden="false" customHeight="true" outlineLevel="0" collapsed="false">
      <c r="A98" s="62" t="s">
        <v>467</v>
      </c>
      <c r="B98" s="62"/>
      <c r="C98" s="62"/>
      <c r="D98" s="62"/>
      <c r="E98" s="62"/>
    </row>
    <row r="99" customFormat="false" ht="21.75" hidden="false" customHeight="true" outlineLevel="0" collapsed="false">
      <c r="A99" s="61" t="s">
        <v>394</v>
      </c>
      <c r="B99" s="58" t="s">
        <v>395</v>
      </c>
      <c r="C99" s="59" t="n">
        <v>5</v>
      </c>
      <c r="D99" s="60" t="s">
        <v>334</v>
      </c>
      <c r="E99" s="58"/>
    </row>
    <row r="100" customFormat="false" ht="46.5" hidden="false" customHeight="true" outlineLevel="0" collapsed="false">
      <c r="A100" s="57" t="s">
        <v>396</v>
      </c>
      <c r="B100" s="58" t="s">
        <v>468</v>
      </c>
      <c r="C100" s="59" t="n">
        <v>10</v>
      </c>
      <c r="D100" s="60" t="s">
        <v>334</v>
      </c>
      <c r="E100" s="58"/>
    </row>
    <row r="101" customFormat="false" ht="99" hidden="false" customHeight="true" outlineLevel="0" collapsed="false">
      <c r="A101" s="57" t="s">
        <v>398</v>
      </c>
      <c r="B101" s="58" t="s">
        <v>469</v>
      </c>
      <c r="C101" s="59" t="n">
        <v>20</v>
      </c>
      <c r="D101" s="60" t="s">
        <v>334</v>
      </c>
      <c r="E101" s="58"/>
    </row>
    <row r="102" customFormat="false" ht="85.5" hidden="false" customHeight="true" outlineLevel="0" collapsed="false">
      <c r="A102" s="57" t="s">
        <v>400</v>
      </c>
      <c r="B102" s="58" t="s">
        <v>470</v>
      </c>
      <c r="C102" s="59" t="n">
        <v>25</v>
      </c>
      <c r="D102" s="60" t="s">
        <v>334</v>
      </c>
      <c r="E102" s="58"/>
    </row>
    <row r="103" customFormat="false" ht="216" hidden="false" customHeight="true" outlineLevel="0" collapsed="false">
      <c r="A103" s="57" t="s">
        <v>339</v>
      </c>
      <c r="B103" s="58" t="s">
        <v>471</v>
      </c>
      <c r="C103" s="59" t="n">
        <v>20</v>
      </c>
      <c r="D103" s="60" t="s">
        <v>334</v>
      </c>
      <c r="E103" s="58"/>
    </row>
    <row r="104" customFormat="false" ht="33.75" hidden="false" customHeight="true" outlineLevel="0" collapsed="false">
      <c r="A104" s="57" t="s">
        <v>341</v>
      </c>
      <c r="B104" s="58" t="s">
        <v>403</v>
      </c>
      <c r="C104" s="59" t="n">
        <v>20</v>
      </c>
      <c r="D104" s="60" t="s">
        <v>334</v>
      </c>
      <c r="E104" s="58"/>
    </row>
    <row r="105" customFormat="false" ht="6" hidden="false" customHeight="true" outlineLevel="0" collapsed="false"/>
    <row r="106" customFormat="false" ht="25.5" hidden="false" customHeight="true" outlineLevel="0" collapsed="false">
      <c r="A106" s="63" t="s">
        <v>472</v>
      </c>
      <c r="B106" s="63"/>
      <c r="C106" s="63"/>
      <c r="D106" s="63"/>
      <c r="E106" s="63"/>
    </row>
    <row r="107" customFormat="false" ht="33.75" hidden="false" customHeight="true" outlineLevel="0" collapsed="false">
      <c r="A107" s="57" t="s">
        <v>398</v>
      </c>
      <c r="B107" s="58" t="s">
        <v>436</v>
      </c>
      <c r="C107" s="59" t="n">
        <v>25</v>
      </c>
      <c r="D107" s="60" t="s">
        <v>334</v>
      </c>
      <c r="E107" s="58"/>
    </row>
    <row r="108" customFormat="false" ht="21.75" hidden="false" customHeight="true" outlineLevel="0" collapsed="false">
      <c r="A108" s="57" t="s">
        <v>396</v>
      </c>
      <c r="B108" s="58" t="s">
        <v>437</v>
      </c>
      <c r="C108" s="59" t="n">
        <v>10</v>
      </c>
      <c r="D108" s="60" t="s">
        <v>334</v>
      </c>
      <c r="E108" s="58"/>
    </row>
    <row r="109" customFormat="false" ht="21.75" hidden="false" customHeight="true" outlineLevel="0" collapsed="false">
      <c r="A109" s="57" t="s">
        <v>400</v>
      </c>
      <c r="B109" s="58" t="s">
        <v>473</v>
      </c>
      <c r="C109" s="59" t="n">
        <v>25</v>
      </c>
      <c r="D109" s="60" t="s">
        <v>334</v>
      </c>
      <c r="E109" s="58"/>
    </row>
    <row r="110" customFormat="false" ht="21.75" hidden="false" customHeight="true" outlineLevel="0" collapsed="false">
      <c r="A110" s="57" t="s">
        <v>339</v>
      </c>
      <c r="B110" s="58" t="s">
        <v>474</v>
      </c>
      <c r="C110" s="59" t="n">
        <v>20</v>
      </c>
      <c r="D110" s="60" t="s">
        <v>334</v>
      </c>
      <c r="E110" s="58"/>
    </row>
    <row r="111" customFormat="false" ht="21.75" hidden="false" customHeight="true" outlineLevel="0" collapsed="false">
      <c r="A111" s="57" t="s">
        <v>440</v>
      </c>
      <c r="B111" s="58" t="s">
        <v>475</v>
      </c>
      <c r="C111" s="59" t="n">
        <v>25</v>
      </c>
      <c r="D111" s="60" t="s">
        <v>334</v>
      </c>
      <c r="E111" s="58"/>
    </row>
    <row r="112" customFormat="false" ht="6" hidden="false" customHeight="true" outlineLevel="0" collapsed="false"/>
    <row r="113" customFormat="false" ht="25.5" hidden="false" customHeight="true" outlineLevel="0" collapsed="false">
      <c r="A113" s="62" t="s">
        <v>476</v>
      </c>
      <c r="B113" s="62"/>
      <c r="C113" s="62"/>
      <c r="D113" s="62"/>
      <c r="E113" s="62"/>
    </row>
    <row r="114" customFormat="false" ht="21.75" hidden="false" customHeight="true" outlineLevel="0" collapsed="false">
      <c r="A114" s="61" t="s">
        <v>394</v>
      </c>
      <c r="B114" s="58" t="s">
        <v>395</v>
      </c>
      <c r="C114" s="59" t="n">
        <v>5</v>
      </c>
      <c r="D114" s="60" t="s">
        <v>334</v>
      </c>
      <c r="E114" s="58"/>
    </row>
    <row r="115" customFormat="false" ht="46.5" hidden="false" customHeight="true" outlineLevel="0" collapsed="false">
      <c r="A115" s="57" t="s">
        <v>396</v>
      </c>
      <c r="B115" s="58" t="s">
        <v>477</v>
      </c>
      <c r="C115" s="59" t="n">
        <v>10</v>
      </c>
      <c r="D115" s="60" t="s">
        <v>334</v>
      </c>
      <c r="E115" s="58"/>
    </row>
    <row r="116" customFormat="false" ht="99" hidden="false" customHeight="true" outlineLevel="0" collapsed="false">
      <c r="A116" s="57" t="s">
        <v>398</v>
      </c>
      <c r="B116" s="58" t="s">
        <v>478</v>
      </c>
      <c r="C116" s="59" t="n">
        <v>20</v>
      </c>
      <c r="D116" s="60" t="s">
        <v>334</v>
      </c>
      <c r="E116" s="58"/>
    </row>
    <row r="117" customFormat="false" ht="111.75" hidden="false" customHeight="true" outlineLevel="0" collapsed="false">
      <c r="A117" s="57" t="s">
        <v>400</v>
      </c>
      <c r="B117" s="58" t="s">
        <v>479</v>
      </c>
      <c r="C117" s="59" t="n">
        <v>25</v>
      </c>
      <c r="D117" s="60" t="s">
        <v>334</v>
      </c>
      <c r="E117" s="58"/>
    </row>
    <row r="118" customFormat="false" ht="216" hidden="false" customHeight="true" outlineLevel="0" collapsed="false">
      <c r="A118" s="57" t="s">
        <v>339</v>
      </c>
      <c r="B118" s="58" t="s">
        <v>480</v>
      </c>
      <c r="C118" s="59" t="n">
        <v>20</v>
      </c>
      <c r="D118" s="60" t="s">
        <v>334</v>
      </c>
      <c r="E118" s="58"/>
    </row>
    <row r="119" customFormat="false" ht="21.75" hidden="false" customHeight="true" outlineLevel="0" collapsed="false">
      <c r="A119" s="57" t="s">
        <v>415</v>
      </c>
      <c r="B119" s="58" t="s">
        <v>416</v>
      </c>
      <c r="C119" s="59" t="n">
        <v>20</v>
      </c>
      <c r="D119" s="60" t="s">
        <v>334</v>
      </c>
      <c r="E119" s="58"/>
    </row>
    <row r="120" customFormat="false" ht="6" hidden="false" customHeight="true" outlineLevel="0" collapsed="false"/>
    <row r="121" customFormat="false" ht="25.5" hidden="false" customHeight="true" outlineLevel="0" collapsed="false">
      <c r="A121" s="62" t="s">
        <v>481</v>
      </c>
      <c r="B121" s="62"/>
      <c r="C121" s="62"/>
      <c r="D121" s="62"/>
      <c r="E121" s="62"/>
    </row>
    <row r="122" customFormat="false" ht="21.75" hidden="false" customHeight="true" outlineLevel="0" collapsed="false">
      <c r="A122" s="61" t="s">
        <v>394</v>
      </c>
      <c r="B122" s="58" t="s">
        <v>395</v>
      </c>
      <c r="C122" s="59" t="n">
        <v>5</v>
      </c>
      <c r="D122" s="60" t="s">
        <v>334</v>
      </c>
      <c r="E122" s="58"/>
    </row>
    <row r="123" customFormat="false" ht="46.5" hidden="false" customHeight="true" outlineLevel="0" collapsed="false">
      <c r="A123" s="57" t="s">
        <v>396</v>
      </c>
      <c r="B123" s="58" t="s">
        <v>482</v>
      </c>
      <c r="C123" s="59" t="n">
        <v>10</v>
      </c>
      <c r="D123" s="60" t="s">
        <v>334</v>
      </c>
      <c r="E123" s="58"/>
    </row>
    <row r="124" customFormat="false" ht="99" hidden="false" customHeight="true" outlineLevel="0" collapsed="false">
      <c r="A124" s="57" t="s">
        <v>398</v>
      </c>
      <c r="B124" s="58" t="s">
        <v>483</v>
      </c>
      <c r="C124" s="59" t="n">
        <v>20</v>
      </c>
      <c r="D124" s="60" t="s">
        <v>334</v>
      </c>
      <c r="E124" s="58"/>
    </row>
    <row r="125" customFormat="false" ht="85.5" hidden="false" customHeight="true" outlineLevel="0" collapsed="false">
      <c r="A125" s="57" t="s">
        <v>400</v>
      </c>
      <c r="B125" s="58" t="s">
        <v>484</v>
      </c>
      <c r="C125" s="59" t="n">
        <v>25</v>
      </c>
      <c r="D125" s="60" t="s">
        <v>334</v>
      </c>
      <c r="E125" s="58"/>
    </row>
    <row r="126" customFormat="false" ht="216" hidden="false" customHeight="true" outlineLevel="0" collapsed="false">
      <c r="A126" s="57" t="s">
        <v>339</v>
      </c>
      <c r="B126" s="58" t="s">
        <v>485</v>
      </c>
      <c r="C126" s="59" t="n">
        <v>20</v>
      </c>
      <c r="D126" s="60" t="s">
        <v>334</v>
      </c>
      <c r="E126" s="58"/>
    </row>
    <row r="127" customFormat="false" ht="21.75" hidden="false" customHeight="true" outlineLevel="0" collapsed="false">
      <c r="A127" s="57" t="s">
        <v>341</v>
      </c>
      <c r="B127" s="58" t="s">
        <v>422</v>
      </c>
      <c r="C127" s="59" t="n">
        <v>20</v>
      </c>
      <c r="D127" s="60" t="s">
        <v>334</v>
      </c>
      <c r="E127" s="58"/>
    </row>
    <row r="128" customFormat="false" ht="6" hidden="false" customHeight="true" outlineLevel="0" collapsed="false"/>
    <row r="129" customFormat="false" ht="25.5" hidden="false" customHeight="true" outlineLevel="0" collapsed="false">
      <c r="A129" s="62" t="s">
        <v>486</v>
      </c>
      <c r="B129" s="62"/>
      <c r="C129" s="62"/>
      <c r="D129" s="62"/>
      <c r="E129" s="62"/>
    </row>
    <row r="130" customFormat="false" ht="21.75" hidden="false" customHeight="true" outlineLevel="0" collapsed="false">
      <c r="A130" s="61" t="s">
        <v>394</v>
      </c>
      <c r="B130" s="58" t="s">
        <v>395</v>
      </c>
      <c r="C130" s="59" t="n">
        <v>5</v>
      </c>
      <c r="D130" s="60" t="s">
        <v>334</v>
      </c>
      <c r="E130" s="58"/>
    </row>
    <row r="131" customFormat="false" ht="46.5" hidden="false" customHeight="true" outlineLevel="0" collapsed="false">
      <c r="A131" s="57" t="s">
        <v>396</v>
      </c>
      <c r="B131" s="58" t="s">
        <v>487</v>
      </c>
      <c r="C131" s="59" t="n">
        <v>10</v>
      </c>
      <c r="D131" s="60" t="s">
        <v>334</v>
      </c>
      <c r="E131" s="58"/>
    </row>
    <row r="132" customFormat="false" ht="99" hidden="false" customHeight="true" outlineLevel="0" collapsed="false">
      <c r="A132" s="57" t="s">
        <v>398</v>
      </c>
      <c r="B132" s="58" t="s">
        <v>488</v>
      </c>
      <c r="C132" s="59" t="n">
        <v>20</v>
      </c>
      <c r="D132" s="60" t="s">
        <v>334</v>
      </c>
      <c r="E132" s="58"/>
    </row>
    <row r="133" customFormat="false" ht="111.75" hidden="false" customHeight="true" outlineLevel="0" collapsed="false">
      <c r="A133" s="57" t="s">
        <v>400</v>
      </c>
      <c r="B133" s="58" t="s">
        <v>489</v>
      </c>
      <c r="C133" s="59" t="n">
        <v>25</v>
      </c>
      <c r="D133" s="60" t="s">
        <v>334</v>
      </c>
      <c r="E133" s="58"/>
    </row>
    <row r="134" customFormat="false" ht="216" hidden="false" customHeight="true" outlineLevel="0" collapsed="false">
      <c r="A134" s="57" t="s">
        <v>339</v>
      </c>
      <c r="B134" s="58" t="s">
        <v>490</v>
      </c>
      <c r="C134" s="59" t="n">
        <v>20</v>
      </c>
      <c r="D134" s="60" t="s">
        <v>334</v>
      </c>
      <c r="E134" s="58"/>
    </row>
    <row r="135" customFormat="false" ht="21.75" hidden="false" customHeight="true" outlineLevel="0" collapsed="false">
      <c r="A135" s="57" t="s">
        <v>415</v>
      </c>
      <c r="B135" s="58" t="s">
        <v>428</v>
      </c>
      <c r="C135" s="59" t="n">
        <v>20</v>
      </c>
      <c r="D135" s="60" t="s">
        <v>334</v>
      </c>
      <c r="E135" s="58"/>
    </row>
    <row r="136" customFormat="false" ht="6" hidden="false" customHeight="true" outlineLevel="0" collapsed="false"/>
    <row r="137" customFormat="false" ht="25.5" hidden="false" customHeight="true" outlineLevel="0" collapsed="false">
      <c r="A137" s="62" t="s">
        <v>491</v>
      </c>
      <c r="B137" s="62"/>
      <c r="C137" s="62"/>
      <c r="D137" s="62"/>
      <c r="E137" s="62"/>
    </row>
    <row r="138" customFormat="false" ht="21.75" hidden="false" customHeight="true" outlineLevel="0" collapsed="false">
      <c r="A138" s="61" t="s">
        <v>394</v>
      </c>
      <c r="B138" s="58" t="s">
        <v>395</v>
      </c>
      <c r="C138" s="59" t="n">
        <v>5</v>
      </c>
      <c r="D138" s="60" t="s">
        <v>334</v>
      </c>
      <c r="E138" s="58"/>
    </row>
    <row r="139" customFormat="false" ht="46.5" hidden="false" customHeight="true" outlineLevel="0" collapsed="false">
      <c r="A139" s="57" t="s">
        <v>396</v>
      </c>
      <c r="B139" s="58" t="s">
        <v>492</v>
      </c>
      <c r="C139" s="59" t="n">
        <v>10</v>
      </c>
      <c r="D139" s="60" t="s">
        <v>334</v>
      </c>
      <c r="E139" s="58"/>
    </row>
    <row r="140" customFormat="false" ht="99" hidden="false" customHeight="true" outlineLevel="0" collapsed="false">
      <c r="A140" s="57" t="s">
        <v>398</v>
      </c>
      <c r="B140" s="58" t="s">
        <v>493</v>
      </c>
      <c r="C140" s="59" t="n">
        <v>20</v>
      </c>
      <c r="D140" s="60" t="s">
        <v>334</v>
      </c>
      <c r="E140" s="58"/>
    </row>
    <row r="141" customFormat="false" ht="85.5" hidden="false" customHeight="true" outlineLevel="0" collapsed="false">
      <c r="A141" s="57" t="s">
        <v>400</v>
      </c>
      <c r="B141" s="58" t="s">
        <v>494</v>
      </c>
      <c r="C141" s="59" t="n">
        <v>25</v>
      </c>
      <c r="D141" s="60" t="s">
        <v>334</v>
      </c>
      <c r="E141" s="58"/>
    </row>
    <row r="142" customFormat="false" ht="216" hidden="false" customHeight="true" outlineLevel="0" collapsed="false">
      <c r="A142" s="57" t="s">
        <v>339</v>
      </c>
      <c r="B142" s="58" t="s">
        <v>495</v>
      </c>
      <c r="C142" s="59" t="n">
        <v>20</v>
      </c>
      <c r="D142" s="60" t="s">
        <v>334</v>
      </c>
      <c r="E142" s="58"/>
    </row>
    <row r="143" customFormat="false" ht="21.75" hidden="false" customHeight="true" outlineLevel="0" collapsed="false">
      <c r="A143" s="57" t="s">
        <v>341</v>
      </c>
      <c r="B143" s="58" t="s">
        <v>434</v>
      </c>
      <c r="C143" s="59" t="n">
        <v>20</v>
      </c>
      <c r="D143" s="60" t="s">
        <v>334</v>
      </c>
      <c r="E143" s="58"/>
    </row>
    <row r="144" customFormat="false" ht="6" hidden="false" customHeight="true" outlineLevel="0" collapsed="false"/>
    <row r="145" customFormat="false" ht="25.5" hidden="false" customHeight="true" outlineLevel="0" collapsed="false">
      <c r="A145" s="62" t="s">
        <v>496</v>
      </c>
      <c r="B145" s="62"/>
      <c r="C145" s="62"/>
      <c r="D145" s="62"/>
      <c r="E145" s="62"/>
    </row>
    <row r="146" customFormat="false" ht="21.75" hidden="false" customHeight="true" outlineLevel="0" collapsed="false">
      <c r="A146" s="61" t="s">
        <v>394</v>
      </c>
      <c r="B146" s="58" t="s">
        <v>395</v>
      </c>
      <c r="C146" s="59" t="n">
        <v>5</v>
      </c>
      <c r="D146" s="60" t="s">
        <v>334</v>
      </c>
      <c r="E146" s="58"/>
    </row>
    <row r="147" customFormat="false" ht="46.5" hidden="false" customHeight="true" outlineLevel="0" collapsed="false">
      <c r="A147" s="57" t="s">
        <v>396</v>
      </c>
      <c r="B147" s="58" t="s">
        <v>497</v>
      </c>
      <c r="C147" s="59" t="n">
        <v>10</v>
      </c>
      <c r="D147" s="60" t="s">
        <v>334</v>
      </c>
      <c r="E147" s="58"/>
    </row>
    <row r="148" customFormat="false" ht="99" hidden="false" customHeight="true" outlineLevel="0" collapsed="false">
      <c r="A148" s="57" t="s">
        <v>398</v>
      </c>
      <c r="B148" s="58" t="s">
        <v>498</v>
      </c>
      <c r="C148" s="59" t="n">
        <v>20</v>
      </c>
      <c r="D148" s="60" t="s">
        <v>334</v>
      </c>
      <c r="E148" s="58"/>
    </row>
    <row r="149" customFormat="false" ht="111.75" hidden="false" customHeight="true" outlineLevel="0" collapsed="false">
      <c r="A149" s="57" t="s">
        <v>400</v>
      </c>
      <c r="B149" s="58" t="s">
        <v>499</v>
      </c>
      <c r="C149" s="59" t="n">
        <v>25</v>
      </c>
      <c r="D149" s="60" t="s">
        <v>334</v>
      </c>
      <c r="E149" s="58"/>
    </row>
    <row r="150" customFormat="false" ht="216" hidden="false" customHeight="true" outlineLevel="0" collapsed="false">
      <c r="A150" s="57" t="s">
        <v>339</v>
      </c>
      <c r="B150" s="58" t="s">
        <v>500</v>
      </c>
      <c r="C150" s="59" t="n">
        <v>20</v>
      </c>
      <c r="D150" s="60" t="s">
        <v>334</v>
      </c>
      <c r="E150" s="58"/>
    </row>
    <row r="151" customFormat="false" ht="33.75" hidden="false" customHeight="true" outlineLevel="0" collapsed="false">
      <c r="A151" s="57" t="s">
        <v>341</v>
      </c>
      <c r="B151" s="58" t="s">
        <v>403</v>
      </c>
      <c r="C151" s="59" t="n">
        <v>20</v>
      </c>
      <c r="D151" s="60" t="s">
        <v>334</v>
      </c>
      <c r="E151" s="58"/>
    </row>
    <row r="152" customFormat="false" ht="6" hidden="false" customHeight="true" outlineLevel="0" collapsed="false"/>
    <row r="153" customFormat="false" ht="25.5" hidden="false" customHeight="true" outlineLevel="0" collapsed="false">
      <c r="A153" s="62" t="s">
        <v>501</v>
      </c>
      <c r="B153" s="62"/>
      <c r="C153" s="62"/>
      <c r="D153" s="62"/>
      <c r="E153" s="62"/>
    </row>
    <row r="154" customFormat="false" ht="21.75" hidden="false" customHeight="true" outlineLevel="0" collapsed="false">
      <c r="A154" s="61" t="s">
        <v>394</v>
      </c>
      <c r="B154" s="58" t="s">
        <v>395</v>
      </c>
      <c r="C154" s="59" t="n">
        <v>5</v>
      </c>
      <c r="D154" s="60" t="s">
        <v>334</v>
      </c>
      <c r="E154" s="58"/>
    </row>
    <row r="155" customFormat="false" ht="46.5" hidden="false" customHeight="true" outlineLevel="0" collapsed="false">
      <c r="A155" s="57" t="s">
        <v>396</v>
      </c>
      <c r="B155" s="58" t="s">
        <v>502</v>
      </c>
      <c r="C155" s="59" t="n">
        <v>10</v>
      </c>
      <c r="D155" s="60" t="s">
        <v>334</v>
      </c>
      <c r="E155" s="58"/>
    </row>
    <row r="156" customFormat="false" ht="99" hidden="false" customHeight="true" outlineLevel="0" collapsed="false">
      <c r="A156" s="57" t="s">
        <v>398</v>
      </c>
      <c r="B156" s="58" t="s">
        <v>503</v>
      </c>
      <c r="C156" s="59" t="n">
        <v>20</v>
      </c>
      <c r="D156" s="60" t="s">
        <v>334</v>
      </c>
      <c r="E156" s="58"/>
    </row>
    <row r="157" customFormat="false" ht="85.5" hidden="false" customHeight="true" outlineLevel="0" collapsed="false">
      <c r="A157" s="57" t="s">
        <v>400</v>
      </c>
      <c r="B157" s="58" t="s">
        <v>504</v>
      </c>
      <c r="C157" s="59" t="n">
        <v>25</v>
      </c>
      <c r="D157" s="60" t="s">
        <v>334</v>
      </c>
      <c r="E157" s="58"/>
    </row>
    <row r="158" customFormat="false" ht="216" hidden="false" customHeight="true" outlineLevel="0" collapsed="false">
      <c r="A158" s="57" t="s">
        <v>339</v>
      </c>
      <c r="B158" s="58" t="s">
        <v>505</v>
      </c>
      <c r="C158" s="59" t="n">
        <v>20</v>
      </c>
      <c r="D158" s="60" t="s">
        <v>334</v>
      </c>
      <c r="E158" s="58"/>
    </row>
    <row r="159" customFormat="false" ht="21.75" hidden="false" customHeight="true" outlineLevel="0" collapsed="false">
      <c r="A159" s="57" t="s">
        <v>341</v>
      </c>
      <c r="B159" s="58" t="s">
        <v>409</v>
      </c>
      <c r="C159" s="59" t="n">
        <v>20</v>
      </c>
      <c r="D159" s="60" t="s">
        <v>334</v>
      </c>
      <c r="E159" s="58"/>
    </row>
    <row r="160" customFormat="false" ht="6" hidden="false" customHeight="true" outlineLevel="0" collapsed="false"/>
    <row r="161" customFormat="false" ht="25.5" hidden="false" customHeight="true" outlineLevel="0" collapsed="false">
      <c r="A161" s="63" t="s">
        <v>506</v>
      </c>
      <c r="B161" s="63"/>
      <c r="C161" s="63"/>
      <c r="D161" s="63"/>
      <c r="E161" s="63"/>
    </row>
    <row r="162" customFormat="false" ht="33.75" hidden="false" customHeight="true" outlineLevel="0" collapsed="false">
      <c r="A162" s="57" t="s">
        <v>398</v>
      </c>
      <c r="B162" s="58" t="s">
        <v>436</v>
      </c>
      <c r="C162" s="59" t="n">
        <v>25</v>
      </c>
      <c r="D162" s="60" t="s">
        <v>334</v>
      </c>
      <c r="E162" s="58"/>
    </row>
    <row r="163" customFormat="false" ht="21.75" hidden="false" customHeight="true" outlineLevel="0" collapsed="false">
      <c r="A163" s="57" t="s">
        <v>396</v>
      </c>
      <c r="B163" s="58" t="s">
        <v>437</v>
      </c>
      <c r="C163" s="59" t="n">
        <v>10</v>
      </c>
      <c r="D163" s="60" t="s">
        <v>334</v>
      </c>
      <c r="E163" s="58"/>
    </row>
    <row r="164" customFormat="false" ht="21.75" hidden="false" customHeight="true" outlineLevel="0" collapsed="false">
      <c r="A164" s="57" t="s">
        <v>400</v>
      </c>
      <c r="B164" s="58" t="s">
        <v>507</v>
      </c>
      <c r="C164" s="59" t="n">
        <v>25</v>
      </c>
      <c r="D164" s="60" t="s">
        <v>334</v>
      </c>
      <c r="E164" s="58"/>
    </row>
    <row r="165" customFormat="false" ht="21.75" hidden="false" customHeight="true" outlineLevel="0" collapsed="false">
      <c r="A165" s="57" t="s">
        <v>339</v>
      </c>
      <c r="B165" s="58" t="s">
        <v>508</v>
      </c>
      <c r="C165" s="59" t="n">
        <v>20</v>
      </c>
      <c r="D165" s="60" t="s">
        <v>334</v>
      </c>
      <c r="E165" s="58"/>
    </row>
    <row r="166" customFormat="false" ht="21.75" hidden="false" customHeight="true" outlineLevel="0" collapsed="false">
      <c r="A166" s="57" t="s">
        <v>440</v>
      </c>
      <c r="B166" s="58" t="s">
        <v>509</v>
      </c>
      <c r="C166" s="59" t="n">
        <v>25</v>
      </c>
      <c r="D166" s="60" t="s">
        <v>334</v>
      </c>
      <c r="E166" s="58"/>
    </row>
    <row r="167" customFormat="false" ht="6" hidden="false" customHeight="true" outlineLevel="0" collapsed="false"/>
    <row r="168" customFormat="false" ht="25.5" hidden="false" customHeight="true" outlineLevel="0" collapsed="false">
      <c r="A168" s="62" t="s">
        <v>510</v>
      </c>
      <c r="B168" s="62"/>
      <c r="C168" s="62"/>
      <c r="D168" s="62"/>
      <c r="E168" s="62"/>
    </row>
    <row r="169" customFormat="false" ht="21.75" hidden="false" customHeight="true" outlineLevel="0" collapsed="false">
      <c r="A169" s="61" t="s">
        <v>394</v>
      </c>
      <c r="B169" s="58" t="s">
        <v>395</v>
      </c>
      <c r="C169" s="59" t="n">
        <v>5</v>
      </c>
      <c r="D169" s="60" t="s">
        <v>334</v>
      </c>
      <c r="E169" s="58"/>
    </row>
    <row r="170" customFormat="false" ht="46.5" hidden="false" customHeight="true" outlineLevel="0" collapsed="false">
      <c r="A170" s="57" t="s">
        <v>396</v>
      </c>
      <c r="B170" s="58" t="s">
        <v>511</v>
      </c>
      <c r="C170" s="59" t="n">
        <v>10</v>
      </c>
      <c r="D170" s="60" t="s">
        <v>334</v>
      </c>
      <c r="E170" s="58"/>
    </row>
    <row r="171" customFormat="false" ht="99" hidden="false" customHeight="true" outlineLevel="0" collapsed="false">
      <c r="A171" s="57" t="s">
        <v>398</v>
      </c>
      <c r="B171" s="58" t="s">
        <v>512</v>
      </c>
      <c r="C171" s="59" t="n">
        <v>20</v>
      </c>
      <c r="D171" s="60" t="s">
        <v>334</v>
      </c>
      <c r="E171" s="58"/>
    </row>
    <row r="172" customFormat="false" ht="85.5" hidden="false" customHeight="true" outlineLevel="0" collapsed="false">
      <c r="A172" s="57" t="s">
        <v>400</v>
      </c>
      <c r="B172" s="58" t="s">
        <v>513</v>
      </c>
      <c r="C172" s="59" t="n">
        <v>25</v>
      </c>
      <c r="D172" s="60" t="s">
        <v>334</v>
      </c>
      <c r="E172" s="58"/>
    </row>
    <row r="173" customFormat="false" ht="216" hidden="false" customHeight="true" outlineLevel="0" collapsed="false">
      <c r="A173" s="57" t="s">
        <v>339</v>
      </c>
      <c r="B173" s="58" t="s">
        <v>514</v>
      </c>
      <c r="C173" s="59" t="n">
        <v>20</v>
      </c>
      <c r="D173" s="60" t="s">
        <v>334</v>
      </c>
      <c r="E173" s="58"/>
    </row>
    <row r="174" customFormat="false" ht="21.75" hidden="false" customHeight="true" outlineLevel="0" collapsed="false">
      <c r="A174" s="57" t="s">
        <v>341</v>
      </c>
      <c r="B174" s="58" t="s">
        <v>422</v>
      </c>
      <c r="C174" s="59" t="n">
        <v>20</v>
      </c>
      <c r="D174" s="60" t="s">
        <v>334</v>
      </c>
      <c r="E174" s="58"/>
    </row>
    <row r="175" customFormat="false" ht="6" hidden="false" customHeight="true" outlineLevel="0" collapsed="false"/>
    <row r="176" customFormat="false" ht="25.5" hidden="false" customHeight="true" outlineLevel="0" collapsed="false">
      <c r="A176" s="62" t="s">
        <v>515</v>
      </c>
      <c r="B176" s="62"/>
      <c r="C176" s="62"/>
      <c r="D176" s="62"/>
      <c r="E176" s="62"/>
    </row>
    <row r="177" customFormat="false" ht="21.75" hidden="false" customHeight="true" outlineLevel="0" collapsed="false">
      <c r="A177" s="61" t="s">
        <v>394</v>
      </c>
      <c r="B177" s="58" t="s">
        <v>395</v>
      </c>
      <c r="C177" s="59" t="n">
        <v>5</v>
      </c>
      <c r="D177" s="60" t="s">
        <v>334</v>
      </c>
      <c r="E177" s="58"/>
    </row>
    <row r="178" customFormat="false" ht="46.5" hidden="false" customHeight="true" outlineLevel="0" collapsed="false">
      <c r="A178" s="57" t="s">
        <v>396</v>
      </c>
      <c r="B178" s="58" t="s">
        <v>516</v>
      </c>
      <c r="C178" s="59" t="n">
        <v>10</v>
      </c>
      <c r="D178" s="60" t="s">
        <v>334</v>
      </c>
      <c r="E178" s="58"/>
    </row>
    <row r="179" customFormat="false" ht="99" hidden="false" customHeight="true" outlineLevel="0" collapsed="false">
      <c r="A179" s="57" t="s">
        <v>398</v>
      </c>
      <c r="B179" s="58" t="s">
        <v>517</v>
      </c>
      <c r="C179" s="59" t="n">
        <v>20</v>
      </c>
      <c r="D179" s="60" t="s">
        <v>334</v>
      </c>
      <c r="E179" s="58"/>
    </row>
    <row r="180" customFormat="false" ht="85.5" hidden="false" customHeight="true" outlineLevel="0" collapsed="false">
      <c r="A180" s="57" t="s">
        <v>400</v>
      </c>
      <c r="B180" s="58" t="s">
        <v>518</v>
      </c>
      <c r="C180" s="59" t="n">
        <v>25</v>
      </c>
      <c r="D180" s="60" t="s">
        <v>334</v>
      </c>
      <c r="E180" s="58"/>
    </row>
    <row r="181" customFormat="false" ht="216" hidden="false" customHeight="true" outlineLevel="0" collapsed="false">
      <c r="A181" s="57" t="s">
        <v>339</v>
      </c>
      <c r="B181" s="58" t="s">
        <v>519</v>
      </c>
      <c r="C181" s="59" t="n">
        <v>20</v>
      </c>
      <c r="D181" s="60" t="s">
        <v>334</v>
      </c>
      <c r="E181" s="58"/>
    </row>
    <row r="182" customFormat="false" ht="21.75" hidden="false" customHeight="true" outlineLevel="0" collapsed="false">
      <c r="A182" s="57" t="s">
        <v>415</v>
      </c>
      <c r="B182" s="58" t="s">
        <v>428</v>
      </c>
      <c r="C182" s="59" t="n">
        <v>20</v>
      </c>
      <c r="D182" s="60" t="s">
        <v>334</v>
      </c>
      <c r="E182" s="58"/>
    </row>
    <row r="183" customFormat="false" ht="6" hidden="false" customHeight="true" outlineLevel="0" collapsed="false"/>
    <row r="184" customFormat="false" ht="25.5" hidden="false" customHeight="true" outlineLevel="0" collapsed="false">
      <c r="A184" s="62" t="s">
        <v>520</v>
      </c>
      <c r="B184" s="62"/>
      <c r="C184" s="62"/>
      <c r="D184" s="62"/>
      <c r="E184" s="62"/>
    </row>
    <row r="185" customFormat="false" ht="21.75" hidden="false" customHeight="true" outlineLevel="0" collapsed="false">
      <c r="A185" s="61" t="s">
        <v>394</v>
      </c>
      <c r="B185" s="58" t="s">
        <v>395</v>
      </c>
      <c r="C185" s="59" t="n">
        <v>5</v>
      </c>
      <c r="D185" s="60" t="s">
        <v>334</v>
      </c>
      <c r="E185" s="58"/>
    </row>
    <row r="186" customFormat="false" ht="46.5" hidden="false" customHeight="true" outlineLevel="0" collapsed="false">
      <c r="A186" s="57" t="s">
        <v>396</v>
      </c>
      <c r="B186" s="58" t="s">
        <v>521</v>
      </c>
      <c r="C186" s="59" t="n">
        <v>10</v>
      </c>
      <c r="D186" s="60" t="s">
        <v>334</v>
      </c>
      <c r="E186" s="58"/>
    </row>
    <row r="187" customFormat="false" ht="111.75" hidden="false" customHeight="true" outlineLevel="0" collapsed="false">
      <c r="A187" s="57" t="s">
        <v>398</v>
      </c>
      <c r="B187" s="58" t="s">
        <v>522</v>
      </c>
      <c r="C187" s="59" t="n">
        <v>20</v>
      </c>
      <c r="D187" s="60" t="s">
        <v>334</v>
      </c>
      <c r="E187" s="58"/>
    </row>
    <row r="188" customFormat="false" ht="111.75" hidden="false" customHeight="true" outlineLevel="0" collapsed="false">
      <c r="A188" s="57" t="s">
        <v>400</v>
      </c>
      <c r="B188" s="58" t="s">
        <v>523</v>
      </c>
      <c r="C188" s="59" t="n">
        <v>25</v>
      </c>
      <c r="D188" s="60" t="s">
        <v>334</v>
      </c>
      <c r="E188" s="58"/>
    </row>
    <row r="189" customFormat="false" ht="216" hidden="false" customHeight="true" outlineLevel="0" collapsed="false">
      <c r="A189" s="57" t="s">
        <v>339</v>
      </c>
      <c r="B189" s="58" t="s">
        <v>524</v>
      </c>
      <c r="C189" s="59" t="n">
        <v>20</v>
      </c>
      <c r="D189" s="60" t="s">
        <v>334</v>
      </c>
      <c r="E189" s="58"/>
    </row>
    <row r="190" customFormat="false" ht="21.75" hidden="false" customHeight="true" outlineLevel="0" collapsed="false">
      <c r="A190" s="57" t="s">
        <v>341</v>
      </c>
      <c r="B190" s="58" t="s">
        <v>434</v>
      </c>
      <c r="C190" s="59" t="n">
        <v>20</v>
      </c>
      <c r="D190" s="60" t="s">
        <v>334</v>
      </c>
      <c r="E190" s="58"/>
    </row>
    <row r="191" customFormat="false" ht="6" hidden="false" customHeight="true" outlineLevel="0" collapsed="false"/>
    <row r="192" customFormat="false" ht="25.5" hidden="false" customHeight="true" outlineLevel="0" collapsed="false">
      <c r="A192" s="62" t="s">
        <v>525</v>
      </c>
      <c r="B192" s="62"/>
      <c r="C192" s="62"/>
      <c r="D192" s="62"/>
      <c r="E192" s="62"/>
    </row>
    <row r="193" customFormat="false" ht="21.75" hidden="false" customHeight="true" outlineLevel="0" collapsed="false">
      <c r="A193" s="61" t="s">
        <v>394</v>
      </c>
      <c r="B193" s="58" t="s">
        <v>395</v>
      </c>
      <c r="C193" s="59" t="n">
        <v>5</v>
      </c>
      <c r="D193" s="60" t="s">
        <v>334</v>
      </c>
      <c r="E193" s="58"/>
    </row>
    <row r="194" customFormat="false" ht="46.5" hidden="false" customHeight="true" outlineLevel="0" collapsed="false">
      <c r="A194" s="57" t="s">
        <v>396</v>
      </c>
      <c r="B194" s="58" t="s">
        <v>526</v>
      </c>
      <c r="C194" s="59" t="n">
        <v>10</v>
      </c>
      <c r="D194" s="60" t="s">
        <v>334</v>
      </c>
      <c r="E194" s="58"/>
    </row>
    <row r="195" customFormat="false" ht="99" hidden="false" customHeight="true" outlineLevel="0" collapsed="false">
      <c r="A195" s="57" t="s">
        <v>398</v>
      </c>
      <c r="B195" s="58" t="s">
        <v>527</v>
      </c>
      <c r="C195" s="59" t="n">
        <v>20</v>
      </c>
      <c r="D195" s="60" t="s">
        <v>334</v>
      </c>
      <c r="E195" s="58"/>
    </row>
    <row r="196" customFormat="false" ht="85.5" hidden="false" customHeight="true" outlineLevel="0" collapsed="false">
      <c r="A196" s="57" t="s">
        <v>400</v>
      </c>
      <c r="B196" s="58" t="s">
        <v>528</v>
      </c>
      <c r="C196" s="59" t="n">
        <v>25</v>
      </c>
      <c r="D196" s="60" t="s">
        <v>334</v>
      </c>
      <c r="E196" s="58"/>
    </row>
    <row r="197" customFormat="false" ht="216" hidden="false" customHeight="true" outlineLevel="0" collapsed="false">
      <c r="A197" s="57" t="s">
        <v>339</v>
      </c>
      <c r="B197" s="58" t="s">
        <v>529</v>
      </c>
      <c r="C197" s="59" t="n">
        <v>20</v>
      </c>
      <c r="D197" s="60" t="s">
        <v>334</v>
      </c>
      <c r="E197" s="58"/>
    </row>
    <row r="198" customFormat="false" ht="33.75" hidden="false" customHeight="true" outlineLevel="0" collapsed="false">
      <c r="A198" s="57" t="s">
        <v>341</v>
      </c>
      <c r="B198" s="58" t="s">
        <v>403</v>
      </c>
      <c r="C198" s="59" t="n">
        <v>20</v>
      </c>
      <c r="D198" s="60" t="s">
        <v>334</v>
      </c>
      <c r="E198" s="58"/>
    </row>
    <row r="199" customFormat="false" ht="6" hidden="false" customHeight="true" outlineLevel="0" collapsed="false"/>
    <row r="200" customFormat="false" ht="25.5" hidden="false" customHeight="true" outlineLevel="0" collapsed="false">
      <c r="A200" s="62" t="s">
        <v>530</v>
      </c>
      <c r="B200" s="62"/>
      <c r="C200" s="62"/>
      <c r="D200" s="62"/>
      <c r="E200" s="62"/>
    </row>
    <row r="201" customFormat="false" ht="21.75" hidden="false" customHeight="true" outlineLevel="0" collapsed="false">
      <c r="A201" s="61" t="s">
        <v>394</v>
      </c>
      <c r="B201" s="58" t="s">
        <v>395</v>
      </c>
      <c r="C201" s="59" t="n">
        <v>5</v>
      </c>
      <c r="D201" s="60" t="s">
        <v>334</v>
      </c>
      <c r="E201" s="58"/>
    </row>
    <row r="202" customFormat="false" ht="46.5" hidden="false" customHeight="true" outlineLevel="0" collapsed="false">
      <c r="A202" s="57" t="s">
        <v>396</v>
      </c>
      <c r="B202" s="58" t="s">
        <v>531</v>
      </c>
      <c r="C202" s="59" t="n">
        <v>10</v>
      </c>
      <c r="D202" s="60" t="s">
        <v>334</v>
      </c>
      <c r="E202" s="58"/>
    </row>
    <row r="203" customFormat="false" ht="99" hidden="false" customHeight="true" outlineLevel="0" collapsed="false">
      <c r="A203" s="57" t="s">
        <v>398</v>
      </c>
      <c r="B203" s="58" t="s">
        <v>532</v>
      </c>
      <c r="C203" s="59" t="n">
        <v>20</v>
      </c>
      <c r="D203" s="60" t="s">
        <v>334</v>
      </c>
      <c r="E203" s="58"/>
    </row>
    <row r="204" customFormat="false" ht="85.5" hidden="false" customHeight="true" outlineLevel="0" collapsed="false">
      <c r="A204" s="57" t="s">
        <v>400</v>
      </c>
      <c r="B204" s="58" t="s">
        <v>533</v>
      </c>
      <c r="C204" s="59" t="n">
        <v>25</v>
      </c>
      <c r="D204" s="60" t="s">
        <v>334</v>
      </c>
      <c r="E204" s="58"/>
    </row>
    <row r="205" customFormat="false" ht="216" hidden="false" customHeight="true" outlineLevel="0" collapsed="false">
      <c r="A205" s="57" t="s">
        <v>339</v>
      </c>
      <c r="B205" s="58" t="s">
        <v>534</v>
      </c>
      <c r="C205" s="59" t="n">
        <v>20</v>
      </c>
      <c r="D205" s="60" t="s">
        <v>334</v>
      </c>
      <c r="E205" s="58"/>
    </row>
    <row r="206" customFormat="false" ht="21.75" hidden="false" customHeight="true" outlineLevel="0" collapsed="false">
      <c r="A206" s="57" t="s">
        <v>341</v>
      </c>
      <c r="B206" s="58" t="s">
        <v>409</v>
      </c>
      <c r="C206" s="59" t="n">
        <v>20</v>
      </c>
      <c r="D206" s="60" t="s">
        <v>334</v>
      </c>
      <c r="E206" s="58"/>
    </row>
    <row r="207" customFormat="false" ht="6" hidden="false" customHeight="true" outlineLevel="0" collapsed="false"/>
    <row r="208" customFormat="false" ht="25.5" hidden="false" customHeight="true" outlineLevel="0" collapsed="false">
      <c r="A208" s="62" t="s">
        <v>535</v>
      </c>
      <c r="B208" s="62"/>
      <c r="C208" s="62"/>
      <c r="D208" s="62"/>
      <c r="E208" s="62"/>
    </row>
    <row r="209" customFormat="false" ht="21.75" hidden="false" customHeight="true" outlineLevel="0" collapsed="false">
      <c r="A209" s="61" t="s">
        <v>394</v>
      </c>
      <c r="B209" s="58" t="s">
        <v>395</v>
      </c>
      <c r="C209" s="59" t="n">
        <v>5</v>
      </c>
      <c r="D209" s="60" t="s">
        <v>334</v>
      </c>
      <c r="E209" s="58"/>
    </row>
    <row r="210" customFormat="false" ht="46.5" hidden="false" customHeight="true" outlineLevel="0" collapsed="false">
      <c r="A210" s="57" t="s">
        <v>396</v>
      </c>
      <c r="B210" s="58" t="s">
        <v>536</v>
      </c>
      <c r="C210" s="59" t="n">
        <v>10</v>
      </c>
      <c r="D210" s="60" t="s">
        <v>334</v>
      </c>
      <c r="E210" s="58"/>
    </row>
    <row r="211" customFormat="false" ht="99" hidden="false" customHeight="true" outlineLevel="0" collapsed="false">
      <c r="A211" s="57" t="s">
        <v>398</v>
      </c>
      <c r="B211" s="58" t="s">
        <v>537</v>
      </c>
      <c r="C211" s="59" t="n">
        <v>20</v>
      </c>
      <c r="D211" s="60" t="s">
        <v>334</v>
      </c>
      <c r="E211" s="58"/>
    </row>
    <row r="212" customFormat="false" ht="85.5" hidden="false" customHeight="true" outlineLevel="0" collapsed="false">
      <c r="A212" s="57" t="s">
        <v>400</v>
      </c>
      <c r="B212" s="58" t="s">
        <v>538</v>
      </c>
      <c r="C212" s="59" t="n">
        <v>25</v>
      </c>
      <c r="D212" s="60" t="s">
        <v>334</v>
      </c>
      <c r="E212" s="58"/>
    </row>
    <row r="213" customFormat="false" ht="216" hidden="false" customHeight="true" outlineLevel="0" collapsed="false">
      <c r="A213" s="57" t="s">
        <v>339</v>
      </c>
      <c r="B213" s="58" t="s">
        <v>539</v>
      </c>
      <c r="C213" s="59" t="n">
        <v>20</v>
      </c>
      <c r="D213" s="60" t="s">
        <v>334</v>
      </c>
      <c r="E213" s="58"/>
    </row>
    <row r="214" customFormat="false" ht="21.75" hidden="false" customHeight="true" outlineLevel="0" collapsed="false">
      <c r="A214" s="57" t="s">
        <v>415</v>
      </c>
      <c r="B214" s="58" t="s">
        <v>416</v>
      </c>
      <c r="C214" s="59" t="n">
        <v>20</v>
      </c>
      <c r="D214" s="60" t="s">
        <v>334</v>
      </c>
      <c r="E214" s="58"/>
    </row>
    <row r="215" customFormat="false" ht="6" hidden="false" customHeight="true" outlineLevel="0" collapsed="false"/>
    <row r="216" customFormat="false" ht="25.5" hidden="false" customHeight="true" outlineLevel="0" collapsed="false">
      <c r="A216" s="63" t="s">
        <v>540</v>
      </c>
      <c r="B216" s="63"/>
      <c r="C216" s="63"/>
      <c r="D216" s="63"/>
      <c r="E216" s="63"/>
    </row>
    <row r="217" customFormat="false" ht="33.75" hidden="false" customHeight="true" outlineLevel="0" collapsed="false">
      <c r="A217" s="57" t="s">
        <v>398</v>
      </c>
      <c r="B217" s="58" t="s">
        <v>436</v>
      </c>
      <c r="C217" s="59" t="n">
        <v>25</v>
      </c>
      <c r="D217" s="60" t="s">
        <v>334</v>
      </c>
      <c r="E217" s="58"/>
    </row>
    <row r="218" customFormat="false" ht="21.75" hidden="false" customHeight="true" outlineLevel="0" collapsed="false">
      <c r="A218" s="57" t="s">
        <v>396</v>
      </c>
      <c r="B218" s="58" t="s">
        <v>437</v>
      </c>
      <c r="C218" s="59" t="n">
        <v>10</v>
      </c>
      <c r="D218" s="60" t="s">
        <v>334</v>
      </c>
      <c r="E218" s="58"/>
    </row>
    <row r="219" customFormat="false" ht="21.75" hidden="false" customHeight="true" outlineLevel="0" collapsed="false">
      <c r="A219" s="57" t="s">
        <v>400</v>
      </c>
      <c r="B219" s="58" t="s">
        <v>541</v>
      </c>
      <c r="C219" s="59" t="n">
        <v>25</v>
      </c>
      <c r="D219" s="60" t="s">
        <v>334</v>
      </c>
      <c r="E219" s="58"/>
    </row>
    <row r="220" customFormat="false" ht="21.75" hidden="false" customHeight="true" outlineLevel="0" collapsed="false">
      <c r="A220" s="57" t="s">
        <v>339</v>
      </c>
      <c r="B220" s="58" t="s">
        <v>542</v>
      </c>
      <c r="C220" s="59" t="n">
        <v>20</v>
      </c>
      <c r="D220" s="60" t="s">
        <v>334</v>
      </c>
      <c r="E220" s="58"/>
    </row>
    <row r="221" customFormat="false" ht="21.75" hidden="false" customHeight="true" outlineLevel="0" collapsed="false">
      <c r="A221" s="57" t="s">
        <v>440</v>
      </c>
      <c r="B221" s="58" t="s">
        <v>543</v>
      </c>
      <c r="C221" s="59" t="n">
        <v>25</v>
      </c>
      <c r="D221" s="60" t="s">
        <v>334</v>
      </c>
      <c r="E221" s="58"/>
    </row>
    <row r="222" customFormat="false" ht="6" hidden="false" customHeight="true" outlineLevel="0" collapsed="false"/>
    <row r="223" customFormat="false" ht="25.5" hidden="false" customHeight="true" outlineLevel="0" collapsed="false">
      <c r="A223" s="62" t="s">
        <v>544</v>
      </c>
      <c r="B223" s="62"/>
      <c r="C223" s="62"/>
      <c r="D223" s="62"/>
      <c r="E223" s="62"/>
    </row>
    <row r="224" customFormat="false" ht="21.75" hidden="false" customHeight="true" outlineLevel="0" collapsed="false">
      <c r="A224" s="61" t="s">
        <v>394</v>
      </c>
      <c r="B224" s="58" t="s">
        <v>395</v>
      </c>
      <c r="C224" s="59" t="n">
        <v>5</v>
      </c>
      <c r="D224" s="60" t="s">
        <v>334</v>
      </c>
      <c r="E224" s="58"/>
    </row>
    <row r="225" customFormat="false" ht="46.5" hidden="false" customHeight="true" outlineLevel="0" collapsed="false">
      <c r="A225" s="57" t="s">
        <v>396</v>
      </c>
      <c r="B225" s="58" t="s">
        <v>545</v>
      </c>
      <c r="C225" s="59" t="n">
        <v>10</v>
      </c>
      <c r="D225" s="60" t="s">
        <v>334</v>
      </c>
      <c r="E225" s="58"/>
    </row>
    <row r="226" customFormat="false" ht="99" hidden="false" customHeight="true" outlineLevel="0" collapsed="false">
      <c r="A226" s="57" t="s">
        <v>398</v>
      </c>
      <c r="B226" s="58" t="s">
        <v>546</v>
      </c>
      <c r="C226" s="59" t="n">
        <v>20</v>
      </c>
      <c r="D226" s="60" t="s">
        <v>334</v>
      </c>
      <c r="E226" s="58"/>
    </row>
    <row r="227" customFormat="false" ht="85.5" hidden="false" customHeight="true" outlineLevel="0" collapsed="false">
      <c r="A227" s="57" t="s">
        <v>400</v>
      </c>
      <c r="B227" s="58" t="s">
        <v>547</v>
      </c>
      <c r="C227" s="59" t="n">
        <v>25</v>
      </c>
      <c r="D227" s="60" t="s">
        <v>334</v>
      </c>
      <c r="E227" s="58"/>
    </row>
    <row r="228" customFormat="false" ht="216" hidden="false" customHeight="true" outlineLevel="0" collapsed="false">
      <c r="A228" s="57" t="s">
        <v>339</v>
      </c>
      <c r="B228" s="58" t="s">
        <v>548</v>
      </c>
      <c r="C228" s="59" t="n">
        <v>20</v>
      </c>
      <c r="D228" s="60" t="s">
        <v>334</v>
      </c>
      <c r="E228" s="58"/>
    </row>
    <row r="229" customFormat="false" ht="21.75" hidden="false" customHeight="true" outlineLevel="0" collapsed="false">
      <c r="A229" s="57" t="s">
        <v>415</v>
      </c>
      <c r="B229" s="58" t="s">
        <v>428</v>
      </c>
      <c r="C229" s="59" t="n">
        <v>20</v>
      </c>
      <c r="D229" s="60" t="s">
        <v>334</v>
      </c>
      <c r="E229" s="58"/>
    </row>
    <row r="230" customFormat="false" ht="6" hidden="false" customHeight="true" outlineLevel="0" collapsed="false"/>
    <row r="231" customFormat="false" ht="25.5" hidden="false" customHeight="true" outlineLevel="0" collapsed="false">
      <c r="A231" s="62" t="s">
        <v>549</v>
      </c>
      <c r="B231" s="62"/>
      <c r="C231" s="62"/>
      <c r="D231" s="62"/>
      <c r="E231" s="62"/>
    </row>
    <row r="232" customFormat="false" ht="21.75" hidden="false" customHeight="true" outlineLevel="0" collapsed="false">
      <c r="A232" s="61" t="s">
        <v>394</v>
      </c>
      <c r="B232" s="58" t="s">
        <v>395</v>
      </c>
      <c r="C232" s="59" t="n">
        <v>5</v>
      </c>
      <c r="D232" s="60" t="s">
        <v>334</v>
      </c>
      <c r="E232" s="58"/>
    </row>
    <row r="233" customFormat="false" ht="46.5" hidden="false" customHeight="true" outlineLevel="0" collapsed="false">
      <c r="A233" s="57" t="s">
        <v>396</v>
      </c>
      <c r="B233" s="58" t="s">
        <v>550</v>
      </c>
      <c r="C233" s="59" t="n">
        <v>10</v>
      </c>
      <c r="D233" s="60" t="s">
        <v>334</v>
      </c>
      <c r="E233" s="58"/>
    </row>
    <row r="234" customFormat="false" ht="99" hidden="false" customHeight="true" outlineLevel="0" collapsed="false">
      <c r="A234" s="57" t="s">
        <v>398</v>
      </c>
      <c r="B234" s="58" t="s">
        <v>551</v>
      </c>
      <c r="C234" s="59" t="n">
        <v>20</v>
      </c>
      <c r="D234" s="60" t="s">
        <v>334</v>
      </c>
      <c r="E234" s="58"/>
    </row>
    <row r="235" customFormat="false" ht="85.5" hidden="false" customHeight="true" outlineLevel="0" collapsed="false">
      <c r="A235" s="57" t="s">
        <v>400</v>
      </c>
      <c r="B235" s="58" t="s">
        <v>552</v>
      </c>
      <c r="C235" s="59" t="n">
        <v>25</v>
      </c>
      <c r="D235" s="60" t="s">
        <v>334</v>
      </c>
      <c r="E235" s="58"/>
    </row>
    <row r="236" customFormat="false" ht="216" hidden="false" customHeight="true" outlineLevel="0" collapsed="false">
      <c r="A236" s="57" t="s">
        <v>339</v>
      </c>
      <c r="B236" s="58" t="s">
        <v>553</v>
      </c>
      <c r="C236" s="59" t="n">
        <v>20</v>
      </c>
      <c r="D236" s="60" t="s">
        <v>334</v>
      </c>
      <c r="E236" s="58"/>
    </row>
    <row r="237" customFormat="false" ht="21.75" hidden="false" customHeight="true" outlineLevel="0" collapsed="false">
      <c r="A237" s="57" t="s">
        <v>341</v>
      </c>
      <c r="B237" s="58" t="s">
        <v>434</v>
      </c>
      <c r="C237" s="59" t="n">
        <v>20</v>
      </c>
      <c r="D237" s="60" t="s">
        <v>334</v>
      </c>
      <c r="E237" s="58"/>
    </row>
    <row r="238" customFormat="false" ht="6" hidden="false" customHeight="true" outlineLevel="0" collapsed="false"/>
    <row r="239" customFormat="false" ht="25.5" hidden="false" customHeight="true" outlineLevel="0" collapsed="false">
      <c r="A239" s="62" t="s">
        <v>554</v>
      </c>
      <c r="B239" s="62"/>
      <c r="C239" s="62"/>
      <c r="D239" s="62"/>
      <c r="E239" s="62"/>
    </row>
    <row r="240" customFormat="false" ht="21.75" hidden="false" customHeight="true" outlineLevel="0" collapsed="false">
      <c r="A240" s="61" t="s">
        <v>394</v>
      </c>
      <c r="B240" s="58" t="s">
        <v>395</v>
      </c>
      <c r="C240" s="59" t="n">
        <v>5</v>
      </c>
      <c r="D240" s="60" t="s">
        <v>334</v>
      </c>
      <c r="E240" s="58"/>
    </row>
    <row r="241" customFormat="false" ht="46.5" hidden="false" customHeight="true" outlineLevel="0" collapsed="false">
      <c r="A241" s="57" t="s">
        <v>396</v>
      </c>
      <c r="B241" s="58" t="s">
        <v>555</v>
      </c>
      <c r="C241" s="59" t="n">
        <v>10</v>
      </c>
      <c r="D241" s="60" t="s">
        <v>334</v>
      </c>
      <c r="E241" s="58"/>
    </row>
    <row r="242" customFormat="false" ht="111.75" hidden="false" customHeight="true" outlineLevel="0" collapsed="false">
      <c r="A242" s="57" t="s">
        <v>398</v>
      </c>
      <c r="B242" s="58" t="s">
        <v>556</v>
      </c>
      <c r="C242" s="59" t="n">
        <v>20</v>
      </c>
      <c r="D242" s="60" t="s">
        <v>334</v>
      </c>
      <c r="E242" s="58"/>
    </row>
    <row r="243" customFormat="false" ht="99" hidden="false" customHeight="true" outlineLevel="0" collapsed="false">
      <c r="A243" s="57" t="s">
        <v>400</v>
      </c>
      <c r="B243" s="58" t="s">
        <v>557</v>
      </c>
      <c r="C243" s="59" t="n">
        <v>25</v>
      </c>
      <c r="D243" s="60" t="s">
        <v>334</v>
      </c>
      <c r="E243" s="58"/>
    </row>
    <row r="244" customFormat="false" ht="163.5" hidden="false" customHeight="true" outlineLevel="0" collapsed="false">
      <c r="A244" s="57" t="s">
        <v>339</v>
      </c>
      <c r="B244" s="58" t="s">
        <v>558</v>
      </c>
      <c r="C244" s="59" t="n">
        <v>20</v>
      </c>
      <c r="D244" s="60" t="s">
        <v>334</v>
      </c>
      <c r="E244" s="58"/>
    </row>
    <row r="245" customFormat="false" ht="33.75" hidden="false" customHeight="true" outlineLevel="0" collapsed="false">
      <c r="A245" s="57" t="s">
        <v>341</v>
      </c>
      <c r="B245" s="58" t="s">
        <v>403</v>
      </c>
      <c r="C245" s="59" t="n">
        <v>20</v>
      </c>
      <c r="D245" s="60" t="s">
        <v>334</v>
      </c>
      <c r="E245" s="58"/>
    </row>
    <row r="246" customFormat="false" ht="6" hidden="false" customHeight="true" outlineLevel="0" collapsed="false"/>
  </sheetData>
  <mergeCells count="32">
    <mergeCell ref="A1:E1"/>
    <mergeCell ref="A3:E3"/>
    <mergeCell ref="A11:E11"/>
    <mergeCell ref="A19:E19"/>
    <mergeCell ref="A27:E27"/>
    <mergeCell ref="A35:E35"/>
    <mergeCell ref="A43:E43"/>
    <mergeCell ref="A51:E51"/>
    <mergeCell ref="A58:E58"/>
    <mergeCell ref="A66:E66"/>
    <mergeCell ref="A74:E74"/>
    <mergeCell ref="A82:E82"/>
    <mergeCell ref="A90:E90"/>
    <mergeCell ref="A98:E98"/>
    <mergeCell ref="A106:E106"/>
    <mergeCell ref="A113:E113"/>
    <mergeCell ref="A121:E121"/>
    <mergeCell ref="A129:E129"/>
    <mergeCell ref="A137:E137"/>
    <mergeCell ref="A145:E145"/>
    <mergeCell ref="A153:E153"/>
    <mergeCell ref="A161:E161"/>
    <mergeCell ref="A168:E168"/>
    <mergeCell ref="A176:E176"/>
    <mergeCell ref="A184:E184"/>
    <mergeCell ref="A192:E192"/>
    <mergeCell ref="A200:E200"/>
    <mergeCell ref="A208:E208"/>
    <mergeCell ref="A216:E216"/>
    <mergeCell ref="A223:E223"/>
    <mergeCell ref="A231:E231"/>
    <mergeCell ref="A239:E239"/>
  </mergeCells>
  <conditionalFormatting sqref="A3:E247">
    <cfRule type="expression" priority="2" aboveAverage="0" equalAverage="0" bottom="0" percent="0" rank="0" text="" dxfId="8">
      <formula>$D3="Xong"</formula>
    </cfRule>
    <cfRule type="expression" priority="3" aboveAverage="0" equalAverage="0" bottom="0" percent="0" rank="0" text="" dxfId="9">
      <formula>$D3="Đang học"</formula>
    </cfRule>
  </conditionalFormatting>
  <dataValidations count="1">
    <dataValidation allowBlank="true" errorStyle="stop" operator="between" showDropDown="false" showErrorMessage="false" showInputMessage="false" sqref="D3:D247" type="list">
      <formula1>"Chưa học,Đang học,Xong"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E2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4"/>
    <col collapsed="false" customWidth="true" hidden="false" outlineLevel="0" max="3" min="3" style="0" width="8"/>
    <col collapsed="false" customWidth="true" hidden="false" outlineLevel="0" max="4" min="4" style="0" width="13"/>
    <col collapsed="false" customWidth="true" hidden="false" outlineLevel="0" max="5" min="5" style="0" width="26"/>
  </cols>
  <sheetData>
    <row r="1" customFormat="false" ht="31.5" hidden="false" customHeight="true" outlineLevel="0" collapsed="false">
      <c r="A1" s="15" t="s">
        <v>559</v>
      </c>
      <c r="B1" s="15"/>
      <c r="C1" s="15"/>
      <c r="D1" s="15"/>
      <c r="E1" s="15"/>
    </row>
    <row r="2" customFormat="false" ht="25.5" hidden="false" customHeight="true" outlineLevel="0" collapsed="false">
      <c r="A2" s="16" t="s">
        <v>328</v>
      </c>
      <c r="B2" s="16" t="s">
        <v>329</v>
      </c>
      <c r="C2" s="16" t="s">
        <v>85</v>
      </c>
      <c r="D2" s="16" t="s">
        <v>330</v>
      </c>
      <c r="E2" s="16" t="s">
        <v>88</v>
      </c>
    </row>
    <row r="3" customFormat="false" ht="25.5" hidden="false" customHeight="true" outlineLevel="0" collapsed="false">
      <c r="A3" s="62" t="s">
        <v>560</v>
      </c>
      <c r="B3" s="62"/>
      <c r="C3" s="62"/>
      <c r="D3" s="62"/>
      <c r="E3" s="62"/>
    </row>
    <row r="4" customFormat="false" ht="21.75" hidden="false" customHeight="true" outlineLevel="0" collapsed="false">
      <c r="A4" s="61" t="s">
        <v>394</v>
      </c>
      <c r="B4" s="58" t="s">
        <v>395</v>
      </c>
      <c r="C4" s="59" t="n">
        <v>5</v>
      </c>
      <c r="D4" s="60" t="s">
        <v>334</v>
      </c>
      <c r="E4" s="58"/>
    </row>
    <row r="5" customFormat="false" ht="46.5" hidden="false" customHeight="true" outlineLevel="0" collapsed="false">
      <c r="A5" s="57" t="s">
        <v>396</v>
      </c>
      <c r="B5" s="58" t="s">
        <v>561</v>
      </c>
      <c r="C5" s="59" t="n">
        <v>10</v>
      </c>
      <c r="D5" s="60" t="s">
        <v>334</v>
      </c>
      <c r="E5" s="58"/>
    </row>
    <row r="6" customFormat="false" ht="99" hidden="false" customHeight="true" outlineLevel="0" collapsed="false">
      <c r="A6" s="57" t="s">
        <v>398</v>
      </c>
      <c r="B6" s="58" t="s">
        <v>562</v>
      </c>
      <c r="C6" s="59" t="n">
        <v>20</v>
      </c>
      <c r="D6" s="60" t="s">
        <v>334</v>
      </c>
      <c r="E6" s="58"/>
    </row>
    <row r="7" customFormat="false" ht="60" hidden="false" customHeight="true" outlineLevel="0" collapsed="false">
      <c r="A7" s="57" t="s">
        <v>400</v>
      </c>
      <c r="B7" s="58" t="s">
        <v>563</v>
      </c>
      <c r="C7" s="59" t="n">
        <v>25</v>
      </c>
      <c r="D7" s="60" t="s">
        <v>334</v>
      </c>
      <c r="E7" s="58"/>
    </row>
    <row r="8" customFormat="false" ht="163.5" hidden="false" customHeight="true" outlineLevel="0" collapsed="false">
      <c r="A8" s="57" t="s">
        <v>339</v>
      </c>
      <c r="B8" s="58" t="s">
        <v>564</v>
      </c>
      <c r="C8" s="59" t="n">
        <v>20</v>
      </c>
      <c r="D8" s="60" t="s">
        <v>334</v>
      </c>
      <c r="E8" s="58"/>
    </row>
    <row r="9" customFormat="false" ht="21.75" hidden="false" customHeight="true" outlineLevel="0" collapsed="false">
      <c r="A9" s="57" t="s">
        <v>341</v>
      </c>
      <c r="B9" s="58" t="s">
        <v>409</v>
      </c>
      <c r="C9" s="59" t="n">
        <v>20</v>
      </c>
      <c r="D9" s="60" t="s">
        <v>334</v>
      </c>
      <c r="E9" s="58"/>
    </row>
    <row r="10" customFormat="false" ht="6" hidden="false" customHeight="true" outlineLevel="0" collapsed="false"/>
    <row r="11" customFormat="false" ht="25.5" hidden="false" customHeight="true" outlineLevel="0" collapsed="false">
      <c r="A11" s="62" t="s">
        <v>565</v>
      </c>
      <c r="B11" s="62"/>
      <c r="C11" s="62"/>
      <c r="D11" s="62"/>
      <c r="E11" s="62"/>
    </row>
    <row r="12" customFormat="false" ht="21.75" hidden="false" customHeight="true" outlineLevel="0" collapsed="false">
      <c r="A12" s="61" t="s">
        <v>394</v>
      </c>
      <c r="B12" s="58" t="s">
        <v>395</v>
      </c>
      <c r="C12" s="59" t="n">
        <v>5</v>
      </c>
      <c r="D12" s="60" t="s">
        <v>334</v>
      </c>
      <c r="E12" s="58"/>
    </row>
    <row r="13" customFormat="false" ht="46.5" hidden="false" customHeight="true" outlineLevel="0" collapsed="false">
      <c r="A13" s="57" t="s">
        <v>396</v>
      </c>
      <c r="B13" s="58" t="s">
        <v>566</v>
      </c>
      <c r="C13" s="59" t="n">
        <v>10</v>
      </c>
      <c r="D13" s="60" t="s">
        <v>334</v>
      </c>
      <c r="E13" s="58"/>
    </row>
    <row r="14" customFormat="false" ht="99" hidden="false" customHeight="true" outlineLevel="0" collapsed="false">
      <c r="A14" s="57" t="s">
        <v>398</v>
      </c>
      <c r="B14" s="58" t="s">
        <v>567</v>
      </c>
      <c r="C14" s="59" t="n">
        <v>20</v>
      </c>
      <c r="D14" s="60" t="s">
        <v>334</v>
      </c>
      <c r="E14" s="58"/>
    </row>
    <row r="15" customFormat="false" ht="60" hidden="false" customHeight="true" outlineLevel="0" collapsed="false">
      <c r="A15" s="57" t="s">
        <v>400</v>
      </c>
      <c r="B15" s="58" t="s">
        <v>568</v>
      </c>
      <c r="C15" s="59" t="n">
        <v>25</v>
      </c>
      <c r="D15" s="60" t="s">
        <v>334</v>
      </c>
      <c r="E15" s="58"/>
    </row>
    <row r="16" customFormat="false" ht="138" hidden="false" customHeight="true" outlineLevel="0" collapsed="false">
      <c r="A16" s="57" t="s">
        <v>339</v>
      </c>
      <c r="B16" s="58" t="s">
        <v>569</v>
      </c>
      <c r="C16" s="59" t="n">
        <v>20</v>
      </c>
      <c r="D16" s="60" t="s">
        <v>334</v>
      </c>
      <c r="E16" s="58"/>
    </row>
    <row r="17" customFormat="false" ht="21.75" hidden="false" customHeight="true" outlineLevel="0" collapsed="false">
      <c r="A17" s="57" t="s">
        <v>415</v>
      </c>
      <c r="B17" s="58" t="s">
        <v>416</v>
      </c>
      <c r="C17" s="59" t="n">
        <v>20</v>
      </c>
      <c r="D17" s="60" t="s">
        <v>334</v>
      </c>
      <c r="E17" s="58"/>
    </row>
    <row r="18" customFormat="false" ht="6" hidden="false" customHeight="true" outlineLevel="0" collapsed="false"/>
    <row r="19" customFormat="false" ht="25.5" hidden="false" customHeight="true" outlineLevel="0" collapsed="false">
      <c r="A19" s="62" t="s">
        <v>570</v>
      </c>
      <c r="B19" s="62"/>
      <c r="C19" s="62"/>
      <c r="D19" s="62"/>
      <c r="E19" s="62"/>
    </row>
    <row r="20" customFormat="false" ht="21.75" hidden="false" customHeight="true" outlineLevel="0" collapsed="false">
      <c r="A20" s="61" t="s">
        <v>394</v>
      </c>
      <c r="B20" s="58" t="s">
        <v>395</v>
      </c>
      <c r="C20" s="59" t="n">
        <v>5</v>
      </c>
      <c r="D20" s="60" t="s">
        <v>334</v>
      </c>
      <c r="E20" s="58"/>
    </row>
    <row r="21" customFormat="false" ht="46.5" hidden="false" customHeight="true" outlineLevel="0" collapsed="false">
      <c r="A21" s="57" t="s">
        <v>396</v>
      </c>
      <c r="B21" s="58" t="s">
        <v>571</v>
      </c>
      <c r="C21" s="59" t="n">
        <v>10</v>
      </c>
      <c r="D21" s="60" t="s">
        <v>334</v>
      </c>
      <c r="E21" s="58"/>
    </row>
    <row r="22" customFormat="false" ht="111.75" hidden="false" customHeight="true" outlineLevel="0" collapsed="false">
      <c r="A22" s="57" t="s">
        <v>398</v>
      </c>
      <c r="B22" s="58" t="s">
        <v>572</v>
      </c>
      <c r="C22" s="59" t="n">
        <v>20</v>
      </c>
      <c r="D22" s="60" t="s">
        <v>334</v>
      </c>
      <c r="E22" s="58"/>
    </row>
    <row r="23" customFormat="false" ht="85.5" hidden="false" customHeight="true" outlineLevel="0" collapsed="false">
      <c r="A23" s="57" t="s">
        <v>400</v>
      </c>
      <c r="B23" s="58" t="s">
        <v>573</v>
      </c>
      <c r="C23" s="59" t="n">
        <v>25</v>
      </c>
      <c r="D23" s="60" t="s">
        <v>334</v>
      </c>
      <c r="E23" s="58"/>
    </row>
    <row r="24" customFormat="false" ht="216" hidden="false" customHeight="true" outlineLevel="0" collapsed="false">
      <c r="A24" s="57" t="s">
        <v>339</v>
      </c>
      <c r="B24" s="58" t="s">
        <v>574</v>
      </c>
      <c r="C24" s="59" t="n">
        <v>20</v>
      </c>
      <c r="D24" s="60" t="s">
        <v>334</v>
      </c>
      <c r="E24" s="58"/>
    </row>
    <row r="25" customFormat="false" ht="21.75" hidden="false" customHeight="true" outlineLevel="0" collapsed="false">
      <c r="A25" s="57" t="s">
        <v>341</v>
      </c>
      <c r="B25" s="58" t="s">
        <v>422</v>
      </c>
      <c r="C25" s="59" t="n">
        <v>20</v>
      </c>
      <c r="D25" s="60" t="s">
        <v>334</v>
      </c>
      <c r="E25" s="58"/>
    </row>
    <row r="26" customFormat="false" ht="6" hidden="false" customHeight="true" outlineLevel="0" collapsed="false"/>
    <row r="27" customFormat="false" ht="25.5" hidden="false" customHeight="true" outlineLevel="0" collapsed="false">
      <c r="A27" s="63" t="s">
        <v>575</v>
      </c>
      <c r="B27" s="63"/>
      <c r="C27" s="63"/>
      <c r="D27" s="63"/>
      <c r="E27" s="63"/>
    </row>
    <row r="28" customFormat="false" ht="33.75" hidden="false" customHeight="true" outlineLevel="0" collapsed="false">
      <c r="A28" s="57" t="s">
        <v>398</v>
      </c>
      <c r="B28" s="58" t="s">
        <v>436</v>
      </c>
      <c r="C28" s="59" t="n">
        <v>25</v>
      </c>
      <c r="D28" s="60" t="s">
        <v>334</v>
      </c>
      <c r="E28" s="58"/>
    </row>
    <row r="29" customFormat="false" ht="21.75" hidden="false" customHeight="true" outlineLevel="0" collapsed="false">
      <c r="A29" s="57" t="s">
        <v>396</v>
      </c>
      <c r="B29" s="58" t="s">
        <v>437</v>
      </c>
      <c r="C29" s="59" t="n">
        <v>10</v>
      </c>
      <c r="D29" s="60" t="s">
        <v>334</v>
      </c>
      <c r="E29" s="58"/>
    </row>
    <row r="30" customFormat="false" ht="21.75" hidden="false" customHeight="true" outlineLevel="0" collapsed="false">
      <c r="A30" s="57" t="s">
        <v>400</v>
      </c>
      <c r="B30" s="58" t="s">
        <v>576</v>
      </c>
      <c r="C30" s="59" t="n">
        <v>25</v>
      </c>
      <c r="D30" s="60" t="s">
        <v>334</v>
      </c>
      <c r="E30" s="58"/>
    </row>
    <row r="31" customFormat="false" ht="21.75" hidden="false" customHeight="true" outlineLevel="0" collapsed="false">
      <c r="A31" s="57" t="s">
        <v>339</v>
      </c>
      <c r="B31" s="58" t="s">
        <v>577</v>
      </c>
      <c r="C31" s="59" t="n">
        <v>20</v>
      </c>
      <c r="D31" s="60" t="s">
        <v>334</v>
      </c>
      <c r="E31" s="58"/>
    </row>
    <row r="32" customFormat="false" ht="21.75" hidden="false" customHeight="true" outlineLevel="0" collapsed="false">
      <c r="A32" s="57" t="s">
        <v>440</v>
      </c>
      <c r="B32" s="58" t="s">
        <v>578</v>
      </c>
      <c r="C32" s="59" t="n">
        <v>25</v>
      </c>
      <c r="D32" s="60" t="s">
        <v>334</v>
      </c>
      <c r="E32" s="58"/>
    </row>
    <row r="33" customFormat="false" ht="6" hidden="false" customHeight="true" outlineLevel="0" collapsed="false"/>
    <row r="34" customFormat="false" ht="25.5" hidden="false" customHeight="true" outlineLevel="0" collapsed="false">
      <c r="A34" s="62" t="s">
        <v>579</v>
      </c>
      <c r="B34" s="62"/>
      <c r="C34" s="62"/>
      <c r="D34" s="62"/>
      <c r="E34" s="62"/>
    </row>
    <row r="35" customFormat="false" ht="21.75" hidden="false" customHeight="true" outlineLevel="0" collapsed="false">
      <c r="A35" s="61" t="s">
        <v>394</v>
      </c>
      <c r="B35" s="58" t="s">
        <v>395</v>
      </c>
      <c r="C35" s="59" t="n">
        <v>5</v>
      </c>
      <c r="D35" s="60" t="s">
        <v>334</v>
      </c>
      <c r="E35" s="58"/>
    </row>
    <row r="36" customFormat="false" ht="46.5" hidden="false" customHeight="true" outlineLevel="0" collapsed="false">
      <c r="A36" s="57" t="s">
        <v>396</v>
      </c>
      <c r="B36" s="58" t="s">
        <v>580</v>
      </c>
      <c r="C36" s="59" t="n">
        <v>10</v>
      </c>
      <c r="D36" s="60" t="s">
        <v>334</v>
      </c>
      <c r="E36" s="58"/>
    </row>
    <row r="37" customFormat="false" ht="99" hidden="false" customHeight="true" outlineLevel="0" collapsed="false">
      <c r="A37" s="57" t="s">
        <v>398</v>
      </c>
      <c r="B37" s="58" t="s">
        <v>581</v>
      </c>
      <c r="C37" s="59" t="n">
        <v>20</v>
      </c>
      <c r="D37" s="60" t="s">
        <v>334</v>
      </c>
      <c r="E37" s="58"/>
    </row>
    <row r="38" customFormat="false" ht="85.5" hidden="false" customHeight="true" outlineLevel="0" collapsed="false">
      <c r="A38" s="57" t="s">
        <v>400</v>
      </c>
      <c r="B38" s="58" t="s">
        <v>582</v>
      </c>
      <c r="C38" s="59" t="n">
        <v>25</v>
      </c>
      <c r="D38" s="60" t="s">
        <v>334</v>
      </c>
      <c r="E38" s="58"/>
    </row>
    <row r="39" customFormat="false" ht="216" hidden="false" customHeight="true" outlineLevel="0" collapsed="false">
      <c r="A39" s="57" t="s">
        <v>339</v>
      </c>
      <c r="B39" s="58" t="s">
        <v>583</v>
      </c>
      <c r="C39" s="59" t="n">
        <v>20</v>
      </c>
      <c r="D39" s="60" t="s">
        <v>334</v>
      </c>
      <c r="E39" s="58"/>
    </row>
    <row r="40" customFormat="false" ht="21.75" hidden="false" customHeight="true" outlineLevel="0" collapsed="false">
      <c r="A40" s="57" t="s">
        <v>341</v>
      </c>
      <c r="B40" s="58" t="s">
        <v>434</v>
      </c>
      <c r="C40" s="59" t="n">
        <v>20</v>
      </c>
      <c r="D40" s="60" t="s">
        <v>334</v>
      </c>
      <c r="E40" s="58"/>
    </row>
    <row r="41" customFormat="false" ht="6" hidden="false" customHeight="true" outlineLevel="0" collapsed="false"/>
    <row r="42" customFormat="false" ht="25.5" hidden="false" customHeight="true" outlineLevel="0" collapsed="false">
      <c r="A42" s="62" t="s">
        <v>584</v>
      </c>
      <c r="B42" s="62"/>
      <c r="C42" s="62"/>
      <c r="D42" s="62"/>
      <c r="E42" s="62"/>
    </row>
    <row r="43" customFormat="false" ht="21.75" hidden="false" customHeight="true" outlineLevel="0" collapsed="false">
      <c r="A43" s="61" t="s">
        <v>394</v>
      </c>
      <c r="B43" s="58" t="s">
        <v>395</v>
      </c>
      <c r="C43" s="59" t="n">
        <v>5</v>
      </c>
      <c r="D43" s="60" t="s">
        <v>334</v>
      </c>
      <c r="E43" s="58"/>
    </row>
    <row r="44" customFormat="false" ht="46.5" hidden="false" customHeight="true" outlineLevel="0" collapsed="false">
      <c r="A44" s="57" t="s">
        <v>396</v>
      </c>
      <c r="B44" s="58" t="s">
        <v>585</v>
      </c>
      <c r="C44" s="59" t="n">
        <v>10</v>
      </c>
      <c r="D44" s="60" t="s">
        <v>334</v>
      </c>
      <c r="E44" s="58"/>
    </row>
    <row r="45" customFormat="false" ht="99" hidden="false" customHeight="true" outlineLevel="0" collapsed="false">
      <c r="A45" s="57" t="s">
        <v>398</v>
      </c>
      <c r="B45" s="58" t="s">
        <v>586</v>
      </c>
      <c r="C45" s="59" t="n">
        <v>20</v>
      </c>
      <c r="D45" s="60" t="s">
        <v>334</v>
      </c>
      <c r="E45" s="58"/>
    </row>
    <row r="46" customFormat="false" ht="111.75" hidden="false" customHeight="true" outlineLevel="0" collapsed="false">
      <c r="A46" s="57" t="s">
        <v>400</v>
      </c>
      <c r="B46" s="58" t="s">
        <v>587</v>
      </c>
      <c r="C46" s="59" t="n">
        <v>25</v>
      </c>
      <c r="D46" s="60" t="s">
        <v>334</v>
      </c>
      <c r="E46" s="58"/>
    </row>
    <row r="47" customFormat="false" ht="216" hidden="false" customHeight="true" outlineLevel="0" collapsed="false">
      <c r="A47" s="57" t="s">
        <v>339</v>
      </c>
      <c r="B47" s="58" t="s">
        <v>588</v>
      </c>
      <c r="C47" s="59" t="n">
        <v>20</v>
      </c>
      <c r="D47" s="60" t="s">
        <v>334</v>
      </c>
      <c r="E47" s="58"/>
    </row>
    <row r="48" customFormat="false" ht="33.75" hidden="false" customHeight="true" outlineLevel="0" collapsed="false">
      <c r="A48" s="57" t="s">
        <v>341</v>
      </c>
      <c r="B48" s="58" t="s">
        <v>403</v>
      </c>
      <c r="C48" s="59" t="n">
        <v>20</v>
      </c>
      <c r="D48" s="60" t="s">
        <v>334</v>
      </c>
      <c r="E48" s="58"/>
    </row>
    <row r="49" customFormat="false" ht="6" hidden="false" customHeight="true" outlineLevel="0" collapsed="false"/>
    <row r="50" customFormat="false" ht="25.5" hidden="false" customHeight="true" outlineLevel="0" collapsed="false">
      <c r="A50" s="62" t="s">
        <v>589</v>
      </c>
      <c r="B50" s="62"/>
      <c r="C50" s="62"/>
      <c r="D50" s="62"/>
      <c r="E50" s="62"/>
    </row>
    <row r="51" customFormat="false" ht="21.75" hidden="false" customHeight="true" outlineLevel="0" collapsed="false">
      <c r="A51" s="61" t="s">
        <v>394</v>
      </c>
      <c r="B51" s="58" t="s">
        <v>395</v>
      </c>
      <c r="C51" s="59" t="n">
        <v>5</v>
      </c>
      <c r="D51" s="60" t="s">
        <v>334</v>
      </c>
      <c r="E51" s="58"/>
    </row>
    <row r="52" customFormat="false" ht="46.5" hidden="false" customHeight="true" outlineLevel="0" collapsed="false">
      <c r="A52" s="57" t="s">
        <v>396</v>
      </c>
      <c r="B52" s="58" t="s">
        <v>590</v>
      </c>
      <c r="C52" s="59" t="n">
        <v>10</v>
      </c>
      <c r="D52" s="60" t="s">
        <v>334</v>
      </c>
      <c r="E52" s="58"/>
    </row>
    <row r="53" customFormat="false" ht="99" hidden="false" customHeight="true" outlineLevel="0" collapsed="false">
      <c r="A53" s="57" t="s">
        <v>398</v>
      </c>
      <c r="B53" s="58" t="s">
        <v>591</v>
      </c>
      <c r="C53" s="59" t="n">
        <v>20</v>
      </c>
      <c r="D53" s="60" t="s">
        <v>334</v>
      </c>
      <c r="E53" s="58"/>
    </row>
    <row r="54" customFormat="false" ht="85.5" hidden="false" customHeight="true" outlineLevel="0" collapsed="false">
      <c r="A54" s="57" t="s">
        <v>400</v>
      </c>
      <c r="B54" s="58" t="s">
        <v>592</v>
      </c>
      <c r="C54" s="59" t="n">
        <v>25</v>
      </c>
      <c r="D54" s="60" t="s">
        <v>334</v>
      </c>
      <c r="E54" s="58"/>
    </row>
    <row r="55" customFormat="false" ht="216" hidden="false" customHeight="true" outlineLevel="0" collapsed="false">
      <c r="A55" s="57" t="s">
        <v>339</v>
      </c>
      <c r="B55" s="58" t="s">
        <v>593</v>
      </c>
      <c r="C55" s="59" t="n">
        <v>20</v>
      </c>
      <c r="D55" s="60" t="s">
        <v>334</v>
      </c>
      <c r="E55" s="58"/>
    </row>
    <row r="56" customFormat="false" ht="21.75" hidden="false" customHeight="true" outlineLevel="0" collapsed="false">
      <c r="A56" s="57" t="s">
        <v>341</v>
      </c>
      <c r="B56" s="58" t="s">
        <v>409</v>
      </c>
      <c r="C56" s="59" t="n">
        <v>20</v>
      </c>
      <c r="D56" s="60" t="s">
        <v>334</v>
      </c>
      <c r="E56" s="58"/>
    </row>
    <row r="57" customFormat="false" ht="6" hidden="false" customHeight="true" outlineLevel="0" collapsed="false"/>
    <row r="58" customFormat="false" ht="25.5" hidden="false" customHeight="true" outlineLevel="0" collapsed="false">
      <c r="A58" s="62" t="s">
        <v>594</v>
      </c>
      <c r="B58" s="62"/>
      <c r="C58" s="62"/>
      <c r="D58" s="62"/>
      <c r="E58" s="62"/>
    </row>
    <row r="59" customFormat="false" ht="21.75" hidden="false" customHeight="true" outlineLevel="0" collapsed="false">
      <c r="A59" s="61" t="s">
        <v>394</v>
      </c>
      <c r="B59" s="58" t="s">
        <v>395</v>
      </c>
      <c r="C59" s="59" t="n">
        <v>5</v>
      </c>
      <c r="D59" s="60" t="s">
        <v>334</v>
      </c>
      <c r="E59" s="58"/>
    </row>
    <row r="60" customFormat="false" ht="46.5" hidden="false" customHeight="true" outlineLevel="0" collapsed="false">
      <c r="A60" s="57" t="s">
        <v>396</v>
      </c>
      <c r="B60" s="58" t="s">
        <v>595</v>
      </c>
      <c r="C60" s="59" t="n">
        <v>10</v>
      </c>
      <c r="D60" s="60" t="s">
        <v>334</v>
      </c>
      <c r="E60" s="58"/>
    </row>
    <row r="61" customFormat="false" ht="99" hidden="false" customHeight="true" outlineLevel="0" collapsed="false">
      <c r="A61" s="57" t="s">
        <v>398</v>
      </c>
      <c r="B61" s="58" t="s">
        <v>596</v>
      </c>
      <c r="C61" s="59" t="n">
        <v>20</v>
      </c>
      <c r="D61" s="60" t="s">
        <v>334</v>
      </c>
      <c r="E61" s="58"/>
    </row>
    <row r="62" customFormat="false" ht="99" hidden="false" customHeight="true" outlineLevel="0" collapsed="false">
      <c r="A62" s="57" t="s">
        <v>400</v>
      </c>
      <c r="B62" s="58" t="s">
        <v>597</v>
      </c>
      <c r="C62" s="59" t="n">
        <v>25</v>
      </c>
      <c r="D62" s="60" t="s">
        <v>334</v>
      </c>
      <c r="E62" s="58"/>
    </row>
    <row r="63" customFormat="false" ht="163.5" hidden="false" customHeight="true" outlineLevel="0" collapsed="false">
      <c r="A63" s="57" t="s">
        <v>339</v>
      </c>
      <c r="B63" s="58" t="s">
        <v>598</v>
      </c>
      <c r="C63" s="59" t="n">
        <v>20</v>
      </c>
      <c r="D63" s="60" t="s">
        <v>334</v>
      </c>
      <c r="E63" s="58"/>
    </row>
    <row r="64" customFormat="false" ht="21.75" hidden="false" customHeight="true" outlineLevel="0" collapsed="false">
      <c r="A64" s="57" t="s">
        <v>415</v>
      </c>
      <c r="B64" s="58" t="s">
        <v>416</v>
      </c>
      <c r="C64" s="59" t="n">
        <v>20</v>
      </c>
      <c r="D64" s="60" t="s">
        <v>334</v>
      </c>
      <c r="E64" s="58"/>
    </row>
    <row r="65" customFormat="false" ht="6" hidden="false" customHeight="true" outlineLevel="0" collapsed="false"/>
    <row r="66" customFormat="false" ht="25.5" hidden="false" customHeight="true" outlineLevel="0" collapsed="false">
      <c r="A66" s="62" t="s">
        <v>599</v>
      </c>
      <c r="B66" s="62"/>
      <c r="C66" s="62"/>
      <c r="D66" s="62"/>
      <c r="E66" s="62"/>
    </row>
    <row r="67" customFormat="false" ht="21.75" hidden="false" customHeight="true" outlineLevel="0" collapsed="false">
      <c r="A67" s="61" t="s">
        <v>394</v>
      </c>
      <c r="B67" s="58" t="s">
        <v>395</v>
      </c>
      <c r="C67" s="59" t="n">
        <v>5</v>
      </c>
      <c r="D67" s="60" t="s">
        <v>334</v>
      </c>
      <c r="E67" s="58"/>
    </row>
    <row r="68" customFormat="false" ht="46.5" hidden="false" customHeight="true" outlineLevel="0" collapsed="false">
      <c r="A68" s="57" t="s">
        <v>396</v>
      </c>
      <c r="B68" s="58" t="s">
        <v>600</v>
      </c>
      <c r="C68" s="59" t="n">
        <v>10</v>
      </c>
      <c r="D68" s="60" t="s">
        <v>334</v>
      </c>
      <c r="E68" s="58"/>
    </row>
    <row r="69" customFormat="false" ht="99" hidden="false" customHeight="true" outlineLevel="0" collapsed="false">
      <c r="A69" s="57" t="s">
        <v>398</v>
      </c>
      <c r="B69" s="58" t="s">
        <v>601</v>
      </c>
      <c r="C69" s="59" t="n">
        <v>20</v>
      </c>
      <c r="D69" s="60" t="s">
        <v>334</v>
      </c>
      <c r="E69" s="58"/>
    </row>
    <row r="70" customFormat="false" ht="85.5" hidden="false" customHeight="true" outlineLevel="0" collapsed="false">
      <c r="A70" s="57" t="s">
        <v>400</v>
      </c>
      <c r="B70" s="58" t="s">
        <v>602</v>
      </c>
      <c r="C70" s="59" t="n">
        <v>25</v>
      </c>
      <c r="D70" s="60" t="s">
        <v>334</v>
      </c>
      <c r="E70" s="58"/>
    </row>
    <row r="71" customFormat="false" ht="163.5" hidden="false" customHeight="true" outlineLevel="0" collapsed="false">
      <c r="A71" s="57" t="s">
        <v>339</v>
      </c>
      <c r="B71" s="58" t="s">
        <v>603</v>
      </c>
      <c r="C71" s="59" t="n">
        <v>20</v>
      </c>
      <c r="D71" s="60" t="s">
        <v>334</v>
      </c>
      <c r="E71" s="58"/>
    </row>
    <row r="72" customFormat="false" ht="21.75" hidden="false" customHeight="true" outlineLevel="0" collapsed="false">
      <c r="A72" s="57" t="s">
        <v>341</v>
      </c>
      <c r="B72" s="58" t="s">
        <v>422</v>
      </c>
      <c r="C72" s="59" t="n">
        <v>20</v>
      </c>
      <c r="D72" s="60" t="s">
        <v>334</v>
      </c>
      <c r="E72" s="58"/>
    </row>
    <row r="73" customFormat="false" ht="6" hidden="false" customHeight="true" outlineLevel="0" collapsed="false"/>
    <row r="74" customFormat="false" ht="25.5" hidden="false" customHeight="true" outlineLevel="0" collapsed="false">
      <c r="A74" s="62" t="s">
        <v>604</v>
      </c>
      <c r="B74" s="62"/>
      <c r="C74" s="62"/>
      <c r="D74" s="62"/>
      <c r="E74" s="62"/>
    </row>
    <row r="75" customFormat="false" ht="21.75" hidden="false" customHeight="true" outlineLevel="0" collapsed="false">
      <c r="A75" s="61" t="s">
        <v>394</v>
      </c>
      <c r="B75" s="58" t="s">
        <v>395</v>
      </c>
      <c r="C75" s="59" t="n">
        <v>5</v>
      </c>
      <c r="D75" s="60" t="s">
        <v>334</v>
      </c>
      <c r="E75" s="58"/>
    </row>
    <row r="76" customFormat="false" ht="46.5" hidden="false" customHeight="true" outlineLevel="0" collapsed="false">
      <c r="A76" s="57" t="s">
        <v>396</v>
      </c>
      <c r="B76" s="58" t="s">
        <v>605</v>
      </c>
      <c r="C76" s="59" t="n">
        <v>10</v>
      </c>
      <c r="D76" s="60" t="s">
        <v>334</v>
      </c>
      <c r="E76" s="58"/>
    </row>
    <row r="77" customFormat="false" ht="99" hidden="false" customHeight="true" outlineLevel="0" collapsed="false">
      <c r="A77" s="57" t="s">
        <v>398</v>
      </c>
      <c r="B77" s="58" t="s">
        <v>606</v>
      </c>
      <c r="C77" s="59" t="n">
        <v>20</v>
      </c>
      <c r="D77" s="60" t="s">
        <v>334</v>
      </c>
      <c r="E77" s="58"/>
    </row>
    <row r="78" customFormat="false" ht="60" hidden="false" customHeight="true" outlineLevel="0" collapsed="false">
      <c r="A78" s="57" t="s">
        <v>400</v>
      </c>
      <c r="B78" s="58" t="s">
        <v>607</v>
      </c>
      <c r="C78" s="59" t="n">
        <v>25</v>
      </c>
      <c r="D78" s="60" t="s">
        <v>334</v>
      </c>
      <c r="E78" s="58"/>
    </row>
    <row r="79" customFormat="false" ht="138" hidden="false" customHeight="true" outlineLevel="0" collapsed="false">
      <c r="A79" s="57" t="s">
        <v>339</v>
      </c>
      <c r="B79" s="58" t="s">
        <v>608</v>
      </c>
      <c r="C79" s="59" t="n">
        <v>20</v>
      </c>
      <c r="D79" s="60" t="s">
        <v>334</v>
      </c>
      <c r="E79" s="58"/>
    </row>
    <row r="80" customFormat="false" ht="21.75" hidden="false" customHeight="true" outlineLevel="0" collapsed="false">
      <c r="A80" s="57" t="s">
        <v>415</v>
      </c>
      <c r="B80" s="58" t="s">
        <v>428</v>
      </c>
      <c r="C80" s="59" t="n">
        <v>20</v>
      </c>
      <c r="D80" s="60" t="s">
        <v>334</v>
      </c>
      <c r="E80" s="58"/>
    </row>
    <row r="81" customFormat="false" ht="6" hidden="false" customHeight="true" outlineLevel="0" collapsed="false"/>
    <row r="82" customFormat="false" ht="25.5" hidden="false" customHeight="true" outlineLevel="0" collapsed="false">
      <c r="A82" s="63" t="s">
        <v>609</v>
      </c>
      <c r="B82" s="63"/>
      <c r="C82" s="63"/>
      <c r="D82" s="63"/>
      <c r="E82" s="63"/>
    </row>
    <row r="83" customFormat="false" ht="33.75" hidden="false" customHeight="true" outlineLevel="0" collapsed="false">
      <c r="A83" s="57" t="s">
        <v>398</v>
      </c>
      <c r="B83" s="58" t="s">
        <v>436</v>
      </c>
      <c r="C83" s="59" t="n">
        <v>25</v>
      </c>
      <c r="D83" s="60" t="s">
        <v>334</v>
      </c>
      <c r="E83" s="58"/>
    </row>
    <row r="84" customFormat="false" ht="21.75" hidden="false" customHeight="true" outlineLevel="0" collapsed="false">
      <c r="A84" s="57" t="s">
        <v>396</v>
      </c>
      <c r="B84" s="58" t="s">
        <v>437</v>
      </c>
      <c r="C84" s="59" t="n">
        <v>10</v>
      </c>
      <c r="D84" s="60" t="s">
        <v>334</v>
      </c>
      <c r="E84" s="58"/>
    </row>
    <row r="85" customFormat="false" ht="21.75" hidden="false" customHeight="true" outlineLevel="0" collapsed="false">
      <c r="A85" s="57" t="s">
        <v>400</v>
      </c>
      <c r="B85" s="58" t="s">
        <v>610</v>
      </c>
      <c r="C85" s="59" t="n">
        <v>25</v>
      </c>
      <c r="D85" s="60" t="s">
        <v>334</v>
      </c>
      <c r="E85" s="58"/>
    </row>
    <row r="86" customFormat="false" ht="21.75" hidden="false" customHeight="true" outlineLevel="0" collapsed="false">
      <c r="A86" s="57" t="s">
        <v>339</v>
      </c>
      <c r="B86" s="58" t="s">
        <v>611</v>
      </c>
      <c r="C86" s="59" t="n">
        <v>20</v>
      </c>
      <c r="D86" s="60" t="s">
        <v>334</v>
      </c>
      <c r="E86" s="58"/>
    </row>
    <row r="87" customFormat="false" ht="21.75" hidden="false" customHeight="true" outlineLevel="0" collapsed="false">
      <c r="A87" s="57" t="s">
        <v>440</v>
      </c>
      <c r="B87" s="58" t="s">
        <v>612</v>
      </c>
      <c r="C87" s="59" t="n">
        <v>25</v>
      </c>
      <c r="D87" s="60" t="s">
        <v>334</v>
      </c>
      <c r="E87" s="58"/>
    </row>
    <row r="88" customFormat="false" ht="6" hidden="false" customHeight="true" outlineLevel="0" collapsed="false"/>
    <row r="89" customFormat="false" ht="25.5" hidden="false" customHeight="true" outlineLevel="0" collapsed="false">
      <c r="A89" s="62" t="s">
        <v>613</v>
      </c>
      <c r="B89" s="62"/>
      <c r="C89" s="62"/>
      <c r="D89" s="62"/>
      <c r="E89" s="62"/>
    </row>
    <row r="90" customFormat="false" ht="21.75" hidden="false" customHeight="true" outlineLevel="0" collapsed="false">
      <c r="A90" s="61" t="s">
        <v>394</v>
      </c>
      <c r="B90" s="58" t="s">
        <v>395</v>
      </c>
      <c r="C90" s="59" t="n">
        <v>5</v>
      </c>
      <c r="D90" s="60" t="s">
        <v>334</v>
      </c>
      <c r="E90" s="58"/>
    </row>
    <row r="91" customFormat="false" ht="46.5" hidden="false" customHeight="true" outlineLevel="0" collapsed="false">
      <c r="A91" s="57" t="s">
        <v>396</v>
      </c>
      <c r="B91" s="58" t="s">
        <v>614</v>
      </c>
      <c r="C91" s="59" t="n">
        <v>10</v>
      </c>
      <c r="D91" s="60" t="s">
        <v>334</v>
      </c>
      <c r="E91" s="58"/>
    </row>
    <row r="92" customFormat="false" ht="99" hidden="false" customHeight="true" outlineLevel="0" collapsed="false">
      <c r="A92" s="57" t="s">
        <v>398</v>
      </c>
      <c r="B92" s="58" t="s">
        <v>615</v>
      </c>
      <c r="C92" s="59" t="n">
        <v>20</v>
      </c>
      <c r="D92" s="60" t="s">
        <v>334</v>
      </c>
      <c r="E92" s="58"/>
    </row>
    <row r="93" customFormat="false" ht="124.5" hidden="false" customHeight="true" outlineLevel="0" collapsed="false">
      <c r="A93" s="57" t="s">
        <v>400</v>
      </c>
      <c r="B93" s="58" t="s">
        <v>616</v>
      </c>
      <c r="C93" s="59" t="n">
        <v>25</v>
      </c>
      <c r="D93" s="60" t="s">
        <v>334</v>
      </c>
      <c r="E93" s="58"/>
    </row>
    <row r="94" customFormat="false" ht="216" hidden="false" customHeight="true" outlineLevel="0" collapsed="false">
      <c r="A94" s="57" t="s">
        <v>339</v>
      </c>
      <c r="B94" s="58" t="s">
        <v>617</v>
      </c>
      <c r="C94" s="59" t="n">
        <v>20</v>
      </c>
      <c r="D94" s="60" t="s">
        <v>334</v>
      </c>
      <c r="E94" s="58"/>
    </row>
    <row r="95" customFormat="false" ht="33.75" hidden="false" customHeight="true" outlineLevel="0" collapsed="false">
      <c r="A95" s="57" t="s">
        <v>341</v>
      </c>
      <c r="B95" s="58" t="s">
        <v>403</v>
      </c>
      <c r="C95" s="59" t="n">
        <v>20</v>
      </c>
      <c r="D95" s="60" t="s">
        <v>334</v>
      </c>
      <c r="E95" s="58"/>
    </row>
    <row r="96" customFormat="false" ht="6" hidden="false" customHeight="true" outlineLevel="0" collapsed="false"/>
    <row r="97" customFormat="false" ht="25.5" hidden="false" customHeight="true" outlineLevel="0" collapsed="false">
      <c r="A97" s="62" t="s">
        <v>618</v>
      </c>
      <c r="B97" s="62"/>
      <c r="C97" s="62"/>
      <c r="D97" s="62"/>
      <c r="E97" s="62"/>
    </row>
    <row r="98" customFormat="false" ht="21.75" hidden="false" customHeight="true" outlineLevel="0" collapsed="false">
      <c r="A98" s="61" t="s">
        <v>394</v>
      </c>
      <c r="B98" s="58" t="s">
        <v>395</v>
      </c>
      <c r="C98" s="59" t="n">
        <v>5</v>
      </c>
      <c r="D98" s="60" t="s">
        <v>334</v>
      </c>
      <c r="E98" s="58"/>
    </row>
    <row r="99" customFormat="false" ht="46.5" hidden="false" customHeight="true" outlineLevel="0" collapsed="false">
      <c r="A99" s="57" t="s">
        <v>396</v>
      </c>
      <c r="B99" s="58" t="s">
        <v>619</v>
      </c>
      <c r="C99" s="59" t="n">
        <v>10</v>
      </c>
      <c r="D99" s="60" t="s">
        <v>334</v>
      </c>
      <c r="E99" s="58"/>
    </row>
    <row r="100" customFormat="false" ht="99" hidden="false" customHeight="true" outlineLevel="0" collapsed="false">
      <c r="A100" s="57" t="s">
        <v>398</v>
      </c>
      <c r="B100" s="58" t="s">
        <v>620</v>
      </c>
      <c r="C100" s="59" t="n">
        <v>20</v>
      </c>
      <c r="D100" s="60" t="s">
        <v>334</v>
      </c>
      <c r="E100" s="58"/>
    </row>
    <row r="101" customFormat="false" ht="85.5" hidden="false" customHeight="true" outlineLevel="0" collapsed="false">
      <c r="A101" s="57" t="s">
        <v>400</v>
      </c>
      <c r="B101" s="58" t="s">
        <v>621</v>
      </c>
      <c r="C101" s="59" t="n">
        <v>25</v>
      </c>
      <c r="D101" s="60" t="s">
        <v>334</v>
      </c>
      <c r="E101" s="58"/>
    </row>
    <row r="102" customFormat="false" ht="216" hidden="false" customHeight="true" outlineLevel="0" collapsed="false">
      <c r="A102" s="57" t="s">
        <v>339</v>
      </c>
      <c r="B102" s="58" t="s">
        <v>622</v>
      </c>
      <c r="C102" s="59" t="n">
        <v>20</v>
      </c>
      <c r="D102" s="60" t="s">
        <v>334</v>
      </c>
      <c r="E102" s="58"/>
    </row>
    <row r="103" customFormat="false" ht="21.75" hidden="false" customHeight="true" outlineLevel="0" collapsed="false">
      <c r="A103" s="57" t="s">
        <v>341</v>
      </c>
      <c r="B103" s="58" t="s">
        <v>409</v>
      </c>
      <c r="C103" s="59" t="n">
        <v>20</v>
      </c>
      <c r="D103" s="60" t="s">
        <v>334</v>
      </c>
      <c r="E103" s="58"/>
    </row>
    <row r="104" customFormat="false" ht="6" hidden="false" customHeight="true" outlineLevel="0" collapsed="false"/>
    <row r="105" customFormat="false" ht="25.5" hidden="false" customHeight="true" outlineLevel="0" collapsed="false">
      <c r="A105" s="62" t="s">
        <v>623</v>
      </c>
      <c r="B105" s="62"/>
      <c r="C105" s="62"/>
      <c r="D105" s="62"/>
      <c r="E105" s="62"/>
    </row>
    <row r="106" customFormat="false" ht="21.75" hidden="false" customHeight="true" outlineLevel="0" collapsed="false">
      <c r="A106" s="61" t="s">
        <v>394</v>
      </c>
      <c r="B106" s="58" t="s">
        <v>395</v>
      </c>
      <c r="C106" s="59" t="n">
        <v>5</v>
      </c>
      <c r="D106" s="60" t="s">
        <v>334</v>
      </c>
      <c r="E106" s="58"/>
    </row>
    <row r="107" customFormat="false" ht="46.5" hidden="false" customHeight="true" outlineLevel="0" collapsed="false">
      <c r="A107" s="57" t="s">
        <v>396</v>
      </c>
      <c r="B107" s="58" t="s">
        <v>624</v>
      </c>
      <c r="C107" s="59" t="n">
        <v>10</v>
      </c>
      <c r="D107" s="60" t="s">
        <v>334</v>
      </c>
      <c r="E107" s="58"/>
    </row>
    <row r="108" customFormat="false" ht="99" hidden="false" customHeight="true" outlineLevel="0" collapsed="false">
      <c r="A108" s="57" t="s">
        <v>398</v>
      </c>
      <c r="B108" s="58" t="s">
        <v>625</v>
      </c>
      <c r="C108" s="59" t="n">
        <v>20</v>
      </c>
      <c r="D108" s="60" t="s">
        <v>334</v>
      </c>
      <c r="E108" s="58"/>
    </row>
    <row r="109" customFormat="false" ht="85.5" hidden="false" customHeight="true" outlineLevel="0" collapsed="false">
      <c r="A109" s="57" t="s">
        <v>400</v>
      </c>
      <c r="B109" s="58" t="s">
        <v>626</v>
      </c>
      <c r="C109" s="59" t="n">
        <v>25</v>
      </c>
      <c r="D109" s="60" t="s">
        <v>334</v>
      </c>
      <c r="E109" s="58"/>
    </row>
    <row r="110" customFormat="false" ht="163.5" hidden="false" customHeight="true" outlineLevel="0" collapsed="false">
      <c r="A110" s="57" t="s">
        <v>339</v>
      </c>
      <c r="B110" s="58" t="s">
        <v>627</v>
      </c>
      <c r="C110" s="59" t="n">
        <v>20</v>
      </c>
      <c r="D110" s="60" t="s">
        <v>334</v>
      </c>
      <c r="E110" s="58"/>
    </row>
    <row r="111" customFormat="false" ht="21.75" hidden="false" customHeight="true" outlineLevel="0" collapsed="false">
      <c r="A111" s="57" t="s">
        <v>415</v>
      </c>
      <c r="B111" s="58" t="s">
        <v>416</v>
      </c>
      <c r="C111" s="59" t="n">
        <v>20</v>
      </c>
      <c r="D111" s="60" t="s">
        <v>334</v>
      </c>
      <c r="E111" s="58"/>
    </row>
    <row r="112" customFormat="false" ht="6" hidden="false" customHeight="true" outlineLevel="0" collapsed="false"/>
    <row r="113" customFormat="false" ht="25.5" hidden="false" customHeight="true" outlineLevel="0" collapsed="false">
      <c r="A113" s="62" t="s">
        <v>628</v>
      </c>
      <c r="B113" s="62"/>
      <c r="C113" s="62"/>
      <c r="D113" s="62"/>
      <c r="E113" s="62"/>
    </row>
    <row r="114" customFormat="false" ht="21.75" hidden="false" customHeight="true" outlineLevel="0" collapsed="false">
      <c r="A114" s="61" t="s">
        <v>394</v>
      </c>
      <c r="B114" s="58" t="s">
        <v>395</v>
      </c>
      <c r="C114" s="59" t="n">
        <v>5</v>
      </c>
      <c r="D114" s="60" t="s">
        <v>334</v>
      </c>
      <c r="E114" s="58"/>
    </row>
    <row r="115" customFormat="false" ht="46.5" hidden="false" customHeight="true" outlineLevel="0" collapsed="false">
      <c r="A115" s="57" t="s">
        <v>396</v>
      </c>
      <c r="B115" s="58" t="s">
        <v>629</v>
      </c>
      <c r="C115" s="59" t="n">
        <v>10</v>
      </c>
      <c r="D115" s="60" t="s">
        <v>334</v>
      </c>
      <c r="E115" s="58"/>
    </row>
    <row r="116" customFormat="false" ht="99" hidden="false" customHeight="true" outlineLevel="0" collapsed="false">
      <c r="A116" s="57" t="s">
        <v>398</v>
      </c>
      <c r="B116" s="58" t="s">
        <v>630</v>
      </c>
      <c r="C116" s="59" t="n">
        <v>20</v>
      </c>
      <c r="D116" s="60" t="s">
        <v>334</v>
      </c>
      <c r="E116" s="58"/>
    </row>
    <row r="117" customFormat="false" ht="60" hidden="false" customHeight="true" outlineLevel="0" collapsed="false">
      <c r="A117" s="57" t="s">
        <v>400</v>
      </c>
      <c r="B117" s="58" t="s">
        <v>631</v>
      </c>
      <c r="C117" s="59" t="n">
        <v>25</v>
      </c>
      <c r="D117" s="60" t="s">
        <v>334</v>
      </c>
      <c r="E117" s="58"/>
    </row>
    <row r="118" customFormat="false" ht="163.5" hidden="false" customHeight="true" outlineLevel="0" collapsed="false">
      <c r="A118" s="57" t="s">
        <v>339</v>
      </c>
      <c r="B118" s="58" t="s">
        <v>632</v>
      </c>
      <c r="C118" s="59" t="n">
        <v>20</v>
      </c>
      <c r="D118" s="60" t="s">
        <v>334</v>
      </c>
      <c r="E118" s="58"/>
    </row>
    <row r="119" customFormat="false" ht="21.75" hidden="false" customHeight="true" outlineLevel="0" collapsed="false">
      <c r="A119" s="57" t="s">
        <v>341</v>
      </c>
      <c r="B119" s="58" t="s">
        <v>422</v>
      </c>
      <c r="C119" s="59" t="n">
        <v>20</v>
      </c>
      <c r="D119" s="60" t="s">
        <v>334</v>
      </c>
      <c r="E119" s="58"/>
    </row>
    <row r="120" customFormat="false" ht="6" hidden="false" customHeight="true" outlineLevel="0" collapsed="false"/>
    <row r="121" customFormat="false" ht="25.5" hidden="false" customHeight="true" outlineLevel="0" collapsed="false">
      <c r="A121" s="62" t="s">
        <v>633</v>
      </c>
      <c r="B121" s="62"/>
      <c r="C121" s="62"/>
      <c r="D121" s="62"/>
      <c r="E121" s="62"/>
    </row>
    <row r="122" customFormat="false" ht="21.75" hidden="false" customHeight="true" outlineLevel="0" collapsed="false">
      <c r="A122" s="61" t="s">
        <v>394</v>
      </c>
      <c r="B122" s="58" t="s">
        <v>395</v>
      </c>
      <c r="C122" s="59" t="n">
        <v>5</v>
      </c>
      <c r="D122" s="60" t="s">
        <v>334</v>
      </c>
      <c r="E122" s="58"/>
    </row>
    <row r="123" customFormat="false" ht="46.5" hidden="false" customHeight="true" outlineLevel="0" collapsed="false">
      <c r="A123" s="57" t="s">
        <v>396</v>
      </c>
      <c r="B123" s="58" t="s">
        <v>634</v>
      </c>
      <c r="C123" s="59" t="n">
        <v>10</v>
      </c>
      <c r="D123" s="60" t="s">
        <v>334</v>
      </c>
      <c r="E123" s="58"/>
    </row>
    <row r="124" customFormat="false" ht="99" hidden="false" customHeight="true" outlineLevel="0" collapsed="false">
      <c r="A124" s="57" t="s">
        <v>398</v>
      </c>
      <c r="B124" s="58" t="s">
        <v>635</v>
      </c>
      <c r="C124" s="59" t="n">
        <v>20</v>
      </c>
      <c r="D124" s="60" t="s">
        <v>334</v>
      </c>
      <c r="E124" s="58"/>
    </row>
    <row r="125" customFormat="false" ht="60" hidden="false" customHeight="true" outlineLevel="0" collapsed="false">
      <c r="A125" s="57" t="s">
        <v>400</v>
      </c>
      <c r="B125" s="58" t="s">
        <v>636</v>
      </c>
      <c r="C125" s="59" t="n">
        <v>25</v>
      </c>
      <c r="D125" s="60" t="s">
        <v>334</v>
      </c>
      <c r="E125" s="58"/>
    </row>
    <row r="126" customFormat="false" ht="138" hidden="false" customHeight="true" outlineLevel="0" collapsed="false">
      <c r="A126" s="57" t="s">
        <v>339</v>
      </c>
      <c r="B126" s="58" t="s">
        <v>637</v>
      </c>
      <c r="C126" s="59" t="n">
        <v>20</v>
      </c>
      <c r="D126" s="60" t="s">
        <v>334</v>
      </c>
      <c r="E126" s="58"/>
    </row>
    <row r="127" customFormat="false" ht="21.75" hidden="false" customHeight="true" outlineLevel="0" collapsed="false">
      <c r="A127" s="57" t="s">
        <v>415</v>
      </c>
      <c r="B127" s="58" t="s">
        <v>428</v>
      </c>
      <c r="C127" s="59" t="n">
        <v>20</v>
      </c>
      <c r="D127" s="60" t="s">
        <v>334</v>
      </c>
      <c r="E127" s="58"/>
    </row>
    <row r="128" customFormat="false" ht="6" hidden="false" customHeight="true" outlineLevel="0" collapsed="false"/>
    <row r="129" customFormat="false" ht="25.5" hidden="false" customHeight="true" outlineLevel="0" collapsed="false">
      <c r="A129" s="62" t="s">
        <v>638</v>
      </c>
      <c r="B129" s="62"/>
      <c r="C129" s="62"/>
      <c r="D129" s="62"/>
      <c r="E129" s="62"/>
    </row>
    <row r="130" customFormat="false" ht="21.75" hidden="false" customHeight="true" outlineLevel="0" collapsed="false">
      <c r="A130" s="61" t="s">
        <v>394</v>
      </c>
      <c r="B130" s="58" t="s">
        <v>395</v>
      </c>
      <c r="C130" s="59" t="n">
        <v>5</v>
      </c>
      <c r="D130" s="60" t="s">
        <v>334</v>
      </c>
      <c r="E130" s="58"/>
    </row>
    <row r="131" customFormat="false" ht="46.5" hidden="false" customHeight="true" outlineLevel="0" collapsed="false">
      <c r="A131" s="57" t="s">
        <v>396</v>
      </c>
      <c r="B131" s="58" t="s">
        <v>639</v>
      </c>
      <c r="C131" s="59" t="n">
        <v>10</v>
      </c>
      <c r="D131" s="60" t="s">
        <v>334</v>
      </c>
      <c r="E131" s="58"/>
    </row>
    <row r="132" customFormat="false" ht="99" hidden="false" customHeight="true" outlineLevel="0" collapsed="false">
      <c r="A132" s="57" t="s">
        <v>398</v>
      </c>
      <c r="B132" s="58" t="s">
        <v>640</v>
      </c>
      <c r="C132" s="59" t="n">
        <v>20</v>
      </c>
      <c r="D132" s="60" t="s">
        <v>334</v>
      </c>
      <c r="E132" s="58"/>
    </row>
    <row r="133" customFormat="false" ht="99" hidden="false" customHeight="true" outlineLevel="0" collapsed="false">
      <c r="A133" s="57" t="s">
        <v>400</v>
      </c>
      <c r="B133" s="58" t="s">
        <v>641</v>
      </c>
      <c r="C133" s="59" t="n">
        <v>25</v>
      </c>
      <c r="D133" s="60" t="s">
        <v>334</v>
      </c>
      <c r="E133" s="58"/>
    </row>
    <row r="134" customFormat="false" ht="163.5" hidden="false" customHeight="true" outlineLevel="0" collapsed="false">
      <c r="A134" s="57" t="s">
        <v>339</v>
      </c>
      <c r="B134" s="58" t="s">
        <v>642</v>
      </c>
      <c r="C134" s="59" t="n">
        <v>20</v>
      </c>
      <c r="D134" s="60" t="s">
        <v>334</v>
      </c>
      <c r="E134" s="58"/>
    </row>
    <row r="135" customFormat="false" ht="21.75" hidden="false" customHeight="true" outlineLevel="0" collapsed="false">
      <c r="A135" s="57" t="s">
        <v>341</v>
      </c>
      <c r="B135" s="58" t="s">
        <v>434</v>
      </c>
      <c r="C135" s="59" t="n">
        <v>20</v>
      </c>
      <c r="D135" s="60" t="s">
        <v>334</v>
      </c>
      <c r="E135" s="58"/>
    </row>
    <row r="136" customFormat="false" ht="6" hidden="false" customHeight="true" outlineLevel="0" collapsed="false"/>
    <row r="137" customFormat="false" ht="25.5" hidden="false" customHeight="true" outlineLevel="0" collapsed="false">
      <c r="A137" s="63" t="s">
        <v>643</v>
      </c>
      <c r="B137" s="63"/>
      <c r="C137" s="63"/>
      <c r="D137" s="63"/>
      <c r="E137" s="63"/>
    </row>
    <row r="138" customFormat="false" ht="33.75" hidden="false" customHeight="true" outlineLevel="0" collapsed="false">
      <c r="A138" s="57" t="s">
        <v>398</v>
      </c>
      <c r="B138" s="58" t="s">
        <v>436</v>
      </c>
      <c r="C138" s="59" t="n">
        <v>25</v>
      </c>
      <c r="D138" s="60" t="s">
        <v>334</v>
      </c>
      <c r="E138" s="58"/>
    </row>
    <row r="139" customFormat="false" ht="21.75" hidden="false" customHeight="true" outlineLevel="0" collapsed="false">
      <c r="A139" s="57" t="s">
        <v>396</v>
      </c>
      <c r="B139" s="58" t="s">
        <v>437</v>
      </c>
      <c r="C139" s="59" t="n">
        <v>10</v>
      </c>
      <c r="D139" s="60" t="s">
        <v>334</v>
      </c>
      <c r="E139" s="58"/>
    </row>
    <row r="140" customFormat="false" ht="21.75" hidden="false" customHeight="true" outlineLevel="0" collapsed="false">
      <c r="A140" s="57" t="s">
        <v>400</v>
      </c>
      <c r="B140" s="58" t="s">
        <v>644</v>
      </c>
      <c r="C140" s="59" t="n">
        <v>25</v>
      </c>
      <c r="D140" s="60" t="s">
        <v>334</v>
      </c>
      <c r="E140" s="58"/>
    </row>
    <row r="141" customFormat="false" ht="21.75" hidden="false" customHeight="true" outlineLevel="0" collapsed="false">
      <c r="A141" s="57" t="s">
        <v>339</v>
      </c>
      <c r="B141" s="58" t="s">
        <v>645</v>
      </c>
      <c r="C141" s="59" t="n">
        <v>20</v>
      </c>
      <c r="D141" s="60" t="s">
        <v>334</v>
      </c>
      <c r="E141" s="58"/>
    </row>
    <row r="142" customFormat="false" ht="21.75" hidden="false" customHeight="true" outlineLevel="0" collapsed="false">
      <c r="A142" s="57" t="s">
        <v>440</v>
      </c>
      <c r="B142" s="58" t="s">
        <v>646</v>
      </c>
      <c r="C142" s="59" t="n">
        <v>25</v>
      </c>
      <c r="D142" s="60" t="s">
        <v>334</v>
      </c>
      <c r="E142" s="58"/>
    </row>
    <row r="143" customFormat="false" ht="6" hidden="false" customHeight="true" outlineLevel="0" collapsed="false"/>
    <row r="144" customFormat="false" ht="25.5" hidden="false" customHeight="true" outlineLevel="0" collapsed="false">
      <c r="A144" s="62" t="s">
        <v>647</v>
      </c>
      <c r="B144" s="62"/>
      <c r="C144" s="62"/>
      <c r="D144" s="62"/>
      <c r="E144" s="62"/>
    </row>
    <row r="145" customFormat="false" ht="21.75" hidden="false" customHeight="true" outlineLevel="0" collapsed="false">
      <c r="A145" s="61" t="s">
        <v>394</v>
      </c>
      <c r="B145" s="58" t="s">
        <v>395</v>
      </c>
      <c r="C145" s="59" t="n">
        <v>5</v>
      </c>
      <c r="D145" s="60" t="s">
        <v>334</v>
      </c>
      <c r="E145" s="58"/>
    </row>
    <row r="146" customFormat="false" ht="46.5" hidden="false" customHeight="true" outlineLevel="0" collapsed="false">
      <c r="A146" s="57" t="s">
        <v>396</v>
      </c>
      <c r="B146" s="58" t="s">
        <v>648</v>
      </c>
      <c r="C146" s="59" t="n">
        <v>10</v>
      </c>
      <c r="D146" s="60" t="s">
        <v>334</v>
      </c>
      <c r="E146" s="58"/>
    </row>
    <row r="147" customFormat="false" ht="99" hidden="false" customHeight="true" outlineLevel="0" collapsed="false">
      <c r="A147" s="57" t="s">
        <v>398</v>
      </c>
      <c r="B147" s="58" t="s">
        <v>649</v>
      </c>
      <c r="C147" s="59" t="n">
        <v>20</v>
      </c>
      <c r="D147" s="60" t="s">
        <v>334</v>
      </c>
      <c r="E147" s="58"/>
    </row>
    <row r="148" customFormat="false" ht="60" hidden="false" customHeight="true" outlineLevel="0" collapsed="false">
      <c r="A148" s="57" t="s">
        <v>400</v>
      </c>
      <c r="B148" s="58" t="s">
        <v>650</v>
      </c>
      <c r="C148" s="59" t="n">
        <v>25</v>
      </c>
      <c r="D148" s="60" t="s">
        <v>334</v>
      </c>
      <c r="E148" s="58"/>
    </row>
    <row r="149" customFormat="false" ht="163.5" hidden="false" customHeight="true" outlineLevel="0" collapsed="false">
      <c r="A149" s="57" t="s">
        <v>339</v>
      </c>
      <c r="B149" s="58" t="s">
        <v>651</v>
      </c>
      <c r="C149" s="59" t="n">
        <v>20</v>
      </c>
      <c r="D149" s="60" t="s">
        <v>334</v>
      </c>
      <c r="E149" s="58"/>
    </row>
    <row r="150" customFormat="false" ht="21.75" hidden="false" customHeight="true" outlineLevel="0" collapsed="false">
      <c r="A150" s="57" t="s">
        <v>341</v>
      </c>
      <c r="B150" s="58" t="s">
        <v>409</v>
      </c>
      <c r="C150" s="59" t="n">
        <v>20</v>
      </c>
      <c r="D150" s="60" t="s">
        <v>334</v>
      </c>
      <c r="E150" s="58"/>
    </row>
    <row r="151" customFormat="false" ht="6" hidden="false" customHeight="true" outlineLevel="0" collapsed="false"/>
    <row r="152" customFormat="false" ht="25.5" hidden="false" customHeight="true" outlineLevel="0" collapsed="false">
      <c r="A152" s="62" t="s">
        <v>652</v>
      </c>
      <c r="B152" s="62"/>
      <c r="C152" s="62"/>
      <c r="D152" s="62"/>
      <c r="E152" s="62"/>
    </row>
    <row r="153" customFormat="false" ht="21.75" hidden="false" customHeight="true" outlineLevel="0" collapsed="false">
      <c r="A153" s="61" t="s">
        <v>394</v>
      </c>
      <c r="B153" s="58" t="s">
        <v>395</v>
      </c>
      <c r="C153" s="59" t="n">
        <v>5</v>
      </c>
      <c r="D153" s="60" t="s">
        <v>334</v>
      </c>
      <c r="E153" s="58"/>
    </row>
    <row r="154" customFormat="false" ht="46.5" hidden="false" customHeight="true" outlineLevel="0" collapsed="false">
      <c r="A154" s="57" t="s">
        <v>396</v>
      </c>
      <c r="B154" s="58" t="s">
        <v>653</v>
      </c>
      <c r="C154" s="59" t="n">
        <v>10</v>
      </c>
      <c r="D154" s="60" t="s">
        <v>334</v>
      </c>
      <c r="E154" s="58"/>
    </row>
    <row r="155" customFormat="false" ht="99" hidden="false" customHeight="true" outlineLevel="0" collapsed="false">
      <c r="A155" s="57" t="s">
        <v>398</v>
      </c>
      <c r="B155" s="58" t="s">
        <v>654</v>
      </c>
      <c r="C155" s="59" t="n">
        <v>20</v>
      </c>
      <c r="D155" s="60" t="s">
        <v>334</v>
      </c>
      <c r="E155" s="58"/>
    </row>
    <row r="156" customFormat="false" ht="60" hidden="false" customHeight="true" outlineLevel="0" collapsed="false">
      <c r="A156" s="57" t="s">
        <v>400</v>
      </c>
      <c r="B156" s="58" t="s">
        <v>655</v>
      </c>
      <c r="C156" s="59" t="n">
        <v>25</v>
      </c>
      <c r="D156" s="60" t="s">
        <v>334</v>
      </c>
      <c r="E156" s="58"/>
    </row>
    <row r="157" customFormat="false" ht="138" hidden="false" customHeight="true" outlineLevel="0" collapsed="false">
      <c r="A157" s="57" t="s">
        <v>339</v>
      </c>
      <c r="B157" s="58" t="s">
        <v>656</v>
      </c>
      <c r="C157" s="59" t="n">
        <v>20</v>
      </c>
      <c r="D157" s="60" t="s">
        <v>334</v>
      </c>
      <c r="E157" s="58"/>
    </row>
    <row r="158" customFormat="false" ht="21.75" hidden="false" customHeight="true" outlineLevel="0" collapsed="false">
      <c r="A158" s="57" t="s">
        <v>415</v>
      </c>
      <c r="B158" s="58" t="s">
        <v>416</v>
      </c>
      <c r="C158" s="59" t="n">
        <v>20</v>
      </c>
      <c r="D158" s="60" t="s">
        <v>334</v>
      </c>
      <c r="E158" s="58"/>
    </row>
    <row r="159" customFormat="false" ht="6" hidden="false" customHeight="true" outlineLevel="0" collapsed="false"/>
    <row r="160" customFormat="false" ht="25.5" hidden="false" customHeight="true" outlineLevel="0" collapsed="false">
      <c r="A160" s="62" t="s">
        <v>657</v>
      </c>
      <c r="B160" s="62"/>
      <c r="C160" s="62"/>
      <c r="D160" s="62"/>
      <c r="E160" s="62"/>
    </row>
    <row r="161" customFormat="false" ht="21.75" hidden="false" customHeight="true" outlineLevel="0" collapsed="false">
      <c r="A161" s="61" t="s">
        <v>394</v>
      </c>
      <c r="B161" s="58" t="s">
        <v>395</v>
      </c>
      <c r="C161" s="59" t="n">
        <v>5</v>
      </c>
      <c r="D161" s="60" t="s">
        <v>334</v>
      </c>
      <c r="E161" s="58"/>
    </row>
    <row r="162" customFormat="false" ht="46.5" hidden="false" customHeight="true" outlineLevel="0" collapsed="false">
      <c r="A162" s="57" t="s">
        <v>396</v>
      </c>
      <c r="B162" s="58" t="s">
        <v>658</v>
      </c>
      <c r="C162" s="59" t="n">
        <v>10</v>
      </c>
      <c r="D162" s="60" t="s">
        <v>334</v>
      </c>
      <c r="E162" s="58"/>
    </row>
    <row r="163" customFormat="false" ht="99" hidden="false" customHeight="true" outlineLevel="0" collapsed="false">
      <c r="A163" s="57" t="s">
        <v>398</v>
      </c>
      <c r="B163" s="58" t="s">
        <v>659</v>
      </c>
      <c r="C163" s="59" t="n">
        <v>20</v>
      </c>
      <c r="D163" s="60" t="s">
        <v>334</v>
      </c>
      <c r="E163" s="58"/>
    </row>
    <row r="164" customFormat="false" ht="85.5" hidden="false" customHeight="true" outlineLevel="0" collapsed="false">
      <c r="A164" s="57" t="s">
        <v>400</v>
      </c>
      <c r="B164" s="58" t="s">
        <v>660</v>
      </c>
      <c r="C164" s="59" t="n">
        <v>25</v>
      </c>
      <c r="D164" s="60" t="s">
        <v>334</v>
      </c>
      <c r="E164" s="58"/>
    </row>
    <row r="165" customFormat="false" ht="216" hidden="false" customHeight="true" outlineLevel="0" collapsed="false">
      <c r="A165" s="57" t="s">
        <v>339</v>
      </c>
      <c r="B165" s="58" t="s">
        <v>661</v>
      </c>
      <c r="C165" s="59" t="n">
        <v>20</v>
      </c>
      <c r="D165" s="60" t="s">
        <v>334</v>
      </c>
      <c r="E165" s="58"/>
    </row>
    <row r="166" customFormat="false" ht="21.75" hidden="false" customHeight="true" outlineLevel="0" collapsed="false">
      <c r="A166" s="57" t="s">
        <v>341</v>
      </c>
      <c r="B166" s="58" t="s">
        <v>422</v>
      </c>
      <c r="C166" s="59" t="n">
        <v>20</v>
      </c>
      <c r="D166" s="60" t="s">
        <v>334</v>
      </c>
      <c r="E166" s="58"/>
    </row>
    <row r="167" customFormat="false" ht="6" hidden="false" customHeight="true" outlineLevel="0" collapsed="false"/>
    <row r="168" customFormat="false" ht="25.5" hidden="false" customHeight="true" outlineLevel="0" collapsed="false">
      <c r="A168" s="62" t="s">
        <v>662</v>
      </c>
      <c r="B168" s="62"/>
      <c r="C168" s="62"/>
      <c r="D168" s="62"/>
      <c r="E168" s="62"/>
    </row>
    <row r="169" customFormat="false" ht="21.75" hidden="false" customHeight="true" outlineLevel="0" collapsed="false">
      <c r="A169" s="61" t="s">
        <v>394</v>
      </c>
      <c r="B169" s="58" t="s">
        <v>395</v>
      </c>
      <c r="C169" s="59" t="n">
        <v>5</v>
      </c>
      <c r="D169" s="60" t="s">
        <v>334</v>
      </c>
      <c r="E169" s="58"/>
    </row>
    <row r="170" customFormat="false" ht="21.75" hidden="false" customHeight="true" outlineLevel="0" collapsed="false">
      <c r="A170" s="57" t="s">
        <v>396</v>
      </c>
      <c r="B170" s="58" t="s">
        <v>663</v>
      </c>
      <c r="C170" s="59" t="n">
        <v>10</v>
      </c>
      <c r="D170" s="60" t="s">
        <v>334</v>
      </c>
      <c r="E170" s="58"/>
    </row>
    <row r="171" customFormat="false" ht="99" hidden="false" customHeight="true" outlineLevel="0" collapsed="false">
      <c r="A171" s="57" t="s">
        <v>398</v>
      </c>
      <c r="B171" s="58" t="s">
        <v>664</v>
      </c>
      <c r="C171" s="59" t="n">
        <v>20</v>
      </c>
      <c r="D171" s="60" t="s">
        <v>334</v>
      </c>
      <c r="E171" s="58"/>
    </row>
    <row r="172" customFormat="false" ht="85.5" hidden="false" customHeight="true" outlineLevel="0" collapsed="false">
      <c r="A172" s="57" t="s">
        <v>400</v>
      </c>
      <c r="B172" s="58" t="s">
        <v>665</v>
      </c>
      <c r="C172" s="59" t="n">
        <v>25</v>
      </c>
      <c r="D172" s="60" t="s">
        <v>334</v>
      </c>
      <c r="E172" s="58"/>
    </row>
    <row r="173" customFormat="false" ht="216" hidden="false" customHeight="true" outlineLevel="0" collapsed="false">
      <c r="A173" s="57" t="s">
        <v>339</v>
      </c>
      <c r="B173" s="58" t="s">
        <v>666</v>
      </c>
      <c r="C173" s="59" t="n">
        <v>20</v>
      </c>
      <c r="D173" s="60" t="s">
        <v>334</v>
      </c>
      <c r="E173" s="58"/>
    </row>
    <row r="174" customFormat="false" ht="21.75" hidden="false" customHeight="true" outlineLevel="0" collapsed="false">
      <c r="A174" s="57" t="s">
        <v>415</v>
      </c>
      <c r="B174" s="58" t="s">
        <v>428</v>
      </c>
      <c r="C174" s="59" t="n">
        <v>20</v>
      </c>
      <c r="D174" s="60" t="s">
        <v>334</v>
      </c>
      <c r="E174" s="58"/>
    </row>
    <row r="175" customFormat="false" ht="6" hidden="false" customHeight="true" outlineLevel="0" collapsed="false"/>
    <row r="176" customFormat="false" ht="25.5" hidden="false" customHeight="true" outlineLevel="0" collapsed="false">
      <c r="A176" s="62" t="s">
        <v>667</v>
      </c>
      <c r="B176" s="62"/>
      <c r="C176" s="62"/>
      <c r="D176" s="62"/>
      <c r="E176" s="62"/>
    </row>
    <row r="177" customFormat="false" ht="21.75" hidden="false" customHeight="true" outlineLevel="0" collapsed="false">
      <c r="A177" s="61" t="s">
        <v>394</v>
      </c>
      <c r="B177" s="58" t="s">
        <v>395</v>
      </c>
      <c r="C177" s="59" t="n">
        <v>5</v>
      </c>
      <c r="D177" s="60" t="s">
        <v>334</v>
      </c>
      <c r="E177" s="58"/>
    </row>
    <row r="178" customFormat="false" ht="21.75" hidden="false" customHeight="true" outlineLevel="0" collapsed="false">
      <c r="A178" s="57" t="s">
        <v>396</v>
      </c>
      <c r="B178" s="58" t="s">
        <v>663</v>
      </c>
      <c r="C178" s="59" t="n">
        <v>10</v>
      </c>
      <c r="D178" s="60" t="s">
        <v>334</v>
      </c>
      <c r="E178" s="58"/>
    </row>
    <row r="179" customFormat="false" ht="111.75" hidden="false" customHeight="true" outlineLevel="0" collapsed="false">
      <c r="A179" s="57" t="s">
        <v>398</v>
      </c>
      <c r="B179" s="58" t="s">
        <v>668</v>
      </c>
      <c r="C179" s="59" t="n">
        <v>20</v>
      </c>
      <c r="D179" s="60" t="s">
        <v>334</v>
      </c>
      <c r="E179" s="58"/>
    </row>
    <row r="180" customFormat="false" ht="85.5" hidden="false" customHeight="true" outlineLevel="0" collapsed="false">
      <c r="A180" s="57" t="s">
        <v>400</v>
      </c>
      <c r="B180" s="58" t="s">
        <v>669</v>
      </c>
      <c r="C180" s="59" t="n">
        <v>25</v>
      </c>
      <c r="D180" s="60" t="s">
        <v>334</v>
      </c>
      <c r="E180" s="58"/>
    </row>
    <row r="181" customFormat="false" ht="216" hidden="false" customHeight="true" outlineLevel="0" collapsed="false">
      <c r="A181" s="57" t="s">
        <v>339</v>
      </c>
      <c r="B181" s="58" t="s">
        <v>670</v>
      </c>
      <c r="C181" s="59" t="n">
        <v>20</v>
      </c>
      <c r="D181" s="60" t="s">
        <v>334</v>
      </c>
      <c r="E181" s="58"/>
    </row>
    <row r="182" customFormat="false" ht="21.75" hidden="false" customHeight="true" outlineLevel="0" collapsed="false">
      <c r="A182" s="57" t="s">
        <v>341</v>
      </c>
      <c r="B182" s="58" t="s">
        <v>434</v>
      </c>
      <c r="C182" s="59" t="n">
        <v>20</v>
      </c>
      <c r="D182" s="60" t="s">
        <v>334</v>
      </c>
      <c r="E182" s="58"/>
    </row>
    <row r="183" customFormat="false" ht="6" hidden="false" customHeight="true" outlineLevel="0" collapsed="false"/>
    <row r="184" customFormat="false" ht="25.5" hidden="false" customHeight="true" outlineLevel="0" collapsed="false">
      <c r="A184" s="62" t="s">
        <v>671</v>
      </c>
      <c r="B184" s="62"/>
      <c r="C184" s="62"/>
      <c r="D184" s="62"/>
      <c r="E184" s="62"/>
    </row>
    <row r="185" customFormat="false" ht="21.75" hidden="false" customHeight="true" outlineLevel="0" collapsed="false">
      <c r="A185" s="61" t="s">
        <v>394</v>
      </c>
      <c r="B185" s="58" t="s">
        <v>395</v>
      </c>
      <c r="C185" s="59" t="n">
        <v>5</v>
      </c>
      <c r="D185" s="60" t="s">
        <v>334</v>
      </c>
      <c r="E185" s="58"/>
    </row>
    <row r="186" customFormat="false" ht="21.75" hidden="false" customHeight="true" outlineLevel="0" collapsed="false">
      <c r="A186" s="57" t="s">
        <v>396</v>
      </c>
      <c r="B186" s="58" t="s">
        <v>663</v>
      </c>
      <c r="C186" s="59" t="n">
        <v>10</v>
      </c>
      <c r="D186" s="60" t="s">
        <v>334</v>
      </c>
      <c r="E186" s="58"/>
    </row>
    <row r="187" customFormat="false" ht="99" hidden="false" customHeight="true" outlineLevel="0" collapsed="false">
      <c r="A187" s="57" t="s">
        <v>398</v>
      </c>
      <c r="B187" s="58" t="s">
        <v>672</v>
      </c>
      <c r="C187" s="59" t="n">
        <v>20</v>
      </c>
      <c r="D187" s="60" t="s">
        <v>334</v>
      </c>
      <c r="E187" s="58"/>
    </row>
    <row r="188" customFormat="false" ht="60" hidden="false" customHeight="true" outlineLevel="0" collapsed="false">
      <c r="A188" s="57" t="s">
        <v>400</v>
      </c>
      <c r="B188" s="58" t="s">
        <v>673</v>
      </c>
      <c r="C188" s="59" t="n">
        <v>25</v>
      </c>
      <c r="D188" s="60" t="s">
        <v>334</v>
      </c>
      <c r="E188" s="58"/>
    </row>
    <row r="189" customFormat="false" ht="216" hidden="false" customHeight="true" outlineLevel="0" collapsed="false">
      <c r="A189" s="57" t="s">
        <v>339</v>
      </c>
      <c r="B189" s="58" t="s">
        <v>674</v>
      </c>
      <c r="C189" s="59" t="n">
        <v>20</v>
      </c>
      <c r="D189" s="60" t="s">
        <v>334</v>
      </c>
      <c r="E189" s="58"/>
    </row>
    <row r="190" customFormat="false" ht="33.75" hidden="false" customHeight="true" outlineLevel="0" collapsed="false">
      <c r="A190" s="57" t="s">
        <v>341</v>
      </c>
      <c r="B190" s="58" t="s">
        <v>403</v>
      </c>
      <c r="C190" s="59" t="n">
        <v>20</v>
      </c>
      <c r="D190" s="60" t="s">
        <v>334</v>
      </c>
      <c r="E190" s="58"/>
    </row>
    <row r="191" customFormat="false" ht="6" hidden="false" customHeight="true" outlineLevel="0" collapsed="false"/>
    <row r="192" customFormat="false" ht="25.5" hidden="false" customHeight="true" outlineLevel="0" collapsed="false">
      <c r="A192" s="63" t="s">
        <v>675</v>
      </c>
      <c r="B192" s="63"/>
      <c r="C192" s="63"/>
      <c r="D192" s="63"/>
      <c r="E192" s="63"/>
    </row>
    <row r="193" customFormat="false" ht="33.75" hidden="false" customHeight="true" outlineLevel="0" collapsed="false">
      <c r="A193" s="57" t="s">
        <v>398</v>
      </c>
      <c r="B193" s="58" t="s">
        <v>436</v>
      </c>
      <c r="C193" s="59" t="n">
        <v>25</v>
      </c>
      <c r="D193" s="60" t="s">
        <v>334</v>
      </c>
      <c r="E193" s="58"/>
    </row>
    <row r="194" customFormat="false" ht="21.75" hidden="false" customHeight="true" outlineLevel="0" collapsed="false">
      <c r="A194" s="57" t="s">
        <v>396</v>
      </c>
      <c r="B194" s="58" t="s">
        <v>437</v>
      </c>
      <c r="C194" s="59" t="n">
        <v>10</v>
      </c>
      <c r="D194" s="60" t="s">
        <v>334</v>
      </c>
      <c r="E194" s="58"/>
    </row>
    <row r="195" customFormat="false" ht="21.75" hidden="false" customHeight="true" outlineLevel="0" collapsed="false">
      <c r="A195" s="57" t="s">
        <v>400</v>
      </c>
      <c r="B195" s="58" t="s">
        <v>676</v>
      </c>
      <c r="C195" s="59" t="n">
        <v>25</v>
      </c>
      <c r="D195" s="60" t="s">
        <v>334</v>
      </c>
      <c r="E195" s="58"/>
    </row>
    <row r="196" customFormat="false" ht="21.75" hidden="false" customHeight="true" outlineLevel="0" collapsed="false">
      <c r="A196" s="57" t="s">
        <v>339</v>
      </c>
      <c r="B196" s="58" t="s">
        <v>677</v>
      </c>
      <c r="C196" s="59" t="n">
        <v>20</v>
      </c>
      <c r="D196" s="60" t="s">
        <v>334</v>
      </c>
      <c r="E196" s="58"/>
    </row>
    <row r="197" customFormat="false" ht="21.75" hidden="false" customHeight="true" outlineLevel="0" collapsed="false">
      <c r="A197" s="57" t="s">
        <v>440</v>
      </c>
      <c r="B197" s="58" t="s">
        <v>678</v>
      </c>
      <c r="C197" s="59" t="n">
        <v>25</v>
      </c>
      <c r="D197" s="60" t="s">
        <v>334</v>
      </c>
      <c r="E197" s="58"/>
    </row>
    <row r="198" customFormat="false" ht="6" hidden="false" customHeight="true" outlineLevel="0" collapsed="false"/>
    <row r="199" customFormat="false" ht="25.5" hidden="false" customHeight="true" outlineLevel="0" collapsed="false">
      <c r="A199" s="62" t="s">
        <v>679</v>
      </c>
      <c r="B199" s="62"/>
      <c r="C199" s="62"/>
      <c r="D199" s="62"/>
      <c r="E199" s="62"/>
    </row>
    <row r="200" customFormat="false" ht="21.75" hidden="false" customHeight="true" outlineLevel="0" collapsed="false">
      <c r="A200" s="61" t="s">
        <v>394</v>
      </c>
      <c r="B200" s="58" t="s">
        <v>395</v>
      </c>
      <c r="C200" s="59" t="n">
        <v>5</v>
      </c>
      <c r="D200" s="60" t="s">
        <v>334</v>
      </c>
      <c r="E200" s="58"/>
    </row>
    <row r="201" customFormat="false" ht="21.75" hidden="false" customHeight="true" outlineLevel="0" collapsed="false">
      <c r="A201" s="57" t="s">
        <v>396</v>
      </c>
      <c r="B201" s="58" t="s">
        <v>663</v>
      </c>
      <c r="C201" s="59" t="n">
        <v>10</v>
      </c>
      <c r="D201" s="60" t="s">
        <v>334</v>
      </c>
      <c r="E201" s="58"/>
    </row>
    <row r="202" customFormat="false" ht="111.75" hidden="false" customHeight="true" outlineLevel="0" collapsed="false">
      <c r="A202" s="57" t="s">
        <v>398</v>
      </c>
      <c r="B202" s="58" t="s">
        <v>680</v>
      </c>
      <c r="C202" s="59" t="n">
        <v>20</v>
      </c>
      <c r="D202" s="60" t="s">
        <v>334</v>
      </c>
      <c r="E202" s="58"/>
    </row>
    <row r="203" customFormat="false" ht="85.5" hidden="false" customHeight="true" outlineLevel="0" collapsed="false">
      <c r="A203" s="57" t="s">
        <v>400</v>
      </c>
      <c r="B203" s="58" t="s">
        <v>681</v>
      </c>
      <c r="C203" s="59" t="n">
        <v>25</v>
      </c>
      <c r="D203" s="60" t="s">
        <v>334</v>
      </c>
      <c r="E203" s="58"/>
    </row>
    <row r="204" customFormat="false" ht="216" hidden="false" customHeight="true" outlineLevel="0" collapsed="false">
      <c r="A204" s="57" t="s">
        <v>339</v>
      </c>
      <c r="B204" s="58" t="s">
        <v>682</v>
      </c>
      <c r="C204" s="59" t="n">
        <v>20</v>
      </c>
      <c r="D204" s="60" t="s">
        <v>334</v>
      </c>
      <c r="E204" s="58"/>
    </row>
    <row r="205" customFormat="false" ht="21.75" hidden="false" customHeight="true" outlineLevel="0" collapsed="false">
      <c r="A205" s="57" t="s">
        <v>415</v>
      </c>
      <c r="B205" s="58" t="s">
        <v>416</v>
      </c>
      <c r="C205" s="59" t="n">
        <v>20</v>
      </c>
      <c r="D205" s="60" t="s">
        <v>334</v>
      </c>
      <c r="E205" s="58"/>
    </row>
    <row r="206" customFormat="false" ht="6" hidden="false" customHeight="true" outlineLevel="0" collapsed="false"/>
    <row r="207" customFormat="false" ht="25.5" hidden="false" customHeight="true" outlineLevel="0" collapsed="false">
      <c r="A207" s="62" t="s">
        <v>683</v>
      </c>
      <c r="B207" s="62"/>
      <c r="C207" s="62"/>
      <c r="D207" s="62"/>
      <c r="E207" s="62"/>
    </row>
    <row r="208" customFormat="false" ht="21.75" hidden="false" customHeight="true" outlineLevel="0" collapsed="false">
      <c r="A208" s="61" t="s">
        <v>394</v>
      </c>
      <c r="B208" s="58" t="s">
        <v>395</v>
      </c>
      <c r="C208" s="59" t="n">
        <v>5</v>
      </c>
      <c r="D208" s="60" t="s">
        <v>334</v>
      </c>
      <c r="E208" s="58"/>
    </row>
    <row r="209" customFormat="false" ht="21.75" hidden="false" customHeight="true" outlineLevel="0" collapsed="false">
      <c r="A209" s="57" t="s">
        <v>396</v>
      </c>
      <c r="B209" s="58" t="s">
        <v>663</v>
      </c>
      <c r="C209" s="59" t="n">
        <v>10</v>
      </c>
      <c r="D209" s="60" t="s">
        <v>334</v>
      </c>
      <c r="E209" s="58"/>
    </row>
    <row r="210" customFormat="false" ht="60" hidden="false" customHeight="true" outlineLevel="0" collapsed="false">
      <c r="A210" s="57" t="s">
        <v>398</v>
      </c>
      <c r="B210" s="58" t="s">
        <v>684</v>
      </c>
      <c r="C210" s="59" t="n">
        <v>20</v>
      </c>
      <c r="D210" s="60" t="s">
        <v>334</v>
      </c>
      <c r="E210" s="58"/>
    </row>
    <row r="211" customFormat="false" ht="72.75" hidden="false" customHeight="true" outlineLevel="0" collapsed="false">
      <c r="A211" s="57" t="s">
        <v>400</v>
      </c>
      <c r="B211" s="58" t="s">
        <v>685</v>
      </c>
      <c r="C211" s="59" t="n">
        <v>25</v>
      </c>
      <c r="D211" s="60" t="s">
        <v>334</v>
      </c>
      <c r="E211" s="58"/>
    </row>
    <row r="212" customFormat="false" ht="216" hidden="false" customHeight="true" outlineLevel="0" collapsed="false">
      <c r="A212" s="57" t="s">
        <v>339</v>
      </c>
      <c r="B212" s="58" t="s">
        <v>686</v>
      </c>
      <c r="C212" s="59" t="n">
        <v>20</v>
      </c>
      <c r="D212" s="60" t="s">
        <v>334</v>
      </c>
      <c r="E212" s="58"/>
    </row>
    <row r="213" customFormat="false" ht="21.75" hidden="false" customHeight="true" outlineLevel="0" collapsed="false">
      <c r="A213" s="57" t="s">
        <v>341</v>
      </c>
      <c r="B213" s="58" t="s">
        <v>422</v>
      </c>
      <c r="C213" s="59" t="n">
        <v>20</v>
      </c>
      <c r="D213" s="60" t="s">
        <v>334</v>
      </c>
      <c r="E213" s="58"/>
    </row>
    <row r="214" customFormat="false" ht="6" hidden="false" customHeight="true" outlineLevel="0" collapsed="false"/>
    <row r="215" customFormat="false" ht="25.5" hidden="false" customHeight="true" outlineLevel="0" collapsed="false">
      <c r="A215" s="62" t="s">
        <v>687</v>
      </c>
      <c r="B215" s="62"/>
      <c r="C215" s="62"/>
      <c r="D215" s="62"/>
      <c r="E215" s="62"/>
    </row>
    <row r="216" customFormat="false" ht="21.75" hidden="false" customHeight="true" outlineLevel="0" collapsed="false">
      <c r="A216" s="61" t="s">
        <v>394</v>
      </c>
      <c r="B216" s="58" t="s">
        <v>395</v>
      </c>
      <c r="C216" s="59" t="n">
        <v>5</v>
      </c>
      <c r="D216" s="60" t="s">
        <v>334</v>
      </c>
      <c r="E216" s="58"/>
    </row>
    <row r="217" customFormat="false" ht="21.75" hidden="false" customHeight="true" outlineLevel="0" collapsed="false">
      <c r="A217" s="57" t="s">
        <v>396</v>
      </c>
      <c r="B217" s="58" t="s">
        <v>663</v>
      </c>
      <c r="C217" s="59" t="n">
        <v>10</v>
      </c>
      <c r="D217" s="60" t="s">
        <v>334</v>
      </c>
      <c r="E217" s="58"/>
    </row>
    <row r="218" customFormat="false" ht="60" hidden="false" customHeight="true" outlineLevel="0" collapsed="false">
      <c r="A218" s="57" t="s">
        <v>398</v>
      </c>
      <c r="B218" s="58" t="s">
        <v>688</v>
      </c>
      <c r="C218" s="59" t="n">
        <v>20</v>
      </c>
      <c r="D218" s="60" t="s">
        <v>334</v>
      </c>
      <c r="E218" s="58"/>
    </row>
    <row r="219" customFormat="false" ht="85.5" hidden="false" customHeight="true" outlineLevel="0" collapsed="false">
      <c r="A219" s="57" t="s">
        <v>400</v>
      </c>
      <c r="B219" s="58" t="s">
        <v>689</v>
      </c>
      <c r="C219" s="59" t="n">
        <v>25</v>
      </c>
      <c r="D219" s="60" t="s">
        <v>334</v>
      </c>
      <c r="E219" s="58"/>
    </row>
    <row r="220" customFormat="false" ht="216" hidden="false" customHeight="true" outlineLevel="0" collapsed="false">
      <c r="A220" s="57" t="s">
        <v>339</v>
      </c>
      <c r="B220" s="58" t="s">
        <v>690</v>
      </c>
      <c r="C220" s="59" t="n">
        <v>20</v>
      </c>
      <c r="D220" s="60" t="s">
        <v>334</v>
      </c>
      <c r="E220" s="58"/>
    </row>
    <row r="221" customFormat="false" ht="21.75" hidden="false" customHeight="true" outlineLevel="0" collapsed="false">
      <c r="A221" s="57" t="s">
        <v>415</v>
      </c>
      <c r="B221" s="58" t="s">
        <v>428</v>
      </c>
      <c r="C221" s="59" t="n">
        <v>20</v>
      </c>
      <c r="D221" s="60" t="s">
        <v>334</v>
      </c>
      <c r="E221" s="58"/>
    </row>
    <row r="222" customFormat="false" ht="6" hidden="false" customHeight="true" outlineLevel="0" collapsed="false"/>
    <row r="223" customFormat="false" ht="25.5" hidden="false" customHeight="true" outlineLevel="0" collapsed="false">
      <c r="A223" s="62" t="s">
        <v>691</v>
      </c>
      <c r="B223" s="62"/>
      <c r="C223" s="62"/>
      <c r="D223" s="62"/>
      <c r="E223" s="62"/>
    </row>
    <row r="224" customFormat="false" ht="21.75" hidden="false" customHeight="true" outlineLevel="0" collapsed="false">
      <c r="A224" s="61" t="s">
        <v>394</v>
      </c>
      <c r="B224" s="58" t="s">
        <v>395</v>
      </c>
      <c r="C224" s="59" t="n">
        <v>5</v>
      </c>
      <c r="D224" s="60" t="s">
        <v>334</v>
      </c>
      <c r="E224" s="58"/>
    </row>
    <row r="225" customFormat="false" ht="21.75" hidden="false" customHeight="true" outlineLevel="0" collapsed="false">
      <c r="A225" s="57" t="s">
        <v>396</v>
      </c>
      <c r="B225" s="58" t="s">
        <v>663</v>
      </c>
      <c r="C225" s="59" t="n">
        <v>10</v>
      </c>
      <c r="D225" s="60" t="s">
        <v>334</v>
      </c>
      <c r="E225" s="58"/>
    </row>
    <row r="226" customFormat="false" ht="60" hidden="false" customHeight="true" outlineLevel="0" collapsed="false">
      <c r="A226" s="57" t="s">
        <v>398</v>
      </c>
      <c r="B226" s="58" t="s">
        <v>692</v>
      </c>
      <c r="C226" s="59" t="n">
        <v>20</v>
      </c>
      <c r="D226" s="60" t="s">
        <v>334</v>
      </c>
      <c r="E226" s="58"/>
    </row>
    <row r="227" customFormat="false" ht="85.5" hidden="false" customHeight="true" outlineLevel="0" collapsed="false">
      <c r="A227" s="57" t="s">
        <v>400</v>
      </c>
      <c r="B227" s="58" t="s">
        <v>693</v>
      </c>
      <c r="C227" s="59" t="n">
        <v>25</v>
      </c>
      <c r="D227" s="60" t="s">
        <v>334</v>
      </c>
      <c r="E227" s="58"/>
    </row>
    <row r="228" customFormat="false" ht="216" hidden="false" customHeight="true" outlineLevel="0" collapsed="false">
      <c r="A228" s="57" t="s">
        <v>339</v>
      </c>
      <c r="B228" s="58" t="s">
        <v>694</v>
      </c>
      <c r="C228" s="59" t="n">
        <v>20</v>
      </c>
      <c r="D228" s="60" t="s">
        <v>334</v>
      </c>
      <c r="E228" s="58"/>
    </row>
    <row r="229" customFormat="false" ht="21.75" hidden="false" customHeight="true" outlineLevel="0" collapsed="false">
      <c r="A229" s="57" t="s">
        <v>341</v>
      </c>
      <c r="B229" s="58" t="s">
        <v>434</v>
      </c>
      <c r="C229" s="59" t="n">
        <v>20</v>
      </c>
      <c r="D229" s="60" t="s">
        <v>334</v>
      </c>
      <c r="E229" s="58"/>
    </row>
    <row r="230" customFormat="false" ht="6" hidden="false" customHeight="true" outlineLevel="0" collapsed="false"/>
    <row r="231" customFormat="false" ht="25.5" hidden="false" customHeight="true" outlineLevel="0" collapsed="false">
      <c r="A231" s="62" t="s">
        <v>695</v>
      </c>
      <c r="B231" s="62"/>
      <c r="C231" s="62"/>
      <c r="D231" s="62"/>
      <c r="E231" s="62"/>
    </row>
    <row r="232" customFormat="false" ht="21.75" hidden="false" customHeight="true" outlineLevel="0" collapsed="false">
      <c r="A232" s="61" t="s">
        <v>394</v>
      </c>
      <c r="B232" s="58" t="s">
        <v>395</v>
      </c>
      <c r="C232" s="59" t="n">
        <v>5</v>
      </c>
      <c r="D232" s="60" t="s">
        <v>334</v>
      </c>
      <c r="E232" s="58"/>
    </row>
    <row r="233" customFormat="false" ht="21.75" hidden="false" customHeight="true" outlineLevel="0" collapsed="false">
      <c r="A233" s="57" t="s">
        <v>396</v>
      </c>
      <c r="B233" s="58" t="s">
        <v>663</v>
      </c>
      <c r="C233" s="59" t="n">
        <v>10</v>
      </c>
      <c r="D233" s="60" t="s">
        <v>334</v>
      </c>
      <c r="E233" s="58"/>
    </row>
    <row r="234" customFormat="false" ht="60" hidden="false" customHeight="true" outlineLevel="0" collapsed="false">
      <c r="A234" s="57" t="s">
        <v>398</v>
      </c>
      <c r="B234" s="58" t="s">
        <v>696</v>
      </c>
      <c r="C234" s="59" t="n">
        <v>20</v>
      </c>
      <c r="D234" s="60" t="s">
        <v>334</v>
      </c>
      <c r="E234" s="58"/>
    </row>
    <row r="235" customFormat="false" ht="85.5" hidden="false" customHeight="true" outlineLevel="0" collapsed="false">
      <c r="A235" s="57" t="s">
        <v>400</v>
      </c>
      <c r="B235" s="58" t="s">
        <v>697</v>
      </c>
      <c r="C235" s="59" t="n">
        <v>25</v>
      </c>
      <c r="D235" s="60" t="s">
        <v>334</v>
      </c>
      <c r="E235" s="58"/>
    </row>
    <row r="236" customFormat="false" ht="216" hidden="false" customHeight="true" outlineLevel="0" collapsed="false">
      <c r="A236" s="57" t="s">
        <v>339</v>
      </c>
      <c r="B236" s="58" t="s">
        <v>698</v>
      </c>
      <c r="C236" s="59" t="n">
        <v>20</v>
      </c>
      <c r="D236" s="60" t="s">
        <v>334</v>
      </c>
      <c r="E236" s="58"/>
    </row>
    <row r="237" customFormat="false" ht="33.75" hidden="false" customHeight="true" outlineLevel="0" collapsed="false">
      <c r="A237" s="57" t="s">
        <v>341</v>
      </c>
      <c r="B237" s="58" t="s">
        <v>403</v>
      </c>
      <c r="C237" s="59" t="n">
        <v>20</v>
      </c>
      <c r="D237" s="60" t="s">
        <v>334</v>
      </c>
      <c r="E237" s="58"/>
    </row>
    <row r="238" customFormat="false" ht="6" hidden="false" customHeight="true" outlineLevel="0" collapsed="false"/>
    <row r="239" customFormat="false" ht="25.5" hidden="false" customHeight="true" outlineLevel="0" collapsed="false">
      <c r="A239" s="62" t="s">
        <v>699</v>
      </c>
      <c r="B239" s="62"/>
      <c r="C239" s="62"/>
      <c r="D239" s="62"/>
      <c r="E239" s="62"/>
    </row>
    <row r="240" customFormat="false" ht="21.75" hidden="false" customHeight="true" outlineLevel="0" collapsed="false">
      <c r="A240" s="61" t="s">
        <v>394</v>
      </c>
      <c r="B240" s="58" t="s">
        <v>395</v>
      </c>
      <c r="C240" s="59" t="n">
        <v>5</v>
      </c>
      <c r="D240" s="60" t="s">
        <v>334</v>
      </c>
      <c r="E240" s="58"/>
    </row>
    <row r="241" customFormat="false" ht="21.75" hidden="false" customHeight="true" outlineLevel="0" collapsed="false">
      <c r="A241" s="57" t="s">
        <v>396</v>
      </c>
      <c r="B241" s="58" t="s">
        <v>663</v>
      </c>
      <c r="C241" s="59" t="n">
        <v>10</v>
      </c>
      <c r="D241" s="60" t="s">
        <v>334</v>
      </c>
      <c r="E241" s="58"/>
    </row>
    <row r="242" customFormat="false" ht="60" hidden="false" customHeight="true" outlineLevel="0" collapsed="false">
      <c r="A242" s="57" t="s">
        <v>398</v>
      </c>
      <c r="B242" s="58" t="s">
        <v>700</v>
      </c>
      <c r="C242" s="59" t="n">
        <v>20</v>
      </c>
      <c r="D242" s="60" t="s">
        <v>334</v>
      </c>
      <c r="E242" s="58"/>
    </row>
    <row r="243" customFormat="false" ht="85.5" hidden="false" customHeight="true" outlineLevel="0" collapsed="false">
      <c r="A243" s="57" t="s">
        <v>400</v>
      </c>
      <c r="B243" s="58" t="s">
        <v>701</v>
      </c>
      <c r="C243" s="59" t="n">
        <v>25</v>
      </c>
      <c r="D243" s="60" t="s">
        <v>334</v>
      </c>
      <c r="E243" s="58"/>
    </row>
    <row r="244" customFormat="false" ht="216" hidden="false" customHeight="true" outlineLevel="0" collapsed="false">
      <c r="A244" s="57" t="s">
        <v>339</v>
      </c>
      <c r="B244" s="58" t="s">
        <v>702</v>
      </c>
      <c r="C244" s="59" t="n">
        <v>20</v>
      </c>
      <c r="D244" s="60" t="s">
        <v>334</v>
      </c>
      <c r="E244" s="58"/>
    </row>
    <row r="245" customFormat="false" ht="21.75" hidden="false" customHeight="true" outlineLevel="0" collapsed="false">
      <c r="A245" s="57" t="s">
        <v>341</v>
      </c>
      <c r="B245" s="58" t="s">
        <v>409</v>
      </c>
      <c r="C245" s="59" t="n">
        <v>20</v>
      </c>
      <c r="D245" s="60" t="s">
        <v>334</v>
      </c>
      <c r="E245" s="58"/>
    </row>
    <row r="246" customFormat="false" ht="6" hidden="false" customHeight="true" outlineLevel="0" collapsed="false"/>
    <row r="247" customFormat="false" ht="25.5" hidden="false" customHeight="true" outlineLevel="0" collapsed="false">
      <c r="A247" s="63" t="s">
        <v>703</v>
      </c>
      <c r="B247" s="63"/>
      <c r="C247" s="63"/>
      <c r="D247" s="63"/>
      <c r="E247" s="63"/>
    </row>
    <row r="248" customFormat="false" ht="33.75" hidden="false" customHeight="true" outlineLevel="0" collapsed="false">
      <c r="A248" s="57" t="s">
        <v>398</v>
      </c>
      <c r="B248" s="58" t="s">
        <v>436</v>
      </c>
      <c r="C248" s="59" t="n">
        <v>25</v>
      </c>
      <c r="D248" s="60" t="s">
        <v>334</v>
      </c>
      <c r="E248" s="58"/>
    </row>
    <row r="249" customFormat="false" ht="21.75" hidden="false" customHeight="true" outlineLevel="0" collapsed="false">
      <c r="A249" s="57" t="s">
        <v>396</v>
      </c>
      <c r="B249" s="58" t="s">
        <v>437</v>
      </c>
      <c r="C249" s="59" t="n">
        <v>10</v>
      </c>
      <c r="D249" s="60" t="s">
        <v>334</v>
      </c>
      <c r="E249" s="58"/>
    </row>
    <row r="250" customFormat="false" ht="21.75" hidden="false" customHeight="true" outlineLevel="0" collapsed="false">
      <c r="A250" s="57" t="s">
        <v>400</v>
      </c>
      <c r="B250" s="58" t="s">
        <v>704</v>
      </c>
      <c r="C250" s="59" t="n">
        <v>25</v>
      </c>
      <c r="D250" s="60" t="s">
        <v>334</v>
      </c>
      <c r="E250" s="58"/>
    </row>
    <row r="251" customFormat="false" ht="21.75" hidden="false" customHeight="true" outlineLevel="0" collapsed="false">
      <c r="A251" s="57" t="s">
        <v>339</v>
      </c>
      <c r="B251" s="58" t="s">
        <v>705</v>
      </c>
      <c r="C251" s="59" t="n">
        <v>20</v>
      </c>
      <c r="D251" s="60" t="s">
        <v>334</v>
      </c>
      <c r="E251" s="58"/>
    </row>
    <row r="252" customFormat="false" ht="21.75" hidden="false" customHeight="true" outlineLevel="0" collapsed="false">
      <c r="A252" s="57" t="s">
        <v>440</v>
      </c>
      <c r="B252" s="58" t="s">
        <v>706</v>
      </c>
      <c r="C252" s="59" t="n">
        <v>25</v>
      </c>
      <c r="D252" s="60" t="s">
        <v>334</v>
      </c>
      <c r="E252" s="58"/>
    </row>
    <row r="253" customFormat="false" ht="6" hidden="false" customHeight="true" outlineLevel="0" collapsed="false"/>
  </sheetData>
  <mergeCells count="33">
    <mergeCell ref="A1:E1"/>
    <mergeCell ref="A3:E3"/>
    <mergeCell ref="A11:E11"/>
    <mergeCell ref="A19:E19"/>
    <mergeCell ref="A27:E27"/>
    <mergeCell ref="A34:E34"/>
    <mergeCell ref="A42:E42"/>
    <mergeCell ref="A50:E50"/>
    <mergeCell ref="A58:E58"/>
    <mergeCell ref="A66:E66"/>
    <mergeCell ref="A74:E74"/>
    <mergeCell ref="A82:E82"/>
    <mergeCell ref="A89:E89"/>
    <mergeCell ref="A97:E97"/>
    <mergeCell ref="A105:E105"/>
    <mergeCell ref="A113:E113"/>
    <mergeCell ref="A121:E121"/>
    <mergeCell ref="A129:E129"/>
    <mergeCell ref="A137:E137"/>
    <mergeCell ref="A144:E144"/>
    <mergeCell ref="A152:E152"/>
    <mergeCell ref="A160:E160"/>
    <mergeCell ref="A168:E168"/>
    <mergeCell ref="A176:E176"/>
    <mergeCell ref="A184:E184"/>
    <mergeCell ref="A192:E192"/>
    <mergeCell ref="A199:E199"/>
    <mergeCell ref="A207:E207"/>
    <mergeCell ref="A215:E215"/>
    <mergeCell ref="A223:E223"/>
    <mergeCell ref="A231:E231"/>
    <mergeCell ref="A239:E239"/>
    <mergeCell ref="A247:E247"/>
  </mergeCells>
  <conditionalFormatting sqref="A3:E254">
    <cfRule type="expression" priority="2" aboveAverage="0" equalAverage="0" bottom="0" percent="0" rank="0" text="" dxfId="8">
      <formula>$D3="Xong"</formula>
    </cfRule>
    <cfRule type="expression" priority="3" aboveAverage="0" equalAverage="0" bottom="0" percent="0" rank="0" text="" dxfId="9">
      <formula>$D3="Đang học"</formula>
    </cfRule>
  </conditionalFormatting>
  <dataValidations count="1">
    <dataValidation allowBlank="true" errorStyle="stop" operator="between" showDropDown="false" showErrorMessage="false" showInputMessage="false" sqref="D3:D254" type="list">
      <formula1>"Chưa học,Đang học,Xong"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E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4"/>
    <col collapsed="false" customWidth="true" hidden="false" outlineLevel="0" max="3" min="3" style="0" width="8"/>
    <col collapsed="false" customWidth="true" hidden="false" outlineLevel="0" max="4" min="4" style="0" width="13"/>
    <col collapsed="false" customWidth="true" hidden="false" outlineLevel="0" max="5" min="5" style="0" width="26"/>
  </cols>
  <sheetData>
    <row r="1" customFormat="false" ht="31.5" hidden="false" customHeight="true" outlineLevel="0" collapsed="false">
      <c r="A1" s="15" t="s">
        <v>707</v>
      </c>
      <c r="B1" s="15"/>
      <c r="C1" s="15"/>
      <c r="D1" s="15"/>
      <c r="E1" s="15"/>
    </row>
    <row r="2" customFormat="false" ht="25.5" hidden="false" customHeight="true" outlineLevel="0" collapsed="false">
      <c r="A2" s="16" t="s">
        <v>328</v>
      </c>
      <c r="B2" s="16" t="s">
        <v>329</v>
      </c>
      <c r="C2" s="16" t="s">
        <v>85</v>
      </c>
      <c r="D2" s="16" t="s">
        <v>330</v>
      </c>
      <c r="E2" s="16" t="s">
        <v>88</v>
      </c>
    </row>
    <row r="3" customFormat="false" ht="25.5" hidden="false" customHeight="true" outlineLevel="0" collapsed="false">
      <c r="A3" s="64" t="s">
        <v>708</v>
      </c>
      <c r="B3" s="64"/>
      <c r="C3" s="64"/>
      <c r="D3" s="64"/>
      <c r="E3" s="64"/>
    </row>
    <row r="4" customFormat="false" ht="33.75" hidden="false" customHeight="true" outlineLevel="0" collapsed="false">
      <c r="A4" s="57" t="s">
        <v>398</v>
      </c>
      <c r="B4" s="58" t="s">
        <v>709</v>
      </c>
      <c r="C4" s="59" t="n">
        <v>35</v>
      </c>
      <c r="D4" s="60" t="s">
        <v>334</v>
      </c>
      <c r="E4" s="58"/>
    </row>
    <row r="5" customFormat="false" ht="21.75" hidden="false" customHeight="true" outlineLevel="0" collapsed="false">
      <c r="A5" s="57" t="s">
        <v>396</v>
      </c>
      <c r="B5" s="58" t="s">
        <v>710</v>
      </c>
      <c r="C5" s="59" t="n">
        <v>15</v>
      </c>
      <c r="D5" s="60" t="s">
        <v>334</v>
      </c>
      <c r="E5" s="58"/>
    </row>
    <row r="6" customFormat="false" ht="21.75" hidden="false" customHeight="true" outlineLevel="0" collapsed="false">
      <c r="A6" s="57" t="s">
        <v>339</v>
      </c>
      <c r="B6" s="58" t="s">
        <v>711</v>
      </c>
      <c r="C6" s="59" t="n">
        <v>25</v>
      </c>
      <c r="D6" s="60" t="s">
        <v>334</v>
      </c>
      <c r="E6" s="58"/>
    </row>
    <row r="7" customFormat="false" ht="21.75" hidden="false" customHeight="true" outlineLevel="0" collapsed="false">
      <c r="A7" s="57" t="s">
        <v>341</v>
      </c>
      <c r="B7" s="58" t="s">
        <v>712</v>
      </c>
      <c r="C7" s="59" t="n">
        <v>25</v>
      </c>
      <c r="D7" s="60" t="s">
        <v>334</v>
      </c>
      <c r="E7" s="58"/>
    </row>
    <row r="8" customFormat="false" ht="6" hidden="false" customHeight="true" outlineLevel="0" collapsed="false"/>
    <row r="9" customFormat="false" ht="25.5" hidden="false" customHeight="true" outlineLevel="0" collapsed="false">
      <c r="A9" s="64" t="s">
        <v>713</v>
      </c>
      <c r="B9" s="64"/>
      <c r="C9" s="64"/>
      <c r="D9" s="64"/>
      <c r="E9" s="64"/>
    </row>
    <row r="10" customFormat="false" ht="21.75" hidden="false" customHeight="true" outlineLevel="0" collapsed="false">
      <c r="A10" s="57" t="s">
        <v>398</v>
      </c>
      <c r="B10" s="58" t="s">
        <v>714</v>
      </c>
      <c r="C10" s="59" t="n">
        <v>20</v>
      </c>
      <c r="D10" s="60" t="s">
        <v>334</v>
      </c>
      <c r="E10" s="58"/>
    </row>
    <row r="11" customFormat="false" ht="21.75" hidden="false" customHeight="true" outlineLevel="0" collapsed="false">
      <c r="A11" s="57" t="s">
        <v>400</v>
      </c>
      <c r="B11" s="58" t="s">
        <v>715</v>
      </c>
      <c r="C11" s="59" t="n">
        <v>35</v>
      </c>
      <c r="D11" s="60" t="s">
        <v>334</v>
      </c>
      <c r="E11" s="58"/>
    </row>
    <row r="12" customFormat="false" ht="21.75" hidden="false" customHeight="true" outlineLevel="0" collapsed="false">
      <c r="A12" s="57" t="s">
        <v>339</v>
      </c>
      <c r="B12" s="58" t="s">
        <v>716</v>
      </c>
      <c r="C12" s="59" t="n">
        <v>25</v>
      </c>
      <c r="D12" s="60" t="s">
        <v>334</v>
      </c>
      <c r="E12" s="58"/>
    </row>
    <row r="13" customFormat="false" ht="21.75" hidden="false" customHeight="true" outlineLevel="0" collapsed="false">
      <c r="A13" s="57" t="s">
        <v>415</v>
      </c>
      <c r="B13" s="58" t="s">
        <v>717</v>
      </c>
      <c r="C13" s="59" t="n">
        <v>20</v>
      </c>
      <c r="D13" s="60" t="s">
        <v>334</v>
      </c>
      <c r="E13" s="58"/>
    </row>
    <row r="14" customFormat="false" ht="6" hidden="false" customHeight="true" outlineLevel="0" collapsed="false"/>
    <row r="15" customFormat="false" ht="25.5" hidden="false" customHeight="true" outlineLevel="0" collapsed="false">
      <c r="A15" s="64" t="s">
        <v>718</v>
      </c>
      <c r="B15" s="64"/>
      <c r="C15" s="64"/>
      <c r="D15" s="64"/>
      <c r="E15" s="64"/>
    </row>
    <row r="16" customFormat="false" ht="21.75" hidden="false" customHeight="true" outlineLevel="0" collapsed="false">
      <c r="A16" s="57" t="s">
        <v>398</v>
      </c>
      <c r="B16" s="58" t="s">
        <v>719</v>
      </c>
      <c r="C16" s="59" t="n">
        <v>20</v>
      </c>
      <c r="D16" s="60" t="s">
        <v>334</v>
      </c>
      <c r="E16" s="58"/>
    </row>
    <row r="17" customFormat="false" ht="21.75" hidden="false" customHeight="true" outlineLevel="0" collapsed="false">
      <c r="A17" s="57" t="s">
        <v>400</v>
      </c>
      <c r="B17" s="58" t="s">
        <v>720</v>
      </c>
      <c r="C17" s="59" t="n">
        <v>35</v>
      </c>
      <c r="D17" s="60" t="s">
        <v>334</v>
      </c>
      <c r="E17" s="58"/>
    </row>
    <row r="18" customFormat="false" ht="21.75" hidden="false" customHeight="true" outlineLevel="0" collapsed="false">
      <c r="A18" s="57" t="s">
        <v>339</v>
      </c>
      <c r="B18" s="58" t="s">
        <v>721</v>
      </c>
      <c r="C18" s="59" t="n">
        <v>25</v>
      </c>
      <c r="D18" s="60" t="s">
        <v>334</v>
      </c>
      <c r="E18" s="58"/>
    </row>
    <row r="19" customFormat="false" ht="21.75" hidden="false" customHeight="true" outlineLevel="0" collapsed="false">
      <c r="A19" s="57" t="s">
        <v>341</v>
      </c>
      <c r="B19" s="58" t="s">
        <v>722</v>
      </c>
      <c r="C19" s="59" t="n">
        <v>20</v>
      </c>
      <c r="D19" s="60" t="s">
        <v>334</v>
      </c>
      <c r="E19" s="58"/>
    </row>
    <row r="20" customFormat="false" ht="6" hidden="false" customHeight="true" outlineLevel="0" collapsed="false"/>
    <row r="21" customFormat="false" ht="25.5" hidden="false" customHeight="true" outlineLevel="0" collapsed="false">
      <c r="A21" s="64" t="s">
        <v>723</v>
      </c>
      <c r="B21" s="64"/>
      <c r="C21" s="64"/>
      <c r="D21" s="64"/>
      <c r="E21" s="64"/>
    </row>
    <row r="22" customFormat="false" ht="21.75" hidden="false" customHeight="true" outlineLevel="0" collapsed="false">
      <c r="A22" s="57" t="s">
        <v>398</v>
      </c>
      <c r="B22" s="58" t="s">
        <v>724</v>
      </c>
      <c r="C22" s="59" t="n">
        <v>20</v>
      </c>
      <c r="D22" s="60" t="s">
        <v>334</v>
      </c>
      <c r="E22" s="58"/>
    </row>
    <row r="23" customFormat="false" ht="21.75" hidden="false" customHeight="true" outlineLevel="0" collapsed="false">
      <c r="A23" s="57" t="s">
        <v>400</v>
      </c>
      <c r="B23" s="58" t="s">
        <v>725</v>
      </c>
      <c r="C23" s="59" t="n">
        <v>40</v>
      </c>
      <c r="D23" s="60" t="s">
        <v>334</v>
      </c>
      <c r="E23" s="58"/>
    </row>
    <row r="24" customFormat="false" ht="21.75" hidden="false" customHeight="true" outlineLevel="0" collapsed="false">
      <c r="A24" s="57" t="s">
        <v>339</v>
      </c>
      <c r="B24" s="58" t="s">
        <v>726</v>
      </c>
      <c r="C24" s="59" t="n">
        <v>20</v>
      </c>
      <c r="D24" s="60" t="s">
        <v>334</v>
      </c>
      <c r="E24" s="58"/>
    </row>
    <row r="25" customFormat="false" ht="21.75" hidden="false" customHeight="true" outlineLevel="0" collapsed="false">
      <c r="A25" s="57" t="s">
        <v>415</v>
      </c>
      <c r="B25" s="58" t="s">
        <v>727</v>
      </c>
      <c r="C25" s="59" t="n">
        <v>20</v>
      </c>
      <c r="D25" s="60" t="s">
        <v>334</v>
      </c>
      <c r="E25" s="58"/>
    </row>
    <row r="26" customFormat="false" ht="6" hidden="false" customHeight="true" outlineLevel="0" collapsed="false"/>
    <row r="27" customFormat="false" ht="25.5" hidden="false" customHeight="true" outlineLevel="0" collapsed="false">
      <c r="A27" s="64" t="s">
        <v>728</v>
      </c>
      <c r="B27" s="64"/>
      <c r="C27" s="64"/>
      <c r="D27" s="64"/>
      <c r="E27" s="64"/>
    </row>
    <row r="28" customFormat="false" ht="21.75" hidden="false" customHeight="true" outlineLevel="0" collapsed="false">
      <c r="A28" s="61" t="s">
        <v>729</v>
      </c>
      <c r="B28" s="58" t="s">
        <v>730</v>
      </c>
      <c r="C28" s="59" t="n">
        <v>25</v>
      </c>
      <c r="D28" s="60" t="s">
        <v>334</v>
      </c>
      <c r="E28" s="58"/>
    </row>
    <row r="29" customFormat="false" ht="21.75" hidden="false" customHeight="true" outlineLevel="0" collapsed="false">
      <c r="A29" s="61" t="s">
        <v>729</v>
      </c>
      <c r="B29" s="58" t="s">
        <v>731</v>
      </c>
      <c r="C29" s="59" t="n">
        <v>30</v>
      </c>
      <c r="D29" s="60" t="s">
        <v>334</v>
      </c>
      <c r="E29" s="58"/>
    </row>
    <row r="30" customFormat="false" ht="21.75" hidden="false" customHeight="true" outlineLevel="0" collapsed="false">
      <c r="A30" s="57" t="s">
        <v>339</v>
      </c>
      <c r="B30" s="58" t="s">
        <v>732</v>
      </c>
      <c r="C30" s="59" t="n">
        <v>20</v>
      </c>
      <c r="D30" s="60" t="s">
        <v>334</v>
      </c>
      <c r="E30" s="58"/>
    </row>
    <row r="31" customFormat="false" ht="21.75" hidden="false" customHeight="true" outlineLevel="0" collapsed="false">
      <c r="A31" s="57" t="s">
        <v>341</v>
      </c>
      <c r="B31" s="58" t="s">
        <v>733</v>
      </c>
      <c r="C31" s="59" t="n">
        <v>20</v>
      </c>
      <c r="D31" s="60" t="s">
        <v>334</v>
      </c>
      <c r="E31" s="58"/>
    </row>
    <row r="32" customFormat="false" ht="6" hidden="false" customHeight="true" outlineLevel="0" collapsed="false"/>
    <row r="33" customFormat="false" ht="25.5" hidden="false" customHeight="true" outlineLevel="0" collapsed="false">
      <c r="A33" s="64" t="s">
        <v>734</v>
      </c>
      <c r="B33" s="64"/>
      <c r="C33" s="64"/>
      <c r="D33" s="64"/>
      <c r="E33" s="64"/>
    </row>
    <row r="34" customFormat="false" ht="21.75" hidden="false" customHeight="true" outlineLevel="0" collapsed="false">
      <c r="A34" s="57" t="s">
        <v>398</v>
      </c>
      <c r="B34" s="58" t="s">
        <v>735</v>
      </c>
      <c r="C34" s="59" t="n">
        <v>20</v>
      </c>
      <c r="D34" s="60" t="s">
        <v>334</v>
      </c>
      <c r="E34" s="58"/>
    </row>
    <row r="35" customFormat="false" ht="21.75" hidden="false" customHeight="true" outlineLevel="0" collapsed="false">
      <c r="A35" s="61" t="s">
        <v>729</v>
      </c>
      <c r="B35" s="58" t="s">
        <v>736</v>
      </c>
      <c r="C35" s="59" t="n">
        <v>30</v>
      </c>
      <c r="D35" s="60" t="s">
        <v>334</v>
      </c>
      <c r="E35" s="58"/>
    </row>
    <row r="36" customFormat="false" ht="21.75" hidden="false" customHeight="true" outlineLevel="0" collapsed="false">
      <c r="A36" s="57" t="s">
        <v>415</v>
      </c>
      <c r="B36" s="58" t="s">
        <v>737</v>
      </c>
      <c r="C36" s="59" t="n">
        <v>30</v>
      </c>
      <c r="D36" s="60" t="s">
        <v>334</v>
      </c>
      <c r="E36" s="58"/>
    </row>
    <row r="37" customFormat="false" ht="21.75" hidden="false" customHeight="true" outlineLevel="0" collapsed="false">
      <c r="A37" s="57" t="s">
        <v>339</v>
      </c>
      <c r="B37" s="58" t="s">
        <v>738</v>
      </c>
      <c r="C37" s="59" t="n">
        <v>15</v>
      </c>
      <c r="D37" s="60" t="s">
        <v>334</v>
      </c>
      <c r="E37" s="58"/>
    </row>
    <row r="38" customFormat="false" ht="6" hidden="false" customHeight="true" outlineLevel="0" collapsed="false"/>
    <row r="39" customFormat="false" ht="25.5" hidden="false" customHeight="true" outlineLevel="0" collapsed="false">
      <c r="A39" s="65" t="s">
        <v>739</v>
      </c>
      <c r="B39" s="65"/>
      <c r="C39" s="65"/>
      <c r="D39" s="65"/>
      <c r="E39" s="65"/>
    </row>
    <row r="40" customFormat="false" ht="21.75" hidden="false" customHeight="true" outlineLevel="0" collapsed="false">
      <c r="A40" s="61" t="s">
        <v>729</v>
      </c>
      <c r="B40" s="58" t="s">
        <v>740</v>
      </c>
      <c r="C40" s="59" t="n">
        <v>25</v>
      </c>
      <c r="D40" s="60" t="s">
        <v>334</v>
      </c>
      <c r="E40" s="58"/>
    </row>
    <row r="41" customFormat="false" ht="21.75" hidden="false" customHeight="true" outlineLevel="0" collapsed="false">
      <c r="A41" s="61" t="s">
        <v>729</v>
      </c>
      <c r="B41" s="58" t="s">
        <v>741</v>
      </c>
      <c r="C41" s="59" t="n">
        <v>50</v>
      </c>
      <c r="D41" s="60" t="s">
        <v>334</v>
      </c>
      <c r="E41" s="58"/>
    </row>
    <row r="42" customFormat="false" ht="21.75" hidden="false" customHeight="true" outlineLevel="0" collapsed="false">
      <c r="A42" s="61" t="s">
        <v>729</v>
      </c>
      <c r="B42" s="58" t="s">
        <v>742</v>
      </c>
      <c r="C42" s="59" t="n">
        <v>30</v>
      </c>
      <c r="D42" s="60" t="s">
        <v>334</v>
      </c>
      <c r="E42" s="58"/>
    </row>
    <row r="43" customFormat="false" ht="21.75" hidden="false" customHeight="true" outlineLevel="0" collapsed="false">
      <c r="A43" s="61" t="s">
        <v>743</v>
      </c>
      <c r="B43" s="58" t="s">
        <v>744</v>
      </c>
      <c r="C43" s="59" t="n">
        <v>15</v>
      </c>
      <c r="D43" s="60" t="s">
        <v>334</v>
      </c>
      <c r="E43" s="58"/>
    </row>
    <row r="44" customFormat="false" ht="6" hidden="false" customHeight="true" outlineLevel="0" collapsed="false"/>
    <row r="45" customFormat="false" ht="25.5" hidden="false" customHeight="true" outlineLevel="0" collapsed="false">
      <c r="A45" s="64" t="s">
        <v>745</v>
      </c>
      <c r="B45" s="64"/>
      <c r="C45" s="64"/>
      <c r="D45" s="64"/>
      <c r="E45" s="64"/>
    </row>
    <row r="46" customFormat="false" ht="21.75" hidden="false" customHeight="true" outlineLevel="0" collapsed="false">
      <c r="A46" s="57" t="s">
        <v>398</v>
      </c>
      <c r="B46" s="58" t="s">
        <v>746</v>
      </c>
      <c r="C46" s="59" t="n">
        <v>25</v>
      </c>
      <c r="D46" s="60" t="s">
        <v>334</v>
      </c>
      <c r="E46" s="58"/>
    </row>
    <row r="47" customFormat="false" ht="21.75" hidden="false" customHeight="true" outlineLevel="0" collapsed="false">
      <c r="A47" s="57" t="s">
        <v>400</v>
      </c>
      <c r="B47" s="58" t="s">
        <v>747</v>
      </c>
      <c r="C47" s="59" t="n">
        <v>30</v>
      </c>
      <c r="D47" s="60" t="s">
        <v>334</v>
      </c>
      <c r="E47" s="58"/>
    </row>
    <row r="48" customFormat="false" ht="21.75" hidden="false" customHeight="true" outlineLevel="0" collapsed="false">
      <c r="A48" s="57" t="s">
        <v>339</v>
      </c>
      <c r="B48" s="58" t="s">
        <v>748</v>
      </c>
      <c r="C48" s="59" t="n">
        <v>20</v>
      </c>
      <c r="D48" s="60" t="s">
        <v>334</v>
      </c>
      <c r="E48" s="58"/>
    </row>
    <row r="49" customFormat="false" ht="21.75" hidden="false" customHeight="true" outlineLevel="0" collapsed="false">
      <c r="A49" s="57" t="s">
        <v>341</v>
      </c>
      <c r="B49" s="58" t="s">
        <v>749</v>
      </c>
      <c r="C49" s="59" t="n">
        <v>25</v>
      </c>
      <c r="D49" s="60" t="s">
        <v>334</v>
      </c>
      <c r="E49" s="58"/>
    </row>
    <row r="50" customFormat="false" ht="6" hidden="false" customHeight="true" outlineLevel="0" collapsed="false"/>
    <row r="51" customFormat="false" ht="25.5" hidden="false" customHeight="true" outlineLevel="0" collapsed="false">
      <c r="A51" s="64" t="s">
        <v>750</v>
      </c>
      <c r="B51" s="64"/>
      <c r="C51" s="64"/>
      <c r="D51" s="64"/>
      <c r="E51" s="64"/>
    </row>
    <row r="52" customFormat="false" ht="21.75" hidden="false" customHeight="true" outlineLevel="0" collapsed="false">
      <c r="A52" s="61" t="s">
        <v>751</v>
      </c>
      <c r="B52" s="58" t="s">
        <v>752</v>
      </c>
      <c r="C52" s="59" t="n">
        <v>5</v>
      </c>
      <c r="D52" s="60" t="s">
        <v>334</v>
      </c>
      <c r="E52" s="58"/>
    </row>
    <row r="53" customFormat="false" ht="21.75" hidden="false" customHeight="true" outlineLevel="0" collapsed="false">
      <c r="A53" s="61" t="s">
        <v>729</v>
      </c>
      <c r="B53" s="58" t="s">
        <v>753</v>
      </c>
      <c r="C53" s="59" t="n">
        <v>45</v>
      </c>
      <c r="D53" s="60" t="s">
        <v>334</v>
      </c>
      <c r="E53" s="58"/>
    </row>
    <row r="54" customFormat="false" ht="21.75" hidden="false" customHeight="true" outlineLevel="0" collapsed="false">
      <c r="A54" s="57" t="s">
        <v>339</v>
      </c>
      <c r="B54" s="58" t="s">
        <v>754</v>
      </c>
      <c r="C54" s="59" t="n">
        <v>25</v>
      </c>
      <c r="D54" s="60" t="s">
        <v>334</v>
      </c>
      <c r="E54" s="58"/>
    </row>
    <row r="55" customFormat="false" ht="21.75" hidden="false" customHeight="true" outlineLevel="0" collapsed="false">
      <c r="A55" s="57" t="s">
        <v>341</v>
      </c>
      <c r="B55" s="58" t="s">
        <v>755</v>
      </c>
      <c r="C55" s="59" t="n">
        <v>20</v>
      </c>
      <c r="D55" s="60" t="s">
        <v>334</v>
      </c>
      <c r="E55" s="58"/>
    </row>
    <row r="56" customFormat="false" ht="6" hidden="false" customHeight="true" outlineLevel="0" collapsed="false"/>
    <row r="57" customFormat="false" ht="25.5" hidden="false" customHeight="true" outlineLevel="0" collapsed="false">
      <c r="A57" s="64" t="s">
        <v>756</v>
      </c>
      <c r="B57" s="64"/>
      <c r="C57" s="64"/>
      <c r="D57" s="64"/>
      <c r="E57" s="64"/>
    </row>
    <row r="58" customFormat="false" ht="21.75" hidden="false" customHeight="true" outlineLevel="0" collapsed="false">
      <c r="A58" s="57" t="s">
        <v>398</v>
      </c>
      <c r="B58" s="58" t="s">
        <v>757</v>
      </c>
      <c r="C58" s="59" t="n">
        <v>20</v>
      </c>
      <c r="D58" s="60" t="s">
        <v>334</v>
      </c>
      <c r="E58" s="58"/>
    </row>
    <row r="59" customFormat="false" ht="21.75" hidden="false" customHeight="true" outlineLevel="0" collapsed="false">
      <c r="A59" s="57" t="s">
        <v>400</v>
      </c>
      <c r="B59" s="58" t="s">
        <v>758</v>
      </c>
      <c r="C59" s="59" t="n">
        <v>25</v>
      </c>
      <c r="D59" s="60" t="s">
        <v>334</v>
      </c>
      <c r="E59" s="58"/>
    </row>
    <row r="60" customFormat="false" ht="21.75" hidden="false" customHeight="true" outlineLevel="0" collapsed="false">
      <c r="A60" s="57" t="s">
        <v>339</v>
      </c>
      <c r="B60" s="58" t="s">
        <v>759</v>
      </c>
      <c r="C60" s="59" t="n">
        <v>25</v>
      </c>
      <c r="D60" s="60" t="s">
        <v>334</v>
      </c>
      <c r="E60" s="58"/>
    </row>
    <row r="61" customFormat="false" ht="21.75" hidden="false" customHeight="true" outlineLevel="0" collapsed="false">
      <c r="A61" s="57" t="s">
        <v>415</v>
      </c>
      <c r="B61" s="58" t="s">
        <v>760</v>
      </c>
      <c r="C61" s="59" t="n">
        <v>25</v>
      </c>
      <c r="D61" s="60" t="s">
        <v>334</v>
      </c>
      <c r="E61" s="58"/>
    </row>
    <row r="62" customFormat="false" ht="6" hidden="false" customHeight="true" outlineLevel="0" collapsed="false"/>
    <row r="63" customFormat="false" ht="25.5" hidden="false" customHeight="true" outlineLevel="0" collapsed="false">
      <c r="A63" s="65" t="s">
        <v>761</v>
      </c>
      <c r="B63" s="65"/>
      <c r="C63" s="65"/>
      <c r="D63" s="65"/>
      <c r="E63" s="65"/>
    </row>
    <row r="64" customFormat="false" ht="21.75" hidden="false" customHeight="true" outlineLevel="0" collapsed="false">
      <c r="A64" s="61" t="s">
        <v>729</v>
      </c>
      <c r="B64" s="58" t="s">
        <v>762</v>
      </c>
      <c r="C64" s="59" t="n">
        <v>25</v>
      </c>
      <c r="D64" s="60" t="s">
        <v>334</v>
      </c>
      <c r="E64" s="58"/>
    </row>
    <row r="65" customFormat="false" ht="21.75" hidden="false" customHeight="true" outlineLevel="0" collapsed="false">
      <c r="A65" s="61" t="s">
        <v>729</v>
      </c>
      <c r="B65" s="58" t="s">
        <v>763</v>
      </c>
      <c r="C65" s="59" t="n">
        <v>50</v>
      </c>
      <c r="D65" s="60" t="s">
        <v>334</v>
      </c>
      <c r="E65" s="58"/>
    </row>
    <row r="66" customFormat="false" ht="21.75" hidden="false" customHeight="true" outlineLevel="0" collapsed="false">
      <c r="A66" s="61" t="s">
        <v>729</v>
      </c>
      <c r="B66" s="58" t="s">
        <v>764</v>
      </c>
      <c r="C66" s="59" t="n">
        <v>30</v>
      </c>
      <c r="D66" s="60" t="s">
        <v>334</v>
      </c>
      <c r="E66" s="58"/>
    </row>
    <row r="67" customFormat="false" ht="21.75" hidden="false" customHeight="true" outlineLevel="0" collapsed="false">
      <c r="A67" s="61" t="s">
        <v>743</v>
      </c>
      <c r="B67" s="58" t="s">
        <v>765</v>
      </c>
      <c r="C67" s="59" t="n">
        <v>15</v>
      </c>
      <c r="D67" s="60" t="s">
        <v>334</v>
      </c>
      <c r="E67" s="58"/>
    </row>
    <row r="68" customFormat="false" ht="6" hidden="false" customHeight="true" outlineLevel="0" collapsed="false"/>
    <row r="69" customFormat="false" ht="25.5" hidden="false" customHeight="true" outlineLevel="0" collapsed="false">
      <c r="A69" s="64" t="s">
        <v>766</v>
      </c>
      <c r="B69" s="64"/>
      <c r="C69" s="64"/>
      <c r="D69" s="64"/>
      <c r="E69" s="64"/>
    </row>
    <row r="70" customFormat="false" ht="21.75" hidden="false" customHeight="true" outlineLevel="0" collapsed="false">
      <c r="A70" s="57" t="s">
        <v>398</v>
      </c>
      <c r="B70" s="58" t="s">
        <v>767</v>
      </c>
      <c r="C70" s="59" t="n">
        <v>25</v>
      </c>
      <c r="D70" s="60" t="s">
        <v>334</v>
      </c>
      <c r="E70" s="58"/>
    </row>
    <row r="71" customFormat="false" ht="21.75" hidden="false" customHeight="true" outlineLevel="0" collapsed="false">
      <c r="A71" s="57" t="s">
        <v>400</v>
      </c>
      <c r="B71" s="58" t="s">
        <v>768</v>
      </c>
      <c r="C71" s="59" t="n">
        <v>30</v>
      </c>
      <c r="D71" s="60" t="s">
        <v>334</v>
      </c>
      <c r="E71" s="58"/>
    </row>
    <row r="72" customFormat="false" ht="21.75" hidden="false" customHeight="true" outlineLevel="0" collapsed="false">
      <c r="A72" s="57" t="s">
        <v>339</v>
      </c>
      <c r="B72" s="58" t="s">
        <v>769</v>
      </c>
      <c r="C72" s="59" t="n">
        <v>25</v>
      </c>
      <c r="D72" s="60" t="s">
        <v>334</v>
      </c>
      <c r="E72" s="58"/>
    </row>
    <row r="73" customFormat="false" ht="21.75" hidden="false" customHeight="true" outlineLevel="0" collapsed="false">
      <c r="A73" s="57" t="s">
        <v>341</v>
      </c>
      <c r="B73" s="58" t="s">
        <v>770</v>
      </c>
      <c r="C73" s="59" t="n">
        <v>20</v>
      </c>
      <c r="D73" s="60" t="s">
        <v>334</v>
      </c>
      <c r="E73" s="58"/>
    </row>
    <row r="74" customFormat="false" ht="6" hidden="false" customHeight="true" outlineLevel="0" collapsed="false"/>
    <row r="75" customFormat="false" ht="25.5" hidden="false" customHeight="true" outlineLevel="0" collapsed="false">
      <c r="A75" s="64" t="s">
        <v>771</v>
      </c>
      <c r="B75" s="64"/>
      <c r="C75" s="64"/>
      <c r="D75" s="64"/>
      <c r="E75" s="64"/>
    </row>
    <row r="76" customFormat="false" ht="21.75" hidden="false" customHeight="true" outlineLevel="0" collapsed="false">
      <c r="A76" s="57" t="s">
        <v>398</v>
      </c>
      <c r="B76" s="58" t="s">
        <v>772</v>
      </c>
      <c r="C76" s="59" t="n">
        <v>15</v>
      </c>
      <c r="D76" s="60" t="s">
        <v>334</v>
      </c>
      <c r="E76" s="58"/>
    </row>
    <row r="77" customFormat="false" ht="21.75" hidden="false" customHeight="true" outlineLevel="0" collapsed="false">
      <c r="A77" s="57" t="s">
        <v>400</v>
      </c>
      <c r="B77" s="58" t="s">
        <v>773</v>
      </c>
      <c r="C77" s="59" t="n">
        <v>15</v>
      </c>
      <c r="D77" s="60" t="s">
        <v>334</v>
      </c>
      <c r="E77" s="58"/>
    </row>
    <row r="78" customFormat="false" ht="21.75" hidden="false" customHeight="true" outlineLevel="0" collapsed="false">
      <c r="A78" s="57" t="s">
        <v>339</v>
      </c>
      <c r="B78" s="58" t="s">
        <v>774</v>
      </c>
      <c r="C78" s="59" t="n">
        <v>15</v>
      </c>
      <c r="D78" s="60" t="s">
        <v>334</v>
      </c>
      <c r="E78" s="58"/>
    </row>
    <row r="79" customFormat="false" ht="33.75" hidden="false" customHeight="true" outlineLevel="0" collapsed="false">
      <c r="A79" s="61" t="s">
        <v>775</v>
      </c>
      <c r="B79" s="58" t="s">
        <v>776</v>
      </c>
      <c r="C79" s="59" t="n">
        <v>15</v>
      </c>
      <c r="D79" s="60" t="s">
        <v>334</v>
      </c>
      <c r="E79" s="58"/>
    </row>
    <row r="80" customFormat="false" ht="6" hidden="false" customHeight="true" outlineLevel="0" collapsed="false"/>
  </sheetData>
  <mergeCells count="14">
    <mergeCell ref="A1:E1"/>
    <mergeCell ref="A3:E3"/>
    <mergeCell ref="A9:E9"/>
    <mergeCell ref="A15:E15"/>
    <mergeCell ref="A21:E21"/>
    <mergeCell ref="A27:E27"/>
    <mergeCell ref="A33:E33"/>
    <mergeCell ref="A39:E39"/>
    <mergeCell ref="A45:E45"/>
    <mergeCell ref="A51:E51"/>
    <mergeCell ref="A57:E57"/>
    <mergeCell ref="A63:E63"/>
    <mergeCell ref="A69:E69"/>
    <mergeCell ref="A75:E75"/>
  </mergeCells>
  <conditionalFormatting sqref="A3:E81">
    <cfRule type="expression" priority="2" aboveAverage="0" equalAverage="0" bottom="0" percent="0" rank="0" text="" dxfId="8">
      <formula>$D3="Xong"</formula>
    </cfRule>
    <cfRule type="expression" priority="3" aboveAverage="0" equalAverage="0" bottom="0" percent="0" rank="0" text="" dxfId="9">
      <formula>$D3="Đang học"</formula>
    </cfRule>
  </conditionalFormatting>
  <dataValidations count="1">
    <dataValidation allowBlank="true" errorStyle="stop" operator="between" showDropDown="false" showErrorMessage="false" showInputMessage="false" sqref="D3:D81" type="list">
      <formula1>"Chưa học,Đang học,Xong"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5" min="2" style="0" width="10"/>
    <col collapsed="false" customWidth="true" hidden="false" outlineLevel="0" max="6" min="6" style="0" width="12"/>
    <col collapsed="false" customWidth="true" hidden="false" outlineLevel="0" max="7" min="7" style="0" width="62"/>
  </cols>
  <sheetData>
    <row r="1" customFormat="false" ht="31.5" hidden="false" customHeight="true" outlineLevel="0" collapsed="false">
      <c r="A1" s="15" t="s">
        <v>777</v>
      </c>
      <c r="B1" s="15"/>
      <c r="C1" s="15"/>
      <c r="D1" s="15"/>
      <c r="E1" s="15"/>
      <c r="F1" s="15"/>
      <c r="G1" s="15"/>
    </row>
    <row r="2" customFormat="false" ht="30" hidden="false" customHeight="true" outlineLevel="0" collapsed="false">
      <c r="A2" s="16" t="s">
        <v>778</v>
      </c>
      <c r="B2" s="16" t="s">
        <v>779</v>
      </c>
      <c r="C2" s="16" t="s">
        <v>780</v>
      </c>
      <c r="D2" s="16" t="s">
        <v>781</v>
      </c>
      <c r="E2" s="16" t="s">
        <v>782</v>
      </c>
      <c r="F2" s="16" t="s">
        <v>330</v>
      </c>
      <c r="G2" s="16" t="s">
        <v>783</v>
      </c>
    </row>
    <row r="3" customFormat="false" ht="24" hidden="false" customHeight="true" outlineLevel="0" collapsed="false">
      <c r="A3" s="66" t="n">
        <v>1</v>
      </c>
      <c r="B3" s="67" t="s">
        <v>784</v>
      </c>
      <c r="C3" s="67" t="s">
        <v>785</v>
      </c>
      <c r="D3" s="66" t="s">
        <v>786</v>
      </c>
      <c r="E3" s="66" t="n">
        <v>1</v>
      </c>
      <c r="F3" s="66" t="s">
        <v>334</v>
      </c>
      <c r="G3" s="68" t="s">
        <v>787</v>
      </c>
    </row>
    <row r="4" customFormat="false" ht="24" hidden="false" customHeight="true" outlineLevel="0" collapsed="false">
      <c r="A4" s="69" t="n">
        <v>2</v>
      </c>
      <c r="B4" s="70" t="s">
        <v>788</v>
      </c>
      <c r="C4" s="70" t="s">
        <v>789</v>
      </c>
      <c r="D4" s="69" t="s">
        <v>790</v>
      </c>
      <c r="E4" s="69" t="n">
        <v>1</v>
      </c>
      <c r="F4" s="69" t="s">
        <v>334</v>
      </c>
      <c r="G4" s="71" t="s">
        <v>791</v>
      </c>
    </row>
    <row r="5" customFormat="false" ht="24" hidden="false" customHeight="true" outlineLevel="0" collapsed="false">
      <c r="A5" s="66" t="n">
        <v>3</v>
      </c>
      <c r="B5" s="67" t="s">
        <v>792</v>
      </c>
      <c r="C5" s="67" t="s">
        <v>793</v>
      </c>
      <c r="D5" s="66" t="s">
        <v>794</v>
      </c>
      <c r="E5" s="66" t="n">
        <v>1</v>
      </c>
      <c r="F5" s="66" t="s">
        <v>334</v>
      </c>
      <c r="G5" s="68" t="s">
        <v>795</v>
      </c>
    </row>
    <row r="6" customFormat="false" ht="24" hidden="false" customHeight="true" outlineLevel="0" collapsed="false">
      <c r="A6" s="69" t="n">
        <v>4</v>
      </c>
      <c r="B6" s="70" t="s">
        <v>796</v>
      </c>
      <c r="C6" s="70" t="s">
        <v>797</v>
      </c>
      <c r="D6" s="69" t="s">
        <v>798</v>
      </c>
      <c r="E6" s="69" t="n">
        <v>1</v>
      </c>
      <c r="F6" s="69" t="s">
        <v>334</v>
      </c>
      <c r="G6" s="71" t="s">
        <v>799</v>
      </c>
    </row>
    <row r="7" customFormat="false" ht="24" hidden="false" customHeight="true" outlineLevel="0" collapsed="false">
      <c r="A7" s="66" t="n">
        <v>5</v>
      </c>
      <c r="B7" s="67" t="s">
        <v>800</v>
      </c>
      <c r="C7" s="67" t="s">
        <v>801</v>
      </c>
      <c r="D7" s="66" t="s">
        <v>802</v>
      </c>
      <c r="E7" s="66" t="n">
        <v>1</v>
      </c>
      <c r="F7" s="66" t="s">
        <v>334</v>
      </c>
      <c r="G7" s="68" t="s">
        <v>803</v>
      </c>
    </row>
    <row r="8" customFormat="false" ht="24" hidden="false" customHeight="true" outlineLevel="0" collapsed="false">
      <c r="A8" s="69" t="n">
        <v>6</v>
      </c>
      <c r="B8" s="70" t="s">
        <v>804</v>
      </c>
      <c r="C8" s="70" t="s">
        <v>805</v>
      </c>
      <c r="D8" s="69" t="s">
        <v>806</v>
      </c>
      <c r="E8" s="69" t="n">
        <v>1</v>
      </c>
      <c r="F8" s="69" t="s">
        <v>334</v>
      </c>
      <c r="G8" s="71" t="s">
        <v>807</v>
      </c>
    </row>
    <row r="9" customFormat="false" ht="24" hidden="false" customHeight="true" outlineLevel="0" collapsed="false">
      <c r="A9" s="66" t="n">
        <v>7</v>
      </c>
      <c r="B9" s="67" t="s">
        <v>808</v>
      </c>
      <c r="C9" s="67" t="s">
        <v>809</v>
      </c>
      <c r="D9" s="66" t="s">
        <v>810</v>
      </c>
      <c r="E9" s="66" t="n">
        <v>1</v>
      </c>
      <c r="F9" s="66" t="s">
        <v>334</v>
      </c>
      <c r="G9" s="68" t="s">
        <v>811</v>
      </c>
    </row>
    <row r="10" customFormat="false" ht="24" hidden="false" customHeight="true" outlineLevel="0" collapsed="false">
      <c r="A10" s="69" t="n">
        <v>8</v>
      </c>
      <c r="B10" s="70" t="s">
        <v>812</v>
      </c>
      <c r="C10" s="70" t="s">
        <v>813</v>
      </c>
      <c r="D10" s="69" t="s">
        <v>814</v>
      </c>
      <c r="E10" s="69" t="n">
        <v>1</v>
      </c>
      <c r="F10" s="69" t="s">
        <v>334</v>
      </c>
      <c r="G10" s="71" t="s">
        <v>815</v>
      </c>
    </row>
    <row r="11" customFormat="false" ht="24" hidden="false" customHeight="true" outlineLevel="0" collapsed="false">
      <c r="A11" s="66" t="n">
        <v>9</v>
      </c>
      <c r="B11" s="67" t="s">
        <v>816</v>
      </c>
      <c r="C11" s="67" t="s">
        <v>817</v>
      </c>
      <c r="D11" s="66" t="s">
        <v>818</v>
      </c>
      <c r="E11" s="66" t="n">
        <v>1</v>
      </c>
      <c r="F11" s="66" t="s">
        <v>334</v>
      </c>
      <c r="G11" s="68" t="s">
        <v>819</v>
      </c>
    </row>
    <row r="12" customFormat="false" ht="24" hidden="false" customHeight="true" outlineLevel="0" collapsed="false">
      <c r="A12" s="69" t="n">
        <v>10</v>
      </c>
      <c r="B12" s="70" t="s">
        <v>820</v>
      </c>
      <c r="C12" s="70" t="s">
        <v>821</v>
      </c>
      <c r="D12" s="69" t="s">
        <v>822</v>
      </c>
      <c r="E12" s="69" t="n">
        <v>1</v>
      </c>
      <c r="F12" s="69" t="s">
        <v>334</v>
      </c>
      <c r="G12" s="71" t="s">
        <v>823</v>
      </c>
    </row>
    <row r="13" customFormat="false" ht="24" hidden="false" customHeight="true" outlineLevel="0" collapsed="false">
      <c r="A13" s="66" t="n">
        <v>11</v>
      </c>
      <c r="B13" s="67" t="s">
        <v>824</v>
      </c>
      <c r="C13" s="67" t="s">
        <v>825</v>
      </c>
      <c r="D13" s="66" t="s">
        <v>826</v>
      </c>
      <c r="E13" s="66" t="n">
        <v>2</v>
      </c>
      <c r="F13" s="66" t="s">
        <v>334</v>
      </c>
      <c r="G13" s="68" t="s">
        <v>827</v>
      </c>
    </row>
    <row r="14" customFormat="false" ht="24" hidden="false" customHeight="true" outlineLevel="0" collapsed="false">
      <c r="A14" s="69" t="n">
        <v>12</v>
      </c>
      <c r="B14" s="70" t="s">
        <v>828</v>
      </c>
      <c r="C14" s="70" t="s">
        <v>829</v>
      </c>
      <c r="D14" s="69" t="s">
        <v>830</v>
      </c>
      <c r="E14" s="69" t="n">
        <v>2</v>
      </c>
      <c r="F14" s="69" t="s">
        <v>334</v>
      </c>
      <c r="G14" s="71" t="s">
        <v>831</v>
      </c>
    </row>
    <row r="15" customFormat="false" ht="24" hidden="false" customHeight="true" outlineLevel="0" collapsed="false">
      <c r="A15" s="66" t="n">
        <v>13</v>
      </c>
      <c r="B15" s="67" t="s">
        <v>832</v>
      </c>
      <c r="C15" s="67" t="s">
        <v>833</v>
      </c>
      <c r="D15" s="66" t="s">
        <v>834</v>
      </c>
      <c r="E15" s="66" t="n">
        <v>2</v>
      </c>
      <c r="F15" s="66" t="s">
        <v>334</v>
      </c>
      <c r="G15" s="68" t="s">
        <v>835</v>
      </c>
    </row>
    <row r="16" customFormat="false" ht="24" hidden="false" customHeight="true" outlineLevel="0" collapsed="false">
      <c r="A16" s="69" t="n">
        <v>14</v>
      </c>
      <c r="B16" s="70" t="s">
        <v>836</v>
      </c>
      <c r="C16" s="70" t="s">
        <v>837</v>
      </c>
      <c r="D16" s="69" t="s">
        <v>838</v>
      </c>
      <c r="E16" s="69" t="n">
        <v>2</v>
      </c>
      <c r="F16" s="69" t="s">
        <v>334</v>
      </c>
      <c r="G16" s="71" t="s">
        <v>839</v>
      </c>
    </row>
    <row r="17" customFormat="false" ht="24" hidden="false" customHeight="true" outlineLevel="0" collapsed="false">
      <c r="A17" s="66" t="n">
        <v>15</v>
      </c>
      <c r="B17" s="67" t="s">
        <v>840</v>
      </c>
      <c r="C17" s="67" t="s">
        <v>841</v>
      </c>
      <c r="D17" s="66" t="s">
        <v>842</v>
      </c>
      <c r="E17" s="66" t="n">
        <v>2</v>
      </c>
      <c r="F17" s="66" t="s">
        <v>334</v>
      </c>
      <c r="G17" s="68" t="s">
        <v>843</v>
      </c>
    </row>
    <row r="18" customFormat="false" ht="24" hidden="false" customHeight="true" outlineLevel="0" collapsed="false">
      <c r="A18" s="69" t="n">
        <v>16</v>
      </c>
      <c r="B18" s="70" t="s">
        <v>844</v>
      </c>
      <c r="C18" s="70" t="s">
        <v>845</v>
      </c>
      <c r="D18" s="69" t="s">
        <v>846</v>
      </c>
      <c r="E18" s="69" t="n">
        <v>2</v>
      </c>
      <c r="F18" s="69" t="s">
        <v>334</v>
      </c>
      <c r="G18" s="71" t="s">
        <v>847</v>
      </c>
    </row>
    <row r="19" customFormat="false" ht="24" hidden="false" customHeight="true" outlineLevel="0" collapsed="false">
      <c r="A19" s="66" t="n">
        <v>17</v>
      </c>
      <c r="B19" s="67" t="s">
        <v>848</v>
      </c>
      <c r="C19" s="67" t="s">
        <v>849</v>
      </c>
      <c r="D19" s="66" t="s">
        <v>850</v>
      </c>
      <c r="E19" s="66" t="n">
        <v>2</v>
      </c>
      <c r="F19" s="66" t="s">
        <v>334</v>
      </c>
      <c r="G19" s="68" t="s">
        <v>851</v>
      </c>
    </row>
    <row r="20" customFormat="false" ht="24" hidden="false" customHeight="true" outlineLevel="0" collapsed="false">
      <c r="A20" s="69" t="n">
        <v>18</v>
      </c>
      <c r="B20" s="70" t="s">
        <v>852</v>
      </c>
      <c r="C20" s="70" t="s">
        <v>853</v>
      </c>
      <c r="D20" s="69" t="s">
        <v>854</v>
      </c>
      <c r="E20" s="69" t="n">
        <v>2</v>
      </c>
      <c r="F20" s="69" t="s">
        <v>334</v>
      </c>
      <c r="G20" s="71" t="s">
        <v>855</v>
      </c>
    </row>
    <row r="21" customFormat="false" ht="24" hidden="false" customHeight="true" outlineLevel="0" collapsed="false">
      <c r="A21" s="66" t="n">
        <v>19</v>
      </c>
      <c r="B21" s="67" t="s">
        <v>856</v>
      </c>
      <c r="C21" s="67" t="s">
        <v>857</v>
      </c>
      <c r="D21" s="66" t="s">
        <v>858</v>
      </c>
      <c r="E21" s="66" t="n">
        <v>2</v>
      </c>
      <c r="F21" s="66" t="s">
        <v>334</v>
      </c>
      <c r="G21" s="68" t="s">
        <v>859</v>
      </c>
    </row>
    <row r="22" customFormat="false" ht="24" hidden="false" customHeight="true" outlineLevel="0" collapsed="false">
      <c r="A22" s="69" t="n">
        <v>20</v>
      </c>
      <c r="B22" s="70" t="s">
        <v>860</v>
      </c>
      <c r="C22" s="70" t="s">
        <v>861</v>
      </c>
      <c r="D22" s="69" t="s">
        <v>862</v>
      </c>
      <c r="E22" s="69" t="n">
        <v>3</v>
      </c>
      <c r="F22" s="69" t="s">
        <v>334</v>
      </c>
      <c r="G22" s="71" t="s">
        <v>863</v>
      </c>
    </row>
    <row r="23" customFormat="false" ht="24" hidden="false" customHeight="true" outlineLevel="0" collapsed="false">
      <c r="A23" s="66" t="n">
        <v>21</v>
      </c>
      <c r="B23" s="67" t="s">
        <v>864</v>
      </c>
      <c r="C23" s="67" t="s">
        <v>865</v>
      </c>
      <c r="D23" s="66" t="s">
        <v>866</v>
      </c>
      <c r="E23" s="66" t="n">
        <v>3</v>
      </c>
      <c r="F23" s="66" t="s">
        <v>334</v>
      </c>
      <c r="G23" s="68" t="s">
        <v>867</v>
      </c>
    </row>
    <row r="24" customFormat="false" ht="24" hidden="false" customHeight="true" outlineLevel="0" collapsed="false">
      <c r="A24" s="69" t="n">
        <v>22</v>
      </c>
      <c r="B24" s="70" t="s">
        <v>868</v>
      </c>
      <c r="C24" s="70" t="s">
        <v>869</v>
      </c>
      <c r="D24" s="69" t="s">
        <v>870</v>
      </c>
      <c r="E24" s="69" t="n">
        <v>3</v>
      </c>
      <c r="F24" s="69" t="s">
        <v>334</v>
      </c>
      <c r="G24" s="71" t="s">
        <v>871</v>
      </c>
    </row>
    <row r="25" customFormat="false" ht="24" hidden="false" customHeight="true" outlineLevel="0" collapsed="false">
      <c r="A25" s="66" t="n">
        <v>23</v>
      </c>
      <c r="B25" s="67" t="s">
        <v>872</v>
      </c>
      <c r="C25" s="67" t="s">
        <v>873</v>
      </c>
      <c r="D25" s="66" t="s">
        <v>874</v>
      </c>
      <c r="E25" s="66" t="n">
        <v>3</v>
      </c>
      <c r="F25" s="66" t="s">
        <v>334</v>
      </c>
      <c r="G25" s="68" t="s">
        <v>875</v>
      </c>
    </row>
    <row r="26" customFormat="false" ht="24" hidden="false" customHeight="true" outlineLevel="0" collapsed="false">
      <c r="A26" s="69" t="n">
        <v>24</v>
      </c>
      <c r="B26" s="70" t="s">
        <v>876</v>
      </c>
      <c r="C26" s="70" t="s">
        <v>877</v>
      </c>
      <c r="D26" s="69" t="s">
        <v>878</v>
      </c>
      <c r="E26" s="69" t="n">
        <v>3</v>
      </c>
      <c r="F26" s="69" t="s">
        <v>334</v>
      </c>
      <c r="G26" s="71" t="s">
        <v>879</v>
      </c>
    </row>
    <row r="27" customFormat="false" ht="24" hidden="false" customHeight="true" outlineLevel="0" collapsed="false">
      <c r="A27" s="66" t="n">
        <v>25</v>
      </c>
      <c r="B27" s="67" t="s">
        <v>880</v>
      </c>
      <c r="C27" s="67" t="s">
        <v>881</v>
      </c>
      <c r="D27" s="66" t="s">
        <v>882</v>
      </c>
      <c r="E27" s="66" t="n">
        <v>3</v>
      </c>
      <c r="F27" s="66" t="s">
        <v>334</v>
      </c>
      <c r="G27" s="68" t="s">
        <v>883</v>
      </c>
    </row>
    <row r="28" customFormat="false" ht="24" hidden="false" customHeight="true" outlineLevel="0" collapsed="false">
      <c r="A28" s="69" t="n">
        <v>26</v>
      </c>
      <c r="B28" s="70" t="s">
        <v>884</v>
      </c>
      <c r="C28" s="70" t="s">
        <v>885</v>
      </c>
      <c r="D28" s="69" t="s">
        <v>886</v>
      </c>
      <c r="E28" s="69" t="n">
        <v>3</v>
      </c>
      <c r="F28" s="69" t="s">
        <v>334</v>
      </c>
      <c r="G28" s="71" t="s">
        <v>887</v>
      </c>
    </row>
    <row r="29" customFormat="false" ht="24" hidden="false" customHeight="true" outlineLevel="0" collapsed="false">
      <c r="A29" s="66" t="n">
        <v>27</v>
      </c>
      <c r="B29" s="67" t="s">
        <v>888</v>
      </c>
      <c r="C29" s="67" t="s">
        <v>889</v>
      </c>
      <c r="D29" s="66" t="s">
        <v>890</v>
      </c>
      <c r="E29" s="66" t="n">
        <v>3</v>
      </c>
      <c r="F29" s="66" t="s">
        <v>334</v>
      </c>
      <c r="G29" s="68" t="s">
        <v>891</v>
      </c>
    </row>
    <row r="30" customFormat="false" ht="24" hidden="false" customHeight="true" outlineLevel="0" collapsed="false">
      <c r="A30" s="69" t="n">
        <v>28</v>
      </c>
      <c r="B30" s="70" t="s">
        <v>892</v>
      </c>
      <c r="C30" s="70" t="s">
        <v>893</v>
      </c>
      <c r="D30" s="69" t="s">
        <v>894</v>
      </c>
      <c r="E30" s="69" t="n">
        <v>3</v>
      </c>
      <c r="F30" s="69" t="s">
        <v>334</v>
      </c>
      <c r="G30" s="71" t="s">
        <v>895</v>
      </c>
    </row>
    <row r="31" customFormat="false" ht="24" hidden="false" customHeight="true" outlineLevel="0" collapsed="false">
      <c r="A31" s="66" t="n">
        <v>29</v>
      </c>
      <c r="B31" s="67" t="s">
        <v>896</v>
      </c>
      <c r="C31" s="67" t="s">
        <v>897</v>
      </c>
      <c r="D31" s="66" t="s">
        <v>898</v>
      </c>
      <c r="E31" s="66" t="n">
        <v>4</v>
      </c>
      <c r="F31" s="66" t="s">
        <v>334</v>
      </c>
      <c r="G31" s="68" t="s">
        <v>899</v>
      </c>
    </row>
    <row r="32" customFormat="false" ht="24" hidden="false" customHeight="true" outlineLevel="0" collapsed="false">
      <c r="A32" s="69" t="n">
        <v>30</v>
      </c>
      <c r="B32" s="70" t="s">
        <v>900</v>
      </c>
      <c r="C32" s="70" t="s">
        <v>901</v>
      </c>
      <c r="D32" s="69" t="s">
        <v>902</v>
      </c>
      <c r="E32" s="69" t="n">
        <v>4</v>
      </c>
      <c r="F32" s="69" t="s">
        <v>334</v>
      </c>
      <c r="G32" s="71" t="s">
        <v>903</v>
      </c>
    </row>
    <row r="33" customFormat="false" ht="24" hidden="false" customHeight="true" outlineLevel="0" collapsed="false">
      <c r="A33" s="66" t="n">
        <v>31</v>
      </c>
      <c r="B33" s="67" t="s">
        <v>904</v>
      </c>
      <c r="C33" s="67" t="s">
        <v>905</v>
      </c>
      <c r="D33" s="66" t="s">
        <v>906</v>
      </c>
      <c r="E33" s="66" t="n">
        <v>4</v>
      </c>
      <c r="F33" s="66" t="s">
        <v>334</v>
      </c>
      <c r="G33" s="68" t="s">
        <v>907</v>
      </c>
    </row>
    <row r="34" customFormat="false" ht="24" hidden="false" customHeight="true" outlineLevel="0" collapsed="false">
      <c r="A34" s="69" t="n">
        <v>32</v>
      </c>
      <c r="B34" s="70" t="s">
        <v>908</v>
      </c>
      <c r="C34" s="70" t="s">
        <v>909</v>
      </c>
      <c r="D34" s="69" t="s">
        <v>910</v>
      </c>
      <c r="E34" s="69" t="n">
        <v>4</v>
      </c>
      <c r="F34" s="69" t="s">
        <v>334</v>
      </c>
      <c r="G34" s="71" t="s">
        <v>911</v>
      </c>
    </row>
    <row r="35" customFormat="false" ht="24" hidden="false" customHeight="true" outlineLevel="0" collapsed="false">
      <c r="A35" s="66" t="n">
        <v>33</v>
      </c>
      <c r="B35" s="67" t="s">
        <v>912</v>
      </c>
      <c r="C35" s="67" t="s">
        <v>913</v>
      </c>
      <c r="D35" s="66" t="s">
        <v>914</v>
      </c>
      <c r="E35" s="66" t="n">
        <v>4</v>
      </c>
      <c r="F35" s="66" t="s">
        <v>334</v>
      </c>
      <c r="G35" s="68" t="s">
        <v>915</v>
      </c>
    </row>
    <row r="36" customFormat="false" ht="24" hidden="false" customHeight="true" outlineLevel="0" collapsed="false">
      <c r="A36" s="69" t="n">
        <v>34</v>
      </c>
      <c r="B36" s="70" t="s">
        <v>916</v>
      </c>
      <c r="C36" s="70" t="s">
        <v>917</v>
      </c>
      <c r="D36" s="69" t="s">
        <v>918</v>
      </c>
      <c r="E36" s="69" t="n">
        <v>4</v>
      </c>
      <c r="F36" s="69" t="s">
        <v>334</v>
      </c>
      <c r="G36" s="71" t="s">
        <v>919</v>
      </c>
    </row>
    <row r="37" customFormat="false" ht="24" hidden="false" customHeight="true" outlineLevel="0" collapsed="false">
      <c r="A37" s="66" t="n">
        <v>35</v>
      </c>
      <c r="B37" s="67" t="s">
        <v>920</v>
      </c>
      <c r="C37" s="67" t="s">
        <v>921</v>
      </c>
      <c r="D37" s="66" t="s">
        <v>922</v>
      </c>
      <c r="E37" s="66" t="n">
        <v>4</v>
      </c>
      <c r="F37" s="66" t="s">
        <v>334</v>
      </c>
      <c r="G37" s="68" t="s">
        <v>923</v>
      </c>
    </row>
    <row r="38" customFormat="false" ht="24" hidden="false" customHeight="true" outlineLevel="0" collapsed="false">
      <c r="A38" s="69" t="n">
        <v>36</v>
      </c>
      <c r="B38" s="70" t="s">
        <v>924</v>
      </c>
      <c r="C38" s="70" t="s">
        <v>925</v>
      </c>
      <c r="D38" s="69" t="s">
        <v>926</v>
      </c>
      <c r="E38" s="69" t="n">
        <v>4</v>
      </c>
      <c r="F38" s="69" t="s">
        <v>334</v>
      </c>
      <c r="G38" s="71" t="s">
        <v>927</v>
      </c>
    </row>
    <row r="39" customFormat="false" ht="24" hidden="false" customHeight="true" outlineLevel="0" collapsed="false">
      <c r="A39" s="66" t="n">
        <v>37</v>
      </c>
      <c r="B39" s="67" t="s">
        <v>928</v>
      </c>
      <c r="C39" s="67" t="s">
        <v>929</v>
      </c>
      <c r="D39" s="66" t="s">
        <v>930</v>
      </c>
      <c r="E39" s="66" t="n">
        <v>4</v>
      </c>
      <c r="F39" s="66" t="s">
        <v>334</v>
      </c>
      <c r="G39" s="68" t="s">
        <v>931</v>
      </c>
    </row>
    <row r="40" customFormat="false" ht="24" hidden="false" customHeight="true" outlineLevel="0" collapsed="false">
      <c r="A40" s="69" t="n">
        <v>38</v>
      </c>
      <c r="B40" s="70" t="s">
        <v>932</v>
      </c>
      <c r="C40" s="70" t="s">
        <v>933</v>
      </c>
      <c r="D40" s="69" t="s">
        <v>934</v>
      </c>
      <c r="E40" s="69" t="n">
        <v>5</v>
      </c>
      <c r="F40" s="69" t="s">
        <v>334</v>
      </c>
      <c r="G40" s="71" t="s">
        <v>935</v>
      </c>
    </row>
    <row r="41" customFormat="false" ht="24" hidden="false" customHeight="true" outlineLevel="0" collapsed="false">
      <c r="A41" s="66" t="n">
        <v>39</v>
      </c>
      <c r="B41" s="67" t="s">
        <v>936</v>
      </c>
      <c r="C41" s="67" t="s">
        <v>937</v>
      </c>
      <c r="D41" s="66" t="s">
        <v>938</v>
      </c>
      <c r="E41" s="66" t="n">
        <v>5</v>
      </c>
      <c r="F41" s="66" t="s">
        <v>334</v>
      </c>
      <c r="G41" s="68" t="s">
        <v>939</v>
      </c>
    </row>
    <row r="42" customFormat="false" ht="24" hidden="false" customHeight="true" outlineLevel="0" collapsed="false">
      <c r="A42" s="69" t="n">
        <v>40</v>
      </c>
      <c r="B42" s="70" t="s">
        <v>940</v>
      </c>
      <c r="C42" s="70" t="s">
        <v>941</v>
      </c>
      <c r="D42" s="69" t="s">
        <v>942</v>
      </c>
      <c r="E42" s="69" t="n">
        <v>5</v>
      </c>
      <c r="F42" s="69" t="s">
        <v>334</v>
      </c>
      <c r="G42" s="71" t="s">
        <v>943</v>
      </c>
    </row>
    <row r="43" customFormat="false" ht="24" hidden="false" customHeight="true" outlineLevel="0" collapsed="false">
      <c r="A43" s="66" t="n">
        <v>41</v>
      </c>
      <c r="B43" s="67" t="s">
        <v>944</v>
      </c>
      <c r="C43" s="67" t="s">
        <v>945</v>
      </c>
      <c r="D43" s="66" t="s">
        <v>946</v>
      </c>
      <c r="E43" s="66" t="n">
        <v>5</v>
      </c>
      <c r="F43" s="66" t="s">
        <v>334</v>
      </c>
      <c r="G43" s="68" t="s">
        <v>947</v>
      </c>
    </row>
    <row r="44" customFormat="false" ht="24" hidden="false" customHeight="true" outlineLevel="0" collapsed="false">
      <c r="A44" s="69" t="n">
        <v>42</v>
      </c>
      <c r="B44" s="70" t="s">
        <v>948</v>
      </c>
      <c r="C44" s="70" t="s">
        <v>949</v>
      </c>
      <c r="D44" s="69" t="s">
        <v>950</v>
      </c>
      <c r="E44" s="69" t="n">
        <v>5</v>
      </c>
      <c r="F44" s="69" t="s">
        <v>334</v>
      </c>
      <c r="G44" s="71" t="s">
        <v>951</v>
      </c>
    </row>
    <row r="45" customFormat="false" ht="24" hidden="false" customHeight="true" outlineLevel="0" collapsed="false">
      <c r="A45" s="66" t="n">
        <v>43</v>
      </c>
      <c r="B45" s="67" t="s">
        <v>952</v>
      </c>
      <c r="C45" s="67" t="s">
        <v>953</v>
      </c>
      <c r="D45" s="66" t="s">
        <v>954</v>
      </c>
      <c r="E45" s="66" t="n">
        <v>5</v>
      </c>
      <c r="F45" s="66" t="s">
        <v>334</v>
      </c>
      <c r="G45" s="68" t="s">
        <v>955</v>
      </c>
    </row>
    <row r="46" customFormat="false" ht="24" hidden="false" customHeight="true" outlineLevel="0" collapsed="false">
      <c r="A46" s="69" t="n">
        <v>44</v>
      </c>
      <c r="B46" s="70" t="s">
        <v>956</v>
      </c>
      <c r="C46" s="70" t="s">
        <v>957</v>
      </c>
      <c r="D46" s="69" t="s">
        <v>958</v>
      </c>
      <c r="E46" s="69" t="n">
        <v>5</v>
      </c>
      <c r="F46" s="69" t="s">
        <v>334</v>
      </c>
      <c r="G46" s="71" t="s">
        <v>959</v>
      </c>
    </row>
    <row r="47" customFormat="false" ht="24" hidden="false" customHeight="true" outlineLevel="0" collapsed="false">
      <c r="A47" s="66" t="n">
        <v>45</v>
      </c>
      <c r="B47" s="67" t="s">
        <v>960</v>
      </c>
      <c r="C47" s="67" t="s">
        <v>961</v>
      </c>
      <c r="D47" s="66" t="s">
        <v>962</v>
      </c>
      <c r="E47" s="66" t="n">
        <v>5</v>
      </c>
      <c r="F47" s="66" t="s">
        <v>334</v>
      </c>
      <c r="G47" s="68" t="s">
        <v>963</v>
      </c>
    </row>
    <row r="48" customFormat="false" ht="24" hidden="false" customHeight="true" outlineLevel="0" collapsed="false">
      <c r="A48" s="69" t="n">
        <v>46</v>
      </c>
      <c r="B48" s="70" t="s">
        <v>964</v>
      </c>
      <c r="C48" s="70" t="s">
        <v>965</v>
      </c>
      <c r="D48" s="69" t="s">
        <v>966</v>
      </c>
      <c r="E48" s="69" t="n">
        <v>5</v>
      </c>
      <c r="F48" s="69" t="s">
        <v>334</v>
      </c>
      <c r="G48" s="71" t="s">
        <v>967</v>
      </c>
    </row>
    <row r="49" customFormat="false" ht="24" hidden="false" customHeight="true" outlineLevel="0" collapsed="false">
      <c r="A49" s="66" t="n">
        <v>47</v>
      </c>
      <c r="B49" s="67" t="s">
        <v>968</v>
      </c>
      <c r="C49" s="67" t="s">
        <v>969</v>
      </c>
      <c r="D49" s="66" t="s">
        <v>970</v>
      </c>
      <c r="E49" s="66" t="n">
        <v>6</v>
      </c>
      <c r="F49" s="66" t="s">
        <v>334</v>
      </c>
      <c r="G49" s="68" t="s">
        <v>971</v>
      </c>
    </row>
    <row r="50" customFormat="false" ht="24" hidden="false" customHeight="true" outlineLevel="0" collapsed="false">
      <c r="A50" s="69" t="n">
        <v>48</v>
      </c>
      <c r="B50" s="70" t="s">
        <v>972</v>
      </c>
      <c r="C50" s="70" t="s">
        <v>973</v>
      </c>
      <c r="D50" s="69" t="s">
        <v>974</v>
      </c>
      <c r="E50" s="69" t="n">
        <v>6</v>
      </c>
      <c r="F50" s="69" t="s">
        <v>334</v>
      </c>
      <c r="G50" s="71" t="s">
        <v>971</v>
      </c>
    </row>
    <row r="51" customFormat="false" ht="24" hidden="false" customHeight="true" outlineLevel="0" collapsed="false">
      <c r="A51" s="66" t="n">
        <v>49</v>
      </c>
      <c r="B51" s="67" t="s">
        <v>975</v>
      </c>
      <c r="C51" s="67" t="s">
        <v>976</v>
      </c>
      <c r="D51" s="66" t="s">
        <v>977</v>
      </c>
      <c r="E51" s="66" t="n">
        <v>6</v>
      </c>
      <c r="F51" s="66" t="s">
        <v>334</v>
      </c>
      <c r="G51" s="68" t="s">
        <v>971</v>
      </c>
    </row>
    <row r="52" customFormat="false" ht="24" hidden="false" customHeight="true" outlineLevel="0" collapsed="false">
      <c r="A52" s="69" t="n">
        <v>50</v>
      </c>
      <c r="B52" s="70" t="s">
        <v>978</v>
      </c>
      <c r="C52" s="70" t="s">
        <v>979</v>
      </c>
      <c r="D52" s="69" t="s">
        <v>980</v>
      </c>
      <c r="E52" s="69" t="n">
        <v>6</v>
      </c>
      <c r="F52" s="69" t="s">
        <v>334</v>
      </c>
      <c r="G52" s="71" t="s">
        <v>971</v>
      </c>
    </row>
    <row r="53" customFormat="false" ht="24" hidden="false" customHeight="true" outlineLevel="0" collapsed="false">
      <c r="A53" s="66" t="n">
        <v>51</v>
      </c>
      <c r="B53" s="67" t="s">
        <v>981</v>
      </c>
      <c r="C53" s="67" t="s">
        <v>982</v>
      </c>
      <c r="D53" s="66" t="s">
        <v>983</v>
      </c>
      <c r="E53" s="66" t="n">
        <v>6</v>
      </c>
      <c r="F53" s="66" t="s">
        <v>334</v>
      </c>
      <c r="G53" s="68" t="s">
        <v>971</v>
      </c>
    </row>
    <row r="54" customFormat="false" ht="24" hidden="false" customHeight="true" outlineLevel="0" collapsed="false">
      <c r="A54" s="69" t="n">
        <v>52</v>
      </c>
      <c r="B54" s="70" t="s">
        <v>984</v>
      </c>
      <c r="C54" s="70" t="s">
        <v>985</v>
      </c>
      <c r="D54" s="69" t="s">
        <v>986</v>
      </c>
      <c r="E54" s="69" t="n">
        <v>6</v>
      </c>
      <c r="F54" s="69" t="s">
        <v>334</v>
      </c>
      <c r="G54" s="71" t="s">
        <v>971</v>
      </c>
    </row>
    <row r="55" customFormat="false" ht="24" hidden="false" customHeight="true" outlineLevel="0" collapsed="false">
      <c r="A55" s="66" t="n">
        <v>53</v>
      </c>
      <c r="B55" s="67" t="s">
        <v>987</v>
      </c>
      <c r="C55" s="67" t="s">
        <v>988</v>
      </c>
      <c r="D55" s="66" t="s">
        <v>989</v>
      </c>
      <c r="E55" s="66" t="n">
        <v>6</v>
      </c>
      <c r="F55" s="66" t="s">
        <v>334</v>
      </c>
      <c r="G55" s="68" t="s">
        <v>971</v>
      </c>
    </row>
    <row r="56" customFormat="false" ht="24" hidden="false" customHeight="true" outlineLevel="0" collapsed="false">
      <c r="A56" s="69" t="n">
        <v>54</v>
      </c>
      <c r="B56" s="70" t="s">
        <v>990</v>
      </c>
      <c r="C56" s="70" t="s">
        <v>991</v>
      </c>
      <c r="D56" s="69" t="s">
        <v>992</v>
      </c>
      <c r="E56" s="69" t="n">
        <v>6</v>
      </c>
      <c r="F56" s="69" t="s">
        <v>334</v>
      </c>
      <c r="G56" s="71" t="s">
        <v>971</v>
      </c>
    </row>
    <row r="57" customFormat="false" ht="24" hidden="false" customHeight="true" outlineLevel="0" collapsed="false">
      <c r="A57" s="66" t="n">
        <v>55</v>
      </c>
      <c r="B57" s="67" t="s">
        <v>993</v>
      </c>
      <c r="C57" s="67" t="s">
        <v>994</v>
      </c>
      <c r="D57" s="66" t="s">
        <v>995</v>
      </c>
      <c r="E57" s="66" t="n">
        <v>6</v>
      </c>
      <c r="F57" s="66" t="s">
        <v>334</v>
      </c>
      <c r="G57" s="68" t="s">
        <v>971</v>
      </c>
    </row>
    <row r="58" customFormat="false" ht="24" hidden="false" customHeight="true" outlineLevel="0" collapsed="false">
      <c r="A58" s="69" t="n">
        <v>56</v>
      </c>
      <c r="B58" s="70" t="s">
        <v>996</v>
      </c>
      <c r="C58" s="70" t="s">
        <v>997</v>
      </c>
      <c r="D58" s="69" t="s">
        <v>998</v>
      </c>
      <c r="E58" s="69" t="n">
        <v>6</v>
      </c>
      <c r="F58" s="69" t="s">
        <v>334</v>
      </c>
      <c r="G58" s="71" t="s">
        <v>971</v>
      </c>
    </row>
    <row r="59" customFormat="false" ht="24" hidden="false" customHeight="true" outlineLevel="0" collapsed="false">
      <c r="A59" s="66" t="n">
        <v>57</v>
      </c>
      <c r="B59" s="67" t="s">
        <v>999</v>
      </c>
      <c r="C59" s="67" t="s">
        <v>1000</v>
      </c>
      <c r="D59" s="66" t="s">
        <v>1001</v>
      </c>
      <c r="E59" s="66" t="n">
        <v>6</v>
      </c>
      <c r="F59" s="66" t="s">
        <v>334</v>
      </c>
      <c r="G59" s="68" t="s">
        <v>971</v>
      </c>
    </row>
    <row r="60" customFormat="false" ht="24" hidden="false" customHeight="true" outlineLevel="0" collapsed="false">
      <c r="A60" s="69" t="n">
        <v>58</v>
      </c>
      <c r="B60" s="70" t="s">
        <v>1002</v>
      </c>
      <c r="C60" s="70" t="s">
        <v>1003</v>
      </c>
      <c r="D60" s="69" t="s">
        <v>989</v>
      </c>
      <c r="E60" s="69" t="n">
        <v>6</v>
      </c>
      <c r="F60" s="69" t="s">
        <v>334</v>
      </c>
      <c r="G60" s="71" t="s">
        <v>971</v>
      </c>
    </row>
    <row r="61" customFormat="false" ht="24" hidden="false" customHeight="true" outlineLevel="0" collapsed="false">
      <c r="A61" s="66" t="n">
        <v>59</v>
      </c>
      <c r="B61" s="67" t="s">
        <v>1004</v>
      </c>
      <c r="C61" s="67" t="s">
        <v>1005</v>
      </c>
      <c r="D61" s="66" t="s">
        <v>992</v>
      </c>
      <c r="E61" s="66" t="n">
        <v>6</v>
      </c>
      <c r="F61" s="66" t="s">
        <v>334</v>
      </c>
      <c r="G61" s="68" t="s">
        <v>971</v>
      </c>
    </row>
    <row r="62" customFormat="false" ht="24" hidden="false" customHeight="true" outlineLevel="0" collapsed="false">
      <c r="A62" s="69" t="n">
        <v>60</v>
      </c>
      <c r="B62" s="70" t="s">
        <v>1006</v>
      </c>
      <c r="C62" s="70" t="s">
        <v>1007</v>
      </c>
      <c r="D62" s="69" t="s">
        <v>1008</v>
      </c>
      <c r="E62" s="69" t="n">
        <v>6</v>
      </c>
      <c r="F62" s="69" t="s">
        <v>334</v>
      </c>
      <c r="G62" s="71" t="s">
        <v>971</v>
      </c>
    </row>
    <row r="63" customFormat="false" ht="24" hidden="false" customHeight="true" outlineLevel="0" collapsed="false">
      <c r="A63" s="66" t="n">
        <v>61</v>
      </c>
      <c r="B63" s="67" t="s">
        <v>1009</v>
      </c>
      <c r="C63" s="67" t="s">
        <v>1010</v>
      </c>
      <c r="D63" s="66" t="s">
        <v>1011</v>
      </c>
      <c r="E63" s="66" t="n">
        <v>6</v>
      </c>
      <c r="F63" s="66" t="s">
        <v>334</v>
      </c>
      <c r="G63" s="68" t="s">
        <v>971</v>
      </c>
    </row>
    <row r="64" customFormat="false" ht="24" hidden="false" customHeight="true" outlineLevel="0" collapsed="false">
      <c r="A64" s="69" t="n">
        <v>62</v>
      </c>
      <c r="B64" s="70" t="s">
        <v>1012</v>
      </c>
      <c r="C64" s="70" t="s">
        <v>1013</v>
      </c>
      <c r="D64" s="69" t="s">
        <v>1014</v>
      </c>
      <c r="E64" s="69" t="n">
        <v>6</v>
      </c>
      <c r="F64" s="69" t="s">
        <v>334</v>
      </c>
      <c r="G64" s="71" t="s">
        <v>971</v>
      </c>
    </row>
    <row r="65" customFormat="false" ht="24" hidden="false" customHeight="true" outlineLevel="0" collapsed="false">
      <c r="A65" s="66" t="n">
        <v>63</v>
      </c>
      <c r="B65" s="67" t="s">
        <v>1015</v>
      </c>
      <c r="C65" s="67" t="s">
        <v>1016</v>
      </c>
      <c r="D65" s="66" t="s">
        <v>1017</v>
      </c>
      <c r="E65" s="66" t="n">
        <v>6</v>
      </c>
      <c r="F65" s="66" t="s">
        <v>334</v>
      </c>
      <c r="G65" s="68" t="s">
        <v>971</v>
      </c>
    </row>
    <row r="66" customFormat="false" ht="24" hidden="false" customHeight="true" outlineLevel="0" collapsed="false">
      <c r="A66" s="69" t="n">
        <v>64</v>
      </c>
      <c r="B66" s="70" t="s">
        <v>1018</v>
      </c>
      <c r="C66" s="70" t="s">
        <v>1019</v>
      </c>
      <c r="D66" s="69" t="s">
        <v>1020</v>
      </c>
      <c r="E66" s="69" t="n">
        <v>6</v>
      </c>
      <c r="F66" s="69" t="s">
        <v>334</v>
      </c>
      <c r="G66" s="71" t="s">
        <v>971</v>
      </c>
    </row>
    <row r="67" customFormat="false" ht="24" hidden="false" customHeight="true" outlineLevel="0" collapsed="false">
      <c r="A67" s="66" t="n">
        <v>65</v>
      </c>
      <c r="B67" s="67" t="s">
        <v>1021</v>
      </c>
      <c r="C67" s="67" t="s">
        <v>1022</v>
      </c>
      <c r="D67" s="66" t="s">
        <v>1023</v>
      </c>
      <c r="E67" s="66" t="n">
        <v>6</v>
      </c>
      <c r="F67" s="66" t="s">
        <v>334</v>
      </c>
      <c r="G67" s="68" t="s">
        <v>971</v>
      </c>
    </row>
    <row r="68" customFormat="false" ht="24" hidden="false" customHeight="true" outlineLevel="0" collapsed="false">
      <c r="A68" s="69" t="n">
        <v>66</v>
      </c>
      <c r="B68" s="70" t="s">
        <v>1024</v>
      </c>
      <c r="C68" s="70" t="s">
        <v>1025</v>
      </c>
      <c r="D68" s="69" t="s">
        <v>1026</v>
      </c>
      <c r="E68" s="69" t="n">
        <v>6</v>
      </c>
      <c r="F68" s="69" t="s">
        <v>334</v>
      </c>
      <c r="G68" s="71" t="s">
        <v>971</v>
      </c>
    </row>
    <row r="69" customFormat="false" ht="24" hidden="false" customHeight="true" outlineLevel="0" collapsed="false">
      <c r="A69" s="66" t="n">
        <v>67</v>
      </c>
      <c r="B69" s="67" t="s">
        <v>1027</v>
      </c>
      <c r="C69" s="67" t="s">
        <v>1028</v>
      </c>
      <c r="D69" s="66" t="s">
        <v>1029</v>
      </c>
      <c r="E69" s="66" t="n">
        <v>6</v>
      </c>
      <c r="F69" s="66" t="s">
        <v>334</v>
      </c>
      <c r="G69" s="68" t="s">
        <v>971</v>
      </c>
    </row>
    <row r="70" customFormat="false" ht="24" hidden="false" customHeight="true" outlineLevel="0" collapsed="false">
      <c r="A70" s="69" t="n">
        <v>68</v>
      </c>
      <c r="B70" s="70" t="s">
        <v>1030</v>
      </c>
      <c r="C70" s="70" t="s">
        <v>1031</v>
      </c>
      <c r="D70" s="69" t="s">
        <v>1032</v>
      </c>
      <c r="E70" s="69" t="n">
        <v>6</v>
      </c>
      <c r="F70" s="69" t="s">
        <v>334</v>
      </c>
      <c r="G70" s="71" t="s">
        <v>971</v>
      </c>
    </row>
    <row r="71" customFormat="false" ht="24" hidden="false" customHeight="true" outlineLevel="0" collapsed="false">
      <c r="A71" s="66" t="n">
        <v>69</v>
      </c>
      <c r="B71" s="67" t="s">
        <v>1033</v>
      </c>
      <c r="C71" s="67" t="s">
        <v>1034</v>
      </c>
      <c r="D71" s="66" t="s">
        <v>1035</v>
      </c>
      <c r="E71" s="66" t="n">
        <v>6</v>
      </c>
      <c r="F71" s="66" t="s">
        <v>334</v>
      </c>
      <c r="G71" s="68" t="s">
        <v>971</v>
      </c>
    </row>
    <row r="72" customFormat="false" ht="24" hidden="false" customHeight="true" outlineLevel="0" collapsed="false">
      <c r="A72" s="69" t="n">
        <v>70</v>
      </c>
      <c r="B72" s="70" t="s">
        <v>1036</v>
      </c>
      <c r="C72" s="70" t="s">
        <v>1037</v>
      </c>
      <c r="D72" s="69" t="s">
        <v>1038</v>
      </c>
      <c r="E72" s="69" t="n">
        <v>6</v>
      </c>
      <c r="F72" s="69" t="s">
        <v>334</v>
      </c>
      <c r="G72" s="71" t="s">
        <v>971</v>
      </c>
    </row>
    <row r="73" customFormat="false" ht="24" hidden="false" customHeight="true" outlineLevel="0" collapsed="false">
      <c r="A73" s="66" t="n">
        <v>71</v>
      </c>
      <c r="B73" s="67" t="s">
        <v>1039</v>
      </c>
      <c r="C73" s="67" t="s">
        <v>1040</v>
      </c>
      <c r="D73" s="66" t="s">
        <v>1041</v>
      </c>
      <c r="E73" s="66" t="n">
        <v>6</v>
      </c>
      <c r="F73" s="66" t="s">
        <v>334</v>
      </c>
      <c r="G73" s="68" t="s">
        <v>971</v>
      </c>
    </row>
    <row r="74" customFormat="false" ht="24" hidden="false" customHeight="true" outlineLevel="0" collapsed="false">
      <c r="A74" s="69" t="n">
        <v>72</v>
      </c>
      <c r="B74" s="70" t="s">
        <v>1042</v>
      </c>
      <c r="C74" s="70" t="s">
        <v>1043</v>
      </c>
      <c r="D74" s="69" t="s">
        <v>1044</v>
      </c>
      <c r="E74" s="69" t="n">
        <v>6</v>
      </c>
      <c r="F74" s="69" t="s">
        <v>334</v>
      </c>
      <c r="G74" s="71" t="s">
        <v>1045</v>
      </c>
    </row>
    <row r="75" customFormat="false" ht="24" hidden="false" customHeight="true" outlineLevel="0" collapsed="false">
      <c r="A75" s="66" t="n">
        <v>73</v>
      </c>
      <c r="B75" s="67" t="s">
        <v>1046</v>
      </c>
      <c r="C75" s="67" t="s">
        <v>1047</v>
      </c>
      <c r="D75" s="66" t="s">
        <v>1048</v>
      </c>
      <c r="E75" s="66" t="n">
        <v>6</v>
      </c>
      <c r="F75" s="66" t="s">
        <v>334</v>
      </c>
      <c r="G75" s="68" t="s">
        <v>1045</v>
      </c>
    </row>
    <row r="76" customFormat="false" ht="24" hidden="false" customHeight="true" outlineLevel="0" collapsed="false">
      <c r="A76" s="69" t="n">
        <v>74</v>
      </c>
      <c r="B76" s="70" t="s">
        <v>1049</v>
      </c>
      <c r="C76" s="70" t="s">
        <v>1050</v>
      </c>
      <c r="D76" s="69" t="s">
        <v>1051</v>
      </c>
      <c r="E76" s="69" t="n">
        <v>6</v>
      </c>
      <c r="F76" s="69" t="s">
        <v>334</v>
      </c>
      <c r="G76" s="71" t="s">
        <v>1045</v>
      </c>
    </row>
    <row r="77" customFormat="false" ht="24" hidden="false" customHeight="true" outlineLevel="0" collapsed="false">
      <c r="A77" s="66" t="n">
        <v>75</v>
      </c>
      <c r="B77" s="67" t="s">
        <v>1052</v>
      </c>
      <c r="C77" s="67" t="s">
        <v>1053</v>
      </c>
      <c r="D77" s="66" t="s">
        <v>1054</v>
      </c>
      <c r="E77" s="66" t="n">
        <v>6</v>
      </c>
      <c r="F77" s="66" t="s">
        <v>334</v>
      </c>
      <c r="G77" s="68" t="s">
        <v>1045</v>
      </c>
    </row>
    <row r="78" customFormat="false" ht="24" hidden="false" customHeight="true" outlineLevel="0" collapsed="false">
      <c r="A78" s="69" t="n">
        <v>76</v>
      </c>
      <c r="B78" s="70" t="s">
        <v>1055</v>
      </c>
      <c r="C78" s="70" t="s">
        <v>1056</v>
      </c>
      <c r="D78" s="69" t="s">
        <v>1057</v>
      </c>
      <c r="E78" s="69" t="n">
        <v>6</v>
      </c>
      <c r="F78" s="69" t="s">
        <v>334</v>
      </c>
      <c r="G78" s="71" t="s">
        <v>1045</v>
      </c>
    </row>
    <row r="79" customFormat="false" ht="24" hidden="false" customHeight="true" outlineLevel="0" collapsed="false">
      <c r="A79" s="66" t="n">
        <v>77</v>
      </c>
      <c r="B79" s="67" t="s">
        <v>1058</v>
      </c>
      <c r="C79" s="67" t="s">
        <v>1059</v>
      </c>
      <c r="D79" s="66" t="s">
        <v>1060</v>
      </c>
      <c r="E79" s="66" t="n">
        <v>6</v>
      </c>
      <c r="F79" s="66" t="s">
        <v>334</v>
      </c>
      <c r="G79" s="68" t="s">
        <v>1045</v>
      </c>
    </row>
    <row r="80" customFormat="false" ht="24" hidden="false" customHeight="true" outlineLevel="0" collapsed="false">
      <c r="A80" s="69" t="n">
        <v>78</v>
      </c>
      <c r="B80" s="70" t="s">
        <v>1061</v>
      </c>
      <c r="C80" s="70" t="s">
        <v>1062</v>
      </c>
      <c r="D80" s="69" t="s">
        <v>1063</v>
      </c>
      <c r="E80" s="69" t="n">
        <v>6</v>
      </c>
      <c r="F80" s="69" t="s">
        <v>334</v>
      </c>
      <c r="G80" s="71" t="s">
        <v>1045</v>
      </c>
    </row>
    <row r="81" customFormat="false" ht="24" hidden="false" customHeight="true" outlineLevel="0" collapsed="false">
      <c r="A81" s="66" t="n">
        <v>79</v>
      </c>
      <c r="B81" s="67" t="s">
        <v>1064</v>
      </c>
      <c r="C81" s="67" t="s">
        <v>1065</v>
      </c>
      <c r="D81" s="66" t="s">
        <v>1066</v>
      </c>
      <c r="E81" s="66" t="n">
        <v>6</v>
      </c>
      <c r="F81" s="66" t="s">
        <v>334</v>
      </c>
      <c r="G81" s="68" t="s">
        <v>1045</v>
      </c>
    </row>
    <row r="82" customFormat="false" ht="24" hidden="false" customHeight="true" outlineLevel="0" collapsed="false">
      <c r="A82" s="69" t="n">
        <v>80</v>
      </c>
      <c r="B82" s="70" t="s">
        <v>1067</v>
      </c>
      <c r="C82" s="70" t="s">
        <v>1068</v>
      </c>
      <c r="D82" s="69" t="s">
        <v>1069</v>
      </c>
      <c r="E82" s="69" t="n">
        <v>6</v>
      </c>
      <c r="F82" s="69" t="s">
        <v>334</v>
      </c>
      <c r="G82" s="71" t="s">
        <v>1045</v>
      </c>
    </row>
    <row r="83" customFormat="false" ht="24" hidden="false" customHeight="true" outlineLevel="0" collapsed="false">
      <c r="A83" s="66" t="n">
        <v>81</v>
      </c>
      <c r="B83" s="67" t="s">
        <v>1070</v>
      </c>
      <c r="C83" s="67" t="s">
        <v>1071</v>
      </c>
      <c r="D83" s="66" t="s">
        <v>1072</v>
      </c>
      <c r="E83" s="66" t="n">
        <v>6</v>
      </c>
      <c r="F83" s="66" t="s">
        <v>334</v>
      </c>
      <c r="G83" s="68" t="s">
        <v>1045</v>
      </c>
    </row>
    <row r="84" customFormat="false" ht="24" hidden="false" customHeight="true" outlineLevel="0" collapsed="false">
      <c r="A84" s="69" t="n">
        <v>82</v>
      </c>
      <c r="B84" s="70" t="s">
        <v>1073</v>
      </c>
      <c r="C84" s="70" t="s">
        <v>1074</v>
      </c>
      <c r="D84" s="69" t="s">
        <v>1075</v>
      </c>
      <c r="E84" s="69" t="n">
        <v>6</v>
      </c>
      <c r="F84" s="69" t="s">
        <v>334</v>
      </c>
      <c r="G84" s="71" t="s">
        <v>1045</v>
      </c>
    </row>
    <row r="85" customFormat="false" ht="24" hidden="false" customHeight="true" outlineLevel="0" collapsed="false">
      <c r="A85" s="66" t="n">
        <v>83</v>
      </c>
      <c r="B85" s="67" t="s">
        <v>1076</v>
      </c>
      <c r="C85" s="67" t="s">
        <v>1077</v>
      </c>
      <c r="D85" s="66" t="s">
        <v>1078</v>
      </c>
      <c r="E85" s="66" t="n">
        <v>6</v>
      </c>
      <c r="F85" s="66" t="s">
        <v>334</v>
      </c>
      <c r="G85" s="68" t="s">
        <v>1045</v>
      </c>
    </row>
    <row r="86" customFormat="false" ht="24" hidden="false" customHeight="true" outlineLevel="0" collapsed="false">
      <c r="A86" s="69" t="n">
        <v>84</v>
      </c>
      <c r="B86" s="70" t="s">
        <v>1079</v>
      </c>
      <c r="C86" s="70" t="s">
        <v>1080</v>
      </c>
      <c r="D86" s="69" t="s">
        <v>1081</v>
      </c>
      <c r="E86" s="69" t="n">
        <v>6</v>
      </c>
      <c r="F86" s="69" t="s">
        <v>334</v>
      </c>
      <c r="G86" s="71" t="s">
        <v>1045</v>
      </c>
    </row>
    <row r="87" customFormat="false" ht="24" hidden="false" customHeight="true" outlineLevel="0" collapsed="false">
      <c r="A87" s="66" t="n">
        <v>85</v>
      </c>
      <c r="B87" s="67" t="s">
        <v>1082</v>
      </c>
      <c r="C87" s="67" t="s">
        <v>1083</v>
      </c>
      <c r="D87" s="66" t="s">
        <v>1084</v>
      </c>
      <c r="E87" s="66" t="n">
        <v>6</v>
      </c>
      <c r="F87" s="66" t="s">
        <v>334</v>
      </c>
      <c r="G87" s="68" t="s">
        <v>1045</v>
      </c>
    </row>
    <row r="88" customFormat="false" ht="24" hidden="false" customHeight="true" outlineLevel="0" collapsed="false">
      <c r="A88" s="69" t="n">
        <v>86</v>
      </c>
      <c r="B88" s="70" t="s">
        <v>1085</v>
      </c>
      <c r="C88" s="70" t="s">
        <v>1086</v>
      </c>
      <c r="D88" s="69" t="s">
        <v>1087</v>
      </c>
      <c r="E88" s="69" t="n">
        <v>6</v>
      </c>
      <c r="F88" s="69" t="s">
        <v>334</v>
      </c>
      <c r="G88" s="71" t="s">
        <v>1045</v>
      </c>
    </row>
    <row r="89" customFormat="false" ht="24" hidden="false" customHeight="true" outlineLevel="0" collapsed="false">
      <c r="A89" s="66" t="n">
        <v>87</v>
      </c>
      <c r="B89" s="67" t="s">
        <v>1088</v>
      </c>
      <c r="C89" s="67" t="s">
        <v>1089</v>
      </c>
      <c r="D89" s="66" t="s">
        <v>1090</v>
      </c>
      <c r="E89" s="66" t="n">
        <v>6</v>
      </c>
      <c r="F89" s="66" t="s">
        <v>334</v>
      </c>
      <c r="G89" s="68" t="s">
        <v>1045</v>
      </c>
    </row>
    <row r="90" customFormat="false" ht="24" hidden="false" customHeight="true" outlineLevel="0" collapsed="false">
      <c r="A90" s="69" t="n">
        <v>88</v>
      </c>
      <c r="B90" s="70" t="s">
        <v>1091</v>
      </c>
      <c r="C90" s="70" t="s">
        <v>1092</v>
      </c>
      <c r="D90" s="69" t="s">
        <v>1093</v>
      </c>
      <c r="E90" s="69" t="n">
        <v>6</v>
      </c>
      <c r="F90" s="69" t="s">
        <v>334</v>
      </c>
      <c r="G90" s="71" t="s">
        <v>1045</v>
      </c>
    </row>
    <row r="91" customFormat="false" ht="24" hidden="false" customHeight="true" outlineLevel="0" collapsed="false">
      <c r="A91" s="66" t="n">
        <v>89</v>
      </c>
      <c r="B91" s="67" t="s">
        <v>1094</v>
      </c>
      <c r="C91" s="67" t="s">
        <v>1095</v>
      </c>
      <c r="D91" s="66" t="s">
        <v>1096</v>
      </c>
      <c r="E91" s="66" t="n">
        <v>6</v>
      </c>
      <c r="F91" s="66" t="s">
        <v>334</v>
      </c>
      <c r="G91" s="68" t="s">
        <v>1045</v>
      </c>
    </row>
    <row r="92" customFormat="false" ht="24" hidden="false" customHeight="true" outlineLevel="0" collapsed="false">
      <c r="A92" s="69" t="n">
        <v>90</v>
      </c>
      <c r="B92" s="70" t="s">
        <v>1097</v>
      </c>
      <c r="C92" s="70" t="s">
        <v>1098</v>
      </c>
      <c r="D92" s="69" t="s">
        <v>1099</v>
      </c>
      <c r="E92" s="69" t="n">
        <v>6</v>
      </c>
      <c r="F92" s="69" t="s">
        <v>334</v>
      </c>
      <c r="G92" s="71" t="s">
        <v>1045</v>
      </c>
    </row>
    <row r="93" customFormat="false" ht="24" hidden="false" customHeight="true" outlineLevel="0" collapsed="false">
      <c r="A93" s="66" t="n">
        <v>91</v>
      </c>
      <c r="B93" s="67" t="s">
        <v>1100</v>
      </c>
      <c r="C93" s="67" t="s">
        <v>1101</v>
      </c>
      <c r="D93" s="66" t="s">
        <v>1102</v>
      </c>
      <c r="E93" s="66" t="n">
        <v>6</v>
      </c>
      <c r="F93" s="66" t="s">
        <v>334</v>
      </c>
      <c r="G93" s="68" t="s">
        <v>1045</v>
      </c>
    </row>
    <row r="94" customFormat="false" ht="24" hidden="false" customHeight="true" outlineLevel="0" collapsed="false">
      <c r="A94" s="69" t="n">
        <v>92</v>
      </c>
      <c r="B94" s="70" t="s">
        <v>1103</v>
      </c>
      <c r="C94" s="70" t="s">
        <v>1104</v>
      </c>
      <c r="D94" s="69" t="s">
        <v>1105</v>
      </c>
      <c r="E94" s="69" t="n">
        <v>6</v>
      </c>
      <c r="F94" s="69" t="s">
        <v>334</v>
      </c>
      <c r="G94" s="71" t="s">
        <v>1045</v>
      </c>
    </row>
    <row r="95" customFormat="false" ht="24" hidden="false" customHeight="true" outlineLevel="0" collapsed="false">
      <c r="A95" s="66" t="n">
        <v>93</v>
      </c>
      <c r="B95" s="67" t="s">
        <v>1106</v>
      </c>
      <c r="C95" s="67" t="s">
        <v>1107</v>
      </c>
      <c r="D95" s="66" t="s">
        <v>1108</v>
      </c>
      <c r="E95" s="66" t="n">
        <v>6</v>
      </c>
      <c r="F95" s="66" t="s">
        <v>334</v>
      </c>
      <c r="G95" s="68" t="s">
        <v>1045</v>
      </c>
    </row>
    <row r="96" customFormat="false" ht="24" hidden="false" customHeight="true" outlineLevel="0" collapsed="false">
      <c r="A96" s="69" t="n">
        <v>94</v>
      </c>
      <c r="B96" s="70" t="s">
        <v>1109</v>
      </c>
      <c r="C96" s="70" t="s">
        <v>1110</v>
      </c>
      <c r="D96" s="69" t="s">
        <v>1111</v>
      </c>
      <c r="E96" s="69" t="n">
        <v>6</v>
      </c>
      <c r="F96" s="69" t="s">
        <v>334</v>
      </c>
      <c r="G96" s="71" t="s">
        <v>1045</v>
      </c>
    </row>
    <row r="97" customFormat="false" ht="24" hidden="false" customHeight="true" outlineLevel="0" collapsed="false">
      <c r="A97" s="66" t="n">
        <v>95</v>
      </c>
      <c r="B97" s="67" t="s">
        <v>1112</v>
      </c>
      <c r="C97" s="67" t="s">
        <v>1113</v>
      </c>
      <c r="D97" s="66" t="s">
        <v>1114</v>
      </c>
      <c r="E97" s="66" t="n">
        <v>6</v>
      </c>
      <c r="F97" s="66" t="s">
        <v>334</v>
      </c>
      <c r="G97" s="68" t="s">
        <v>1045</v>
      </c>
    </row>
    <row r="98" customFormat="false" ht="24" hidden="false" customHeight="true" outlineLevel="0" collapsed="false">
      <c r="A98" s="69" t="n">
        <v>96</v>
      </c>
      <c r="B98" s="70" t="s">
        <v>1115</v>
      </c>
      <c r="C98" s="70" t="s">
        <v>1116</v>
      </c>
      <c r="D98" s="69" t="s">
        <v>1117</v>
      </c>
      <c r="E98" s="69" t="n">
        <v>6</v>
      </c>
      <c r="F98" s="69" t="s">
        <v>334</v>
      </c>
      <c r="G98" s="71" t="s">
        <v>1045</v>
      </c>
    </row>
    <row r="99" customFormat="false" ht="24" hidden="false" customHeight="true" outlineLevel="0" collapsed="false">
      <c r="A99" s="66" t="n">
        <v>97</v>
      </c>
      <c r="B99" s="67" t="s">
        <v>1118</v>
      </c>
      <c r="C99" s="67" t="s">
        <v>1119</v>
      </c>
      <c r="D99" s="66" t="s">
        <v>1120</v>
      </c>
      <c r="E99" s="66" t="n">
        <v>6</v>
      </c>
      <c r="F99" s="66" t="s">
        <v>334</v>
      </c>
      <c r="G99" s="68" t="s">
        <v>1045</v>
      </c>
    </row>
    <row r="100" customFormat="false" ht="24" hidden="false" customHeight="true" outlineLevel="0" collapsed="false">
      <c r="A100" s="69" t="n">
        <v>98</v>
      </c>
      <c r="B100" s="70" t="s">
        <v>1121</v>
      </c>
      <c r="C100" s="70" t="s">
        <v>1122</v>
      </c>
      <c r="D100" s="69" t="s">
        <v>1123</v>
      </c>
      <c r="E100" s="69" t="n">
        <v>6</v>
      </c>
      <c r="F100" s="69" t="s">
        <v>334</v>
      </c>
      <c r="G100" s="71" t="s">
        <v>1045</v>
      </c>
    </row>
    <row r="101" customFormat="false" ht="24" hidden="false" customHeight="true" outlineLevel="0" collapsed="false">
      <c r="A101" s="66" t="n">
        <v>99</v>
      </c>
      <c r="B101" s="67" t="s">
        <v>1124</v>
      </c>
      <c r="C101" s="67" t="s">
        <v>1125</v>
      </c>
      <c r="D101" s="66" t="s">
        <v>1126</v>
      </c>
      <c r="E101" s="66" t="n">
        <v>6</v>
      </c>
      <c r="F101" s="66" t="s">
        <v>334</v>
      </c>
      <c r="G101" s="68" t="s">
        <v>1045</v>
      </c>
    </row>
    <row r="102" customFormat="false" ht="24" hidden="false" customHeight="true" outlineLevel="0" collapsed="false">
      <c r="A102" s="69" t="n">
        <v>100</v>
      </c>
      <c r="B102" s="70" t="s">
        <v>1127</v>
      </c>
      <c r="C102" s="70" t="s">
        <v>1128</v>
      </c>
      <c r="D102" s="69" t="s">
        <v>1129</v>
      </c>
      <c r="E102" s="69" t="n">
        <v>6</v>
      </c>
      <c r="F102" s="69" t="s">
        <v>334</v>
      </c>
      <c r="G102" s="71" t="s">
        <v>1045</v>
      </c>
    </row>
    <row r="103" customFormat="false" ht="24" hidden="false" customHeight="true" outlineLevel="0" collapsed="false">
      <c r="A103" s="66" t="n">
        <v>101</v>
      </c>
      <c r="B103" s="67" t="s">
        <v>1130</v>
      </c>
      <c r="C103" s="67" t="s">
        <v>1131</v>
      </c>
      <c r="D103" s="66" t="s">
        <v>1132</v>
      </c>
      <c r="E103" s="66" t="n">
        <v>6</v>
      </c>
      <c r="F103" s="66" t="s">
        <v>334</v>
      </c>
      <c r="G103" s="68" t="s">
        <v>1045</v>
      </c>
    </row>
    <row r="104" customFormat="false" ht="24" hidden="false" customHeight="true" outlineLevel="0" collapsed="false">
      <c r="A104" s="69" t="n">
        <v>102</v>
      </c>
      <c r="B104" s="70" t="s">
        <v>1133</v>
      </c>
      <c r="C104" s="70" t="s">
        <v>1134</v>
      </c>
      <c r="D104" s="69" t="s">
        <v>1135</v>
      </c>
      <c r="E104" s="69" t="n">
        <v>6</v>
      </c>
      <c r="F104" s="69" t="s">
        <v>334</v>
      </c>
      <c r="G104" s="71" t="s">
        <v>1045</v>
      </c>
    </row>
    <row r="105" customFormat="false" ht="24" hidden="false" customHeight="true" outlineLevel="0" collapsed="false">
      <c r="A105" s="66" t="n">
        <v>103</v>
      </c>
      <c r="B105" s="67" t="s">
        <v>1136</v>
      </c>
      <c r="C105" s="67" t="s">
        <v>1137</v>
      </c>
      <c r="D105" s="66" t="s">
        <v>1138</v>
      </c>
      <c r="E105" s="66" t="n">
        <v>6</v>
      </c>
      <c r="F105" s="66" t="s">
        <v>334</v>
      </c>
      <c r="G105" s="68" t="s">
        <v>1045</v>
      </c>
    </row>
    <row r="106" customFormat="false" ht="24" hidden="false" customHeight="true" outlineLevel="0" collapsed="false">
      <c r="A106" s="69" t="n">
        <v>104</v>
      </c>
      <c r="B106" s="70" t="s">
        <v>1139</v>
      </c>
      <c r="C106" s="70" t="s">
        <v>1140</v>
      </c>
      <c r="D106" s="69" t="s">
        <v>1141</v>
      </c>
      <c r="E106" s="69" t="n">
        <v>6</v>
      </c>
      <c r="F106" s="69" t="s">
        <v>334</v>
      </c>
      <c r="G106" s="71" t="s">
        <v>1045</v>
      </c>
    </row>
  </sheetData>
  <autoFilter ref="A2:G106"/>
  <mergeCells count="1">
    <mergeCell ref="A1:G1"/>
  </mergeCells>
  <conditionalFormatting sqref="A3:G106">
    <cfRule type="expression" priority="2" aboveAverage="0" equalAverage="0" bottom="0" percent="0" rank="0" text="" dxfId="8">
      <formula>$F3="Xong"</formula>
    </cfRule>
    <cfRule type="expression" priority="3" aboveAverage="0" equalAverage="0" bottom="0" percent="0" rank="0" text="" dxfId="9">
      <formula>$F3="Đang học"</formula>
    </cfRule>
  </conditionalFormatting>
  <dataValidations count="1">
    <dataValidation allowBlank="true" errorStyle="stop" operator="between" showDropDown="false" showErrorMessage="false" showInputMessage="false" sqref="F3:F106" type="list">
      <formula1>"Chưa học,Đang học,Xong"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0"/>
    <col collapsed="false" customWidth="true" hidden="false" outlineLevel="0" max="4" min="4" style="0" width="22"/>
    <col collapsed="false" customWidth="true" hidden="false" outlineLevel="0" max="5" min="5" style="0" width="24"/>
    <col collapsed="false" customWidth="true" hidden="false" outlineLevel="0" max="6" min="6" style="0" width="56"/>
    <col collapsed="false" customWidth="true" hidden="false" outlineLevel="0" max="7" min="7" style="0" width="11"/>
    <col collapsed="false" customWidth="true" hidden="false" outlineLevel="0" max="8" min="8" style="0" width="13"/>
  </cols>
  <sheetData>
    <row r="1" customFormat="false" ht="31.5" hidden="false" customHeight="true" outlineLevel="0" collapsed="false">
      <c r="A1" s="15" t="s">
        <v>1142</v>
      </c>
      <c r="B1" s="15"/>
      <c r="C1" s="15"/>
      <c r="D1" s="15"/>
      <c r="E1" s="15"/>
      <c r="F1" s="15"/>
      <c r="G1" s="15"/>
      <c r="H1" s="15"/>
    </row>
    <row r="2" customFormat="false" ht="30" hidden="false" customHeight="true" outlineLevel="0" collapsed="false">
      <c r="A2" s="72" t="s">
        <v>1143</v>
      </c>
      <c r="B2" s="72"/>
      <c r="C2" s="72"/>
      <c r="D2" s="72"/>
      <c r="E2" s="72"/>
      <c r="F2" s="72"/>
      <c r="G2" s="72"/>
      <c r="H2" s="72"/>
    </row>
    <row r="3" customFormat="false" ht="30" hidden="false" customHeight="true" outlineLevel="0" collapsed="false">
      <c r="A3" s="16" t="s">
        <v>778</v>
      </c>
      <c r="B3" s="16" t="s">
        <v>81</v>
      </c>
      <c r="C3" s="16" t="s">
        <v>1144</v>
      </c>
      <c r="D3" s="16" t="s">
        <v>1145</v>
      </c>
      <c r="E3" s="16" t="s">
        <v>1146</v>
      </c>
      <c r="F3" s="16" t="s">
        <v>1147</v>
      </c>
      <c r="G3" s="16" t="s">
        <v>782</v>
      </c>
      <c r="H3" s="16" t="s">
        <v>330</v>
      </c>
    </row>
    <row r="4" customFormat="false" ht="30" hidden="false" customHeight="true" outlineLevel="0" collapsed="false">
      <c r="A4" s="66" t="n">
        <v>1</v>
      </c>
      <c r="B4" s="67" t="s">
        <v>1148</v>
      </c>
      <c r="C4" s="73" t="s">
        <v>1149</v>
      </c>
      <c r="D4" s="68" t="s">
        <v>1150</v>
      </c>
      <c r="E4" s="74" t="s">
        <v>1151</v>
      </c>
      <c r="F4" s="73" t="s">
        <v>1152</v>
      </c>
      <c r="G4" s="66" t="n">
        <v>15</v>
      </c>
      <c r="H4" s="66" t="s">
        <v>334</v>
      </c>
    </row>
    <row r="5" customFormat="false" ht="30" hidden="false" customHeight="true" outlineLevel="0" collapsed="false">
      <c r="A5" s="69" t="n">
        <v>2</v>
      </c>
      <c r="B5" s="70" t="s">
        <v>115</v>
      </c>
      <c r="C5" s="75" t="s">
        <v>1153</v>
      </c>
      <c r="D5" s="71" t="s">
        <v>1154</v>
      </c>
      <c r="E5" s="76" t="s">
        <v>1155</v>
      </c>
      <c r="F5" s="71" t="s">
        <v>1156</v>
      </c>
      <c r="G5" s="69" t="n">
        <v>16</v>
      </c>
      <c r="H5" s="69" t="s">
        <v>334</v>
      </c>
    </row>
    <row r="6" customFormat="false" ht="30" hidden="false" customHeight="true" outlineLevel="0" collapsed="false">
      <c r="A6" s="66" t="n">
        <v>3</v>
      </c>
      <c r="B6" s="67" t="s">
        <v>120</v>
      </c>
      <c r="C6" s="73" t="s">
        <v>1157</v>
      </c>
      <c r="D6" s="68" t="s">
        <v>1158</v>
      </c>
      <c r="E6" s="74" t="s">
        <v>1159</v>
      </c>
      <c r="F6" s="68" t="s">
        <v>1160</v>
      </c>
      <c r="G6" s="66" t="n">
        <v>17</v>
      </c>
      <c r="H6" s="66" t="s">
        <v>334</v>
      </c>
    </row>
    <row r="7" customFormat="false" ht="30" hidden="false" customHeight="true" outlineLevel="0" collapsed="false">
      <c r="A7" s="69" t="n">
        <v>4</v>
      </c>
      <c r="B7" s="70" t="s">
        <v>124</v>
      </c>
      <c r="C7" s="75" t="s">
        <v>1161</v>
      </c>
      <c r="D7" s="71" t="s">
        <v>1162</v>
      </c>
      <c r="E7" s="76" t="s">
        <v>1163</v>
      </c>
      <c r="F7" s="71" t="s">
        <v>1164</v>
      </c>
      <c r="G7" s="69" t="n">
        <v>18</v>
      </c>
      <c r="H7" s="69" t="s">
        <v>334</v>
      </c>
    </row>
    <row r="8" customFormat="false" ht="30" hidden="false" customHeight="true" outlineLevel="0" collapsed="false">
      <c r="A8" s="66" t="n">
        <v>5</v>
      </c>
      <c r="B8" s="67" t="s">
        <v>128</v>
      </c>
      <c r="C8" s="73" t="s">
        <v>1165</v>
      </c>
      <c r="D8" s="68" t="s">
        <v>1166</v>
      </c>
      <c r="E8" s="74" t="s">
        <v>1167</v>
      </c>
      <c r="F8" s="68" t="s">
        <v>1168</v>
      </c>
      <c r="G8" s="66" t="n">
        <v>19</v>
      </c>
      <c r="H8" s="66" t="s">
        <v>334</v>
      </c>
    </row>
    <row r="9" customFormat="false" ht="30" hidden="false" customHeight="true" outlineLevel="0" collapsed="false">
      <c r="A9" s="69" t="n">
        <v>6</v>
      </c>
      <c r="B9" s="70" t="s">
        <v>1169</v>
      </c>
      <c r="C9" s="75" t="s">
        <v>1170</v>
      </c>
      <c r="D9" s="71" t="s">
        <v>1171</v>
      </c>
      <c r="E9" s="76" t="s">
        <v>1172</v>
      </c>
      <c r="F9" s="75" t="s">
        <v>1173</v>
      </c>
      <c r="G9" s="69" t="n">
        <v>20</v>
      </c>
      <c r="H9" s="69" t="s">
        <v>334</v>
      </c>
    </row>
    <row r="10" customFormat="false" ht="30" hidden="false" customHeight="true" outlineLevel="0" collapsed="false">
      <c r="A10" s="66" t="n">
        <v>7</v>
      </c>
      <c r="B10" s="67" t="s">
        <v>1174</v>
      </c>
      <c r="C10" s="73" t="s">
        <v>1175</v>
      </c>
      <c r="D10" s="68" t="s">
        <v>1176</v>
      </c>
      <c r="E10" s="74" t="s">
        <v>1177</v>
      </c>
      <c r="F10" s="73" t="s">
        <v>1178</v>
      </c>
      <c r="G10" s="66" t="n">
        <v>22</v>
      </c>
      <c r="H10" s="66" t="s">
        <v>334</v>
      </c>
    </row>
    <row r="11" customFormat="false" ht="30" hidden="false" customHeight="true" outlineLevel="0" collapsed="false">
      <c r="A11" s="69" t="n">
        <v>8</v>
      </c>
      <c r="B11" s="70" t="s">
        <v>143</v>
      </c>
      <c r="C11" s="75" t="s">
        <v>1179</v>
      </c>
      <c r="D11" s="71" t="s">
        <v>1180</v>
      </c>
      <c r="E11" s="76" t="s">
        <v>1181</v>
      </c>
      <c r="F11" s="71" t="s">
        <v>1182</v>
      </c>
      <c r="G11" s="69" t="n">
        <v>23</v>
      </c>
      <c r="H11" s="69" t="s">
        <v>334</v>
      </c>
    </row>
    <row r="12" customFormat="false" ht="30" hidden="false" customHeight="true" outlineLevel="0" collapsed="false">
      <c r="A12" s="66" t="n">
        <v>9</v>
      </c>
      <c r="B12" s="67" t="s">
        <v>147</v>
      </c>
      <c r="C12" s="73" t="s">
        <v>1183</v>
      </c>
      <c r="D12" s="68" t="s">
        <v>1184</v>
      </c>
      <c r="E12" s="74" t="s">
        <v>1185</v>
      </c>
      <c r="F12" s="68" t="s">
        <v>1186</v>
      </c>
      <c r="G12" s="66" t="n">
        <v>24</v>
      </c>
      <c r="H12" s="66" t="s">
        <v>334</v>
      </c>
    </row>
    <row r="13" customFormat="false" ht="30" hidden="false" customHeight="true" outlineLevel="0" collapsed="false">
      <c r="A13" s="69" t="n">
        <v>10</v>
      </c>
      <c r="B13" s="70" t="s">
        <v>150</v>
      </c>
      <c r="C13" s="75" t="s">
        <v>1187</v>
      </c>
      <c r="D13" s="71" t="s">
        <v>1188</v>
      </c>
      <c r="E13" s="76" t="s">
        <v>1189</v>
      </c>
      <c r="F13" s="71" t="s">
        <v>1190</v>
      </c>
      <c r="G13" s="69" t="n">
        <v>25</v>
      </c>
      <c r="H13" s="69" t="s">
        <v>334</v>
      </c>
    </row>
    <row r="14" customFormat="false" ht="30" hidden="false" customHeight="true" outlineLevel="0" collapsed="false">
      <c r="A14" s="66" t="n">
        <v>11</v>
      </c>
      <c r="B14" s="67" t="s">
        <v>154</v>
      </c>
      <c r="C14" s="73" t="s">
        <v>1191</v>
      </c>
      <c r="D14" s="68" t="s">
        <v>1192</v>
      </c>
      <c r="E14" s="74" t="s">
        <v>1193</v>
      </c>
      <c r="F14" s="68" t="s">
        <v>1194</v>
      </c>
      <c r="G14" s="66" t="n">
        <v>26</v>
      </c>
      <c r="H14" s="66" t="s">
        <v>334</v>
      </c>
    </row>
    <row r="15" customFormat="false" ht="30" hidden="false" customHeight="true" outlineLevel="0" collapsed="false">
      <c r="A15" s="69" t="n">
        <v>12</v>
      </c>
      <c r="B15" s="70" t="s">
        <v>1195</v>
      </c>
      <c r="C15" s="75" t="s">
        <v>1196</v>
      </c>
      <c r="D15" s="71" t="s">
        <v>1197</v>
      </c>
      <c r="E15" s="76" t="s">
        <v>1198</v>
      </c>
      <c r="F15" s="75" t="s">
        <v>1199</v>
      </c>
      <c r="G15" s="69" t="n">
        <v>27</v>
      </c>
      <c r="H15" s="69" t="s">
        <v>334</v>
      </c>
    </row>
    <row r="16" customFormat="false" ht="30" hidden="false" customHeight="true" outlineLevel="0" collapsed="false">
      <c r="A16" s="66" t="n">
        <v>13</v>
      </c>
      <c r="B16" s="67" t="s">
        <v>1200</v>
      </c>
      <c r="C16" s="73" t="s">
        <v>1201</v>
      </c>
      <c r="D16" s="68" t="s">
        <v>1202</v>
      </c>
      <c r="E16" s="74" t="s">
        <v>1203</v>
      </c>
      <c r="F16" s="73" t="s">
        <v>1204</v>
      </c>
      <c r="G16" s="66" t="n">
        <v>29</v>
      </c>
      <c r="H16" s="66" t="s">
        <v>334</v>
      </c>
    </row>
    <row r="17" customFormat="false" ht="30" hidden="false" customHeight="true" outlineLevel="0" collapsed="false">
      <c r="A17" s="69" t="n">
        <v>14</v>
      </c>
      <c r="B17" s="70" t="s">
        <v>166</v>
      </c>
      <c r="C17" s="75" t="s">
        <v>1205</v>
      </c>
      <c r="D17" s="71" t="s">
        <v>1206</v>
      </c>
      <c r="E17" s="76" t="s">
        <v>1207</v>
      </c>
      <c r="F17" s="71" t="s">
        <v>1208</v>
      </c>
      <c r="G17" s="69" t="n">
        <v>30</v>
      </c>
      <c r="H17" s="69" t="s">
        <v>334</v>
      </c>
    </row>
    <row r="18" customFormat="false" ht="30" hidden="false" customHeight="true" outlineLevel="0" collapsed="false">
      <c r="A18" s="66" t="n">
        <v>15</v>
      </c>
      <c r="B18" s="67" t="s">
        <v>170</v>
      </c>
      <c r="C18" s="73" t="s">
        <v>1209</v>
      </c>
      <c r="D18" s="68" t="s">
        <v>1210</v>
      </c>
      <c r="E18" s="74" t="s">
        <v>1211</v>
      </c>
      <c r="F18" s="68" t="s">
        <v>1212</v>
      </c>
      <c r="G18" s="66" t="n">
        <v>31</v>
      </c>
      <c r="H18" s="66" t="s">
        <v>334</v>
      </c>
    </row>
    <row r="19" customFormat="false" ht="30" hidden="false" customHeight="true" outlineLevel="0" collapsed="false">
      <c r="A19" s="69" t="n">
        <v>16</v>
      </c>
      <c r="B19" s="70" t="s">
        <v>1213</v>
      </c>
      <c r="C19" s="75" t="s">
        <v>1214</v>
      </c>
      <c r="D19" s="71" t="s">
        <v>1215</v>
      </c>
      <c r="E19" s="76" t="s">
        <v>1216</v>
      </c>
      <c r="F19" s="71" t="s">
        <v>1217</v>
      </c>
      <c r="G19" s="69" t="n">
        <v>32</v>
      </c>
      <c r="H19" s="69" t="s">
        <v>334</v>
      </c>
    </row>
    <row r="20" customFormat="false" ht="30" hidden="false" customHeight="true" outlineLevel="0" collapsed="false">
      <c r="A20" s="66" t="n">
        <v>17</v>
      </c>
      <c r="B20" s="67" t="s">
        <v>1218</v>
      </c>
      <c r="C20" s="73" t="s">
        <v>1219</v>
      </c>
      <c r="D20" s="68" t="s">
        <v>1220</v>
      </c>
      <c r="E20" s="74" t="s">
        <v>1221</v>
      </c>
      <c r="F20" s="68" t="s">
        <v>1222</v>
      </c>
      <c r="G20" s="66" t="n">
        <v>33</v>
      </c>
      <c r="H20" s="66" t="s">
        <v>334</v>
      </c>
    </row>
    <row r="21" customFormat="false" ht="30" hidden="false" customHeight="true" outlineLevel="0" collapsed="false">
      <c r="A21" s="69" t="n">
        <v>18</v>
      </c>
      <c r="B21" s="70" t="s">
        <v>180</v>
      </c>
      <c r="C21" s="75" t="s">
        <v>1223</v>
      </c>
      <c r="D21" s="71" t="s">
        <v>1224</v>
      </c>
      <c r="E21" s="76" t="s">
        <v>1225</v>
      </c>
      <c r="F21" s="71" t="s">
        <v>1226</v>
      </c>
      <c r="G21" s="69" t="n">
        <v>34</v>
      </c>
      <c r="H21" s="69" t="s">
        <v>334</v>
      </c>
    </row>
    <row r="22" customFormat="false" ht="30" hidden="false" customHeight="true" outlineLevel="0" collapsed="false">
      <c r="A22" s="66" t="n">
        <v>19</v>
      </c>
      <c r="B22" s="67" t="s">
        <v>186</v>
      </c>
      <c r="C22" s="73" t="s">
        <v>1227</v>
      </c>
      <c r="D22" s="68" t="s">
        <v>1228</v>
      </c>
      <c r="E22" s="74" t="s">
        <v>1229</v>
      </c>
      <c r="F22" s="68" t="s">
        <v>1230</v>
      </c>
      <c r="G22" s="66" t="n">
        <v>36</v>
      </c>
      <c r="H22" s="66" t="s">
        <v>334</v>
      </c>
    </row>
    <row r="23" customFormat="false" ht="30" hidden="false" customHeight="true" outlineLevel="0" collapsed="false">
      <c r="A23" s="69" t="n">
        <v>20</v>
      </c>
      <c r="B23" s="70" t="s">
        <v>1231</v>
      </c>
      <c r="C23" s="75" t="s">
        <v>1232</v>
      </c>
      <c r="D23" s="71" t="s">
        <v>1233</v>
      </c>
      <c r="E23" s="76" t="s">
        <v>1234</v>
      </c>
      <c r="F23" s="71" t="s">
        <v>1235</v>
      </c>
      <c r="G23" s="69" t="n">
        <v>37</v>
      </c>
      <c r="H23" s="69" t="s">
        <v>334</v>
      </c>
    </row>
    <row r="24" customFormat="false" ht="30" hidden="false" customHeight="true" outlineLevel="0" collapsed="false">
      <c r="A24" s="66" t="n">
        <v>21</v>
      </c>
      <c r="B24" s="67" t="s">
        <v>193</v>
      </c>
      <c r="C24" s="73" t="s">
        <v>1236</v>
      </c>
      <c r="D24" s="68" t="s">
        <v>1237</v>
      </c>
      <c r="E24" s="74" t="s">
        <v>1238</v>
      </c>
      <c r="F24" s="68" t="s">
        <v>1239</v>
      </c>
      <c r="G24" s="66" t="n">
        <v>38</v>
      </c>
      <c r="H24" s="66" t="s">
        <v>334</v>
      </c>
    </row>
    <row r="25" customFormat="false" ht="30" hidden="false" customHeight="true" outlineLevel="0" collapsed="false">
      <c r="A25" s="69" t="n">
        <v>22</v>
      </c>
      <c r="B25" s="70" t="s">
        <v>196</v>
      </c>
      <c r="C25" s="75" t="s">
        <v>1240</v>
      </c>
      <c r="D25" s="71" t="s">
        <v>1241</v>
      </c>
      <c r="E25" s="76" t="s">
        <v>1242</v>
      </c>
      <c r="F25" s="71" t="s">
        <v>1243</v>
      </c>
      <c r="G25" s="69" t="n">
        <v>39</v>
      </c>
      <c r="H25" s="69" t="s">
        <v>334</v>
      </c>
    </row>
    <row r="26" customFormat="false" ht="30" hidden="false" customHeight="true" outlineLevel="0" collapsed="false">
      <c r="A26" s="66" t="n">
        <v>23</v>
      </c>
      <c r="B26" s="67" t="s">
        <v>200</v>
      </c>
      <c r="C26" s="73" t="s">
        <v>1244</v>
      </c>
      <c r="D26" s="68" t="s">
        <v>1245</v>
      </c>
      <c r="E26" s="74" t="s">
        <v>1246</v>
      </c>
      <c r="F26" s="68" t="s">
        <v>1247</v>
      </c>
      <c r="G26" s="66" t="n">
        <v>40</v>
      </c>
      <c r="H26" s="66" t="s">
        <v>334</v>
      </c>
    </row>
    <row r="27" customFormat="false" ht="30" hidden="false" customHeight="true" outlineLevel="0" collapsed="false">
      <c r="A27" s="69" t="n">
        <v>24</v>
      </c>
      <c r="B27" s="70" t="s">
        <v>1248</v>
      </c>
      <c r="C27" s="75" t="s">
        <v>1249</v>
      </c>
      <c r="D27" s="71" t="s">
        <v>1250</v>
      </c>
      <c r="E27" s="76" t="s">
        <v>1251</v>
      </c>
      <c r="F27" s="71" t="s">
        <v>1252</v>
      </c>
      <c r="G27" s="69" t="n">
        <v>41</v>
      </c>
      <c r="H27" s="69" t="s">
        <v>334</v>
      </c>
    </row>
    <row r="28" customFormat="false" ht="30" hidden="false" customHeight="true" outlineLevel="0" collapsed="false">
      <c r="A28" s="66" t="n">
        <v>25</v>
      </c>
      <c r="B28" s="67" t="s">
        <v>209</v>
      </c>
      <c r="C28" s="73" t="s">
        <v>1253</v>
      </c>
      <c r="D28" s="68" t="s">
        <v>1254</v>
      </c>
      <c r="E28" s="74" t="s">
        <v>1255</v>
      </c>
      <c r="F28" s="68" t="s">
        <v>1256</v>
      </c>
      <c r="G28" s="66" t="n">
        <v>43</v>
      </c>
      <c r="H28" s="66" t="s">
        <v>334</v>
      </c>
    </row>
    <row r="29" customFormat="false" ht="30" hidden="false" customHeight="true" outlineLevel="0" collapsed="false">
      <c r="A29" s="69" t="n">
        <v>26</v>
      </c>
      <c r="B29" s="70" t="s">
        <v>212</v>
      </c>
      <c r="C29" s="75" t="s">
        <v>1257</v>
      </c>
      <c r="D29" s="71" t="s">
        <v>1258</v>
      </c>
      <c r="E29" s="76" t="s">
        <v>1259</v>
      </c>
      <c r="F29" s="71" t="s">
        <v>1260</v>
      </c>
      <c r="G29" s="69" t="n">
        <v>44</v>
      </c>
      <c r="H29" s="69" t="s">
        <v>334</v>
      </c>
    </row>
    <row r="30" customFormat="false" ht="30" hidden="false" customHeight="true" outlineLevel="0" collapsed="false">
      <c r="A30" s="66" t="n">
        <v>27</v>
      </c>
      <c r="B30" s="67" t="s">
        <v>216</v>
      </c>
      <c r="C30" s="73" t="s">
        <v>1261</v>
      </c>
      <c r="D30" s="68" t="s">
        <v>1262</v>
      </c>
      <c r="E30" s="74" t="s">
        <v>1263</v>
      </c>
      <c r="F30" s="68" t="s">
        <v>1264</v>
      </c>
      <c r="G30" s="66" t="n">
        <v>45</v>
      </c>
      <c r="H30" s="66" t="s">
        <v>334</v>
      </c>
    </row>
    <row r="31" customFormat="false" ht="30" hidden="false" customHeight="true" outlineLevel="0" collapsed="false">
      <c r="A31" s="69" t="n">
        <v>28</v>
      </c>
      <c r="B31" s="70" t="s">
        <v>220</v>
      </c>
      <c r="C31" s="75" t="s">
        <v>1265</v>
      </c>
      <c r="D31" s="71" t="s">
        <v>1266</v>
      </c>
      <c r="E31" s="76" t="s">
        <v>1267</v>
      </c>
      <c r="F31" s="71" t="s">
        <v>1268</v>
      </c>
      <c r="G31" s="69" t="n">
        <v>46</v>
      </c>
      <c r="H31" s="69" t="s">
        <v>334</v>
      </c>
    </row>
    <row r="32" customFormat="false" ht="30" hidden="false" customHeight="true" outlineLevel="0" collapsed="false">
      <c r="A32" s="66" t="n">
        <v>29</v>
      </c>
      <c r="B32" s="67" t="s">
        <v>224</v>
      </c>
      <c r="C32" s="73" t="s">
        <v>1269</v>
      </c>
      <c r="D32" s="68" t="s">
        <v>1270</v>
      </c>
      <c r="E32" s="74" t="s">
        <v>1271</v>
      </c>
      <c r="F32" s="68" t="s">
        <v>1272</v>
      </c>
      <c r="G32" s="66" t="n">
        <v>47</v>
      </c>
      <c r="H32" s="66" t="s">
        <v>334</v>
      </c>
    </row>
    <row r="33" customFormat="false" ht="30" hidden="false" customHeight="true" outlineLevel="0" collapsed="false">
      <c r="A33" s="69" t="n">
        <v>30</v>
      </c>
      <c r="B33" s="70" t="s">
        <v>229</v>
      </c>
      <c r="C33" s="75" t="s">
        <v>1273</v>
      </c>
      <c r="D33" s="71" t="s">
        <v>1274</v>
      </c>
      <c r="E33" s="76" t="s">
        <v>1275</v>
      </c>
      <c r="F33" s="71" t="s">
        <v>1276</v>
      </c>
      <c r="G33" s="69" t="n">
        <v>48</v>
      </c>
      <c r="H33" s="69" t="s">
        <v>334</v>
      </c>
    </row>
    <row r="34" customFormat="false" ht="30" hidden="false" customHeight="true" outlineLevel="0" collapsed="false">
      <c r="A34" s="66" t="n">
        <v>31</v>
      </c>
      <c r="B34" s="67" t="s">
        <v>234</v>
      </c>
      <c r="C34" s="73" t="s">
        <v>1277</v>
      </c>
      <c r="D34" s="68" t="s">
        <v>1278</v>
      </c>
      <c r="E34" s="74" t="s">
        <v>1279</v>
      </c>
      <c r="F34" s="68" t="s">
        <v>1280</v>
      </c>
      <c r="G34" s="66" t="n">
        <v>50</v>
      </c>
      <c r="H34" s="66" t="s">
        <v>334</v>
      </c>
    </row>
    <row r="35" customFormat="false" ht="30" hidden="false" customHeight="true" outlineLevel="0" collapsed="false">
      <c r="A35" s="69" t="n">
        <v>32</v>
      </c>
      <c r="B35" s="70" t="s">
        <v>238</v>
      </c>
      <c r="C35" s="75" t="s">
        <v>1281</v>
      </c>
      <c r="D35" s="71" t="s">
        <v>1282</v>
      </c>
      <c r="E35" s="76" t="s">
        <v>1283</v>
      </c>
      <c r="F35" s="71" t="s">
        <v>1284</v>
      </c>
      <c r="G35" s="69" t="n">
        <v>51</v>
      </c>
      <c r="H35" s="69" t="s">
        <v>334</v>
      </c>
    </row>
    <row r="36" customFormat="false" ht="30" hidden="false" customHeight="true" outlineLevel="0" collapsed="false">
      <c r="A36" s="66" t="n">
        <v>33</v>
      </c>
      <c r="B36" s="67" t="s">
        <v>241</v>
      </c>
      <c r="C36" s="73" t="s">
        <v>1285</v>
      </c>
      <c r="D36" s="68" t="s">
        <v>1286</v>
      </c>
      <c r="E36" s="74" t="s">
        <v>1287</v>
      </c>
      <c r="F36" s="68" t="s">
        <v>1288</v>
      </c>
      <c r="G36" s="66" t="n">
        <v>52</v>
      </c>
      <c r="H36" s="66" t="s">
        <v>334</v>
      </c>
    </row>
    <row r="37" customFormat="false" ht="30" hidden="false" customHeight="true" outlineLevel="0" collapsed="false">
      <c r="A37" s="69" t="n">
        <v>34</v>
      </c>
      <c r="B37" s="70" t="s">
        <v>245</v>
      </c>
      <c r="C37" s="75" t="s">
        <v>1289</v>
      </c>
      <c r="D37" s="71" t="s">
        <v>1290</v>
      </c>
      <c r="E37" s="76" t="s">
        <v>1291</v>
      </c>
      <c r="F37" s="71" t="s">
        <v>1292</v>
      </c>
      <c r="G37" s="69" t="n">
        <v>53</v>
      </c>
      <c r="H37" s="69" t="s">
        <v>334</v>
      </c>
    </row>
    <row r="38" customFormat="false" ht="30" hidden="false" customHeight="true" outlineLevel="0" collapsed="false">
      <c r="A38" s="66" t="n">
        <v>35</v>
      </c>
      <c r="B38" s="67" t="s">
        <v>248</v>
      </c>
      <c r="C38" s="73" t="s">
        <v>1293</v>
      </c>
      <c r="D38" s="68" t="s">
        <v>1294</v>
      </c>
      <c r="E38" s="74" t="s">
        <v>1295</v>
      </c>
      <c r="F38" s="68" t="s">
        <v>1296</v>
      </c>
      <c r="G38" s="66" t="n">
        <v>54</v>
      </c>
      <c r="H38" s="66" t="s">
        <v>334</v>
      </c>
    </row>
    <row r="39" customFormat="false" ht="30" hidden="false" customHeight="true" outlineLevel="0" collapsed="false">
      <c r="A39" s="69" t="n">
        <v>36</v>
      </c>
      <c r="B39" s="70" t="s">
        <v>251</v>
      </c>
      <c r="C39" s="75" t="s">
        <v>1297</v>
      </c>
      <c r="D39" s="71" t="s">
        <v>1298</v>
      </c>
      <c r="E39" s="76" t="s">
        <v>1299</v>
      </c>
      <c r="F39" s="71" t="s">
        <v>1300</v>
      </c>
      <c r="G39" s="69" t="n">
        <v>55</v>
      </c>
      <c r="H39" s="69" t="s">
        <v>334</v>
      </c>
    </row>
    <row r="40" customFormat="false" ht="30" hidden="false" customHeight="true" outlineLevel="0" collapsed="false">
      <c r="A40" s="66" t="n">
        <v>37</v>
      </c>
      <c r="B40" s="67" t="s">
        <v>257</v>
      </c>
      <c r="C40" s="73" t="s">
        <v>1301</v>
      </c>
      <c r="D40" s="68" t="s">
        <v>1302</v>
      </c>
      <c r="E40" s="74" t="s">
        <v>1303</v>
      </c>
      <c r="F40" s="68" t="s">
        <v>1304</v>
      </c>
      <c r="G40" s="66" t="n">
        <v>57</v>
      </c>
      <c r="H40" s="66" t="s">
        <v>334</v>
      </c>
    </row>
    <row r="41" customFormat="false" ht="30" hidden="false" customHeight="true" outlineLevel="0" collapsed="false">
      <c r="A41" s="69" t="n">
        <v>38</v>
      </c>
      <c r="B41" s="70" t="s">
        <v>260</v>
      </c>
      <c r="C41" s="75" t="s">
        <v>1305</v>
      </c>
      <c r="D41" s="71" t="s">
        <v>1306</v>
      </c>
      <c r="E41" s="76" t="s">
        <v>1307</v>
      </c>
      <c r="F41" s="71" t="s">
        <v>1308</v>
      </c>
      <c r="G41" s="69" t="n">
        <v>58</v>
      </c>
      <c r="H41" s="69" t="s">
        <v>334</v>
      </c>
    </row>
    <row r="42" customFormat="false" ht="30" hidden="false" customHeight="true" outlineLevel="0" collapsed="false">
      <c r="A42" s="66" t="n">
        <v>39</v>
      </c>
      <c r="B42" s="67" t="s">
        <v>264</v>
      </c>
      <c r="C42" s="73" t="s">
        <v>1309</v>
      </c>
      <c r="D42" s="68" t="s">
        <v>1310</v>
      </c>
      <c r="E42" s="74" t="s">
        <v>1311</v>
      </c>
      <c r="F42" s="68" t="s">
        <v>1312</v>
      </c>
      <c r="G42" s="66" t="n">
        <v>59</v>
      </c>
      <c r="H42" s="66" t="s">
        <v>334</v>
      </c>
    </row>
    <row r="43" customFormat="false" ht="30" hidden="false" customHeight="true" outlineLevel="0" collapsed="false">
      <c r="A43" s="69" t="n">
        <v>40</v>
      </c>
      <c r="B43" s="70" t="s">
        <v>267</v>
      </c>
      <c r="C43" s="75" t="s">
        <v>1313</v>
      </c>
      <c r="D43" s="71" t="s">
        <v>1314</v>
      </c>
      <c r="E43" s="76" t="s">
        <v>1315</v>
      </c>
      <c r="F43" s="71" t="s">
        <v>1316</v>
      </c>
      <c r="G43" s="69" t="n">
        <v>60</v>
      </c>
      <c r="H43" s="69" t="s">
        <v>334</v>
      </c>
    </row>
    <row r="44" customFormat="false" ht="30" hidden="false" customHeight="true" outlineLevel="0" collapsed="false">
      <c r="A44" s="66" t="n">
        <v>41</v>
      </c>
      <c r="B44" s="67" t="s">
        <v>270</v>
      </c>
      <c r="C44" s="73" t="s">
        <v>1317</v>
      </c>
      <c r="D44" s="68" t="s">
        <v>1318</v>
      </c>
      <c r="E44" s="74" t="s">
        <v>1319</v>
      </c>
      <c r="F44" s="68" t="s">
        <v>1320</v>
      </c>
      <c r="G44" s="66" t="n">
        <v>61</v>
      </c>
      <c r="H44" s="66" t="s">
        <v>334</v>
      </c>
    </row>
    <row r="45" customFormat="false" ht="30" hidden="false" customHeight="true" outlineLevel="0" collapsed="false">
      <c r="A45" s="69" t="n">
        <v>42</v>
      </c>
      <c r="B45" s="70" t="s">
        <v>274</v>
      </c>
      <c r="C45" s="75" t="s">
        <v>1321</v>
      </c>
      <c r="D45" s="71" t="s">
        <v>1322</v>
      </c>
      <c r="E45" s="76" t="s">
        <v>1323</v>
      </c>
      <c r="F45" s="71" t="s">
        <v>1324</v>
      </c>
      <c r="G45" s="69" t="n">
        <v>62</v>
      </c>
      <c r="H45" s="69" t="s">
        <v>334</v>
      </c>
    </row>
    <row r="46" customFormat="false" ht="30" hidden="false" customHeight="true" outlineLevel="0" collapsed="false">
      <c r="A46" s="66" t="n">
        <v>43</v>
      </c>
      <c r="B46" s="67" t="s">
        <v>279</v>
      </c>
      <c r="C46" s="73" t="s">
        <v>1325</v>
      </c>
      <c r="D46" s="68" t="s">
        <v>1326</v>
      </c>
      <c r="E46" s="74" t="s">
        <v>1327</v>
      </c>
      <c r="F46" s="68" t="s">
        <v>1328</v>
      </c>
      <c r="G46" s="66" t="n">
        <v>64</v>
      </c>
      <c r="H46" s="66" t="s">
        <v>334</v>
      </c>
    </row>
    <row r="47" customFormat="false" ht="30" hidden="false" customHeight="true" outlineLevel="0" collapsed="false">
      <c r="A47" s="69" t="n">
        <v>44</v>
      </c>
      <c r="B47" s="70" t="s">
        <v>282</v>
      </c>
      <c r="C47" s="75" t="s">
        <v>1329</v>
      </c>
      <c r="D47" s="71" t="s">
        <v>1330</v>
      </c>
      <c r="E47" s="76" t="s">
        <v>1331</v>
      </c>
      <c r="F47" s="71" t="s">
        <v>1332</v>
      </c>
      <c r="G47" s="69" t="n">
        <v>65</v>
      </c>
      <c r="H47" s="69" t="s">
        <v>334</v>
      </c>
    </row>
    <row r="48" customFormat="false" ht="30" hidden="false" customHeight="true" outlineLevel="0" collapsed="false">
      <c r="A48" s="66" t="n">
        <v>45</v>
      </c>
      <c r="B48" s="67" t="s">
        <v>286</v>
      </c>
      <c r="C48" s="73" t="s">
        <v>1333</v>
      </c>
      <c r="D48" s="68" t="s">
        <v>1334</v>
      </c>
      <c r="E48" s="74" t="s">
        <v>1335</v>
      </c>
      <c r="F48" s="68" t="s">
        <v>1336</v>
      </c>
      <c r="G48" s="66" t="n">
        <v>66</v>
      </c>
      <c r="H48" s="66" t="s">
        <v>334</v>
      </c>
    </row>
  </sheetData>
  <autoFilter ref="A3:H48"/>
  <mergeCells count="2">
    <mergeCell ref="A1:H1"/>
    <mergeCell ref="A2:H2"/>
  </mergeCells>
  <conditionalFormatting sqref="A4:H48">
    <cfRule type="expression" priority="2" aboveAverage="0" equalAverage="0" bottom="0" percent="0" rank="0" text="" dxfId="8">
      <formula>$H4="Xong"</formula>
    </cfRule>
    <cfRule type="expression" priority="3" aboveAverage="0" equalAverage="0" bottom="0" percent="0" rank="0" text="" dxfId="9">
      <formula>$H4="Đang học"</formula>
    </cfRule>
  </conditionalFormatting>
  <dataValidations count="1">
    <dataValidation allowBlank="true" errorStyle="stop" operator="between" showDropDown="false" showErrorMessage="false" showInputMessage="false" sqref="H4:H48" type="list">
      <formula1>"Chưa học,Đang học,Xong"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L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12"/>
    <col collapsed="false" customWidth="true" hidden="false" outlineLevel="0" max="4" min="4" style="0" width="20"/>
    <col collapsed="false" customWidth="true" hidden="false" outlineLevel="0" max="6" min="5" style="0" width="16"/>
    <col collapsed="false" customWidth="true" hidden="false" outlineLevel="0" max="7" min="7" style="0" width="6"/>
    <col collapsed="false" customWidth="true" hidden="false" outlineLevel="0" max="8" min="8" style="0" width="40"/>
    <col collapsed="false" customWidth="true" hidden="false" outlineLevel="0" max="9" min="9" style="0" width="56"/>
    <col collapsed="false" customWidth="true" hidden="false" outlineLevel="0" max="10" min="10" style="0" width="10"/>
    <col collapsed="false" customWidth="true" hidden="false" outlineLevel="0" max="11" min="11" style="0" width="12"/>
    <col collapsed="false" customWidth="true" hidden="false" outlineLevel="0" max="12" min="12" style="0" width="7"/>
  </cols>
  <sheetData>
    <row r="1" customFormat="false" ht="31.5" hidden="false" customHeight="true" outlineLevel="0" collapsed="false">
      <c r="A1" s="15" t="s">
        <v>1337</v>
      </c>
      <c r="B1" s="15"/>
      <c r="C1" s="15"/>
      <c r="D1" s="15"/>
      <c r="E1" s="15"/>
      <c r="F1" s="15"/>
      <c r="G1" s="15"/>
      <c r="H1" s="15"/>
      <c r="I1" s="15"/>
      <c r="J1" s="15"/>
      <c r="K1" s="15"/>
      <c r="L1" s="15"/>
    </row>
    <row r="2" customFormat="false" ht="33.75" hidden="false" customHeight="true" outlineLevel="0" collapsed="false">
      <c r="A2" s="16" t="s">
        <v>778</v>
      </c>
      <c r="B2" s="16" t="s">
        <v>80</v>
      </c>
      <c r="C2" s="16" t="s">
        <v>1338</v>
      </c>
      <c r="D2" s="16" t="s">
        <v>1145</v>
      </c>
      <c r="E2" s="16" t="s">
        <v>1339</v>
      </c>
      <c r="F2" s="16" t="s">
        <v>1340</v>
      </c>
      <c r="G2" s="16" t="s">
        <v>1341</v>
      </c>
      <c r="H2" s="16" t="s">
        <v>1342</v>
      </c>
      <c r="I2" s="16" t="s">
        <v>1147</v>
      </c>
      <c r="J2" s="16" t="s">
        <v>782</v>
      </c>
      <c r="K2" s="16" t="s">
        <v>330</v>
      </c>
      <c r="L2" s="16" t="s">
        <v>1343</v>
      </c>
    </row>
    <row r="3" customFormat="false" ht="45.75" hidden="false" customHeight="true" outlineLevel="0" collapsed="false">
      <c r="A3" s="66" t="n">
        <v>1</v>
      </c>
      <c r="B3" s="77" t="s">
        <v>120</v>
      </c>
      <c r="C3" s="78" t="s">
        <v>1344</v>
      </c>
      <c r="D3" s="68" t="s">
        <v>1345</v>
      </c>
      <c r="E3" s="73" t="s">
        <v>1346</v>
      </c>
      <c r="F3" s="73" t="s">
        <v>1347</v>
      </c>
      <c r="G3" s="66" t="s">
        <v>1348</v>
      </c>
      <c r="H3" s="73" t="s">
        <v>1349</v>
      </c>
      <c r="I3" s="68" t="s">
        <v>1350</v>
      </c>
      <c r="J3" s="66" t="n">
        <v>15</v>
      </c>
      <c r="K3" s="66" t="s">
        <v>334</v>
      </c>
      <c r="L3" s="66"/>
    </row>
    <row r="4" customFormat="false" ht="45.75" hidden="false" customHeight="true" outlineLevel="0" collapsed="false">
      <c r="A4" s="69" t="n">
        <v>2</v>
      </c>
      <c r="B4" s="79" t="s">
        <v>279</v>
      </c>
      <c r="C4" s="80" t="s">
        <v>1351</v>
      </c>
      <c r="D4" s="71" t="s">
        <v>1352</v>
      </c>
      <c r="E4" s="75" t="s">
        <v>1353</v>
      </c>
      <c r="F4" s="75" t="s">
        <v>1354</v>
      </c>
      <c r="G4" s="69" t="s">
        <v>1355</v>
      </c>
      <c r="H4" s="75" t="s">
        <v>1356</v>
      </c>
      <c r="I4" s="71" t="s">
        <v>1357</v>
      </c>
      <c r="J4" s="69" t="n">
        <v>15</v>
      </c>
      <c r="K4" s="69" t="s">
        <v>334</v>
      </c>
      <c r="L4" s="69"/>
    </row>
    <row r="5" customFormat="false" ht="45.75" hidden="false" customHeight="true" outlineLevel="0" collapsed="false">
      <c r="A5" s="66" t="n">
        <v>3</v>
      </c>
      <c r="B5" s="77" t="s">
        <v>1358</v>
      </c>
      <c r="C5" s="78" t="s">
        <v>1359</v>
      </c>
      <c r="D5" s="68" t="s">
        <v>1360</v>
      </c>
      <c r="E5" s="73" t="s">
        <v>1361</v>
      </c>
      <c r="F5" s="73" t="s">
        <v>1362</v>
      </c>
      <c r="G5" s="66" t="s">
        <v>1363</v>
      </c>
      <c r="H5" s="73" t="s">
        <v>1364</v>
      </c>
      <c r="I5" s="68" t="s">
        <v>1365</v>
      </c>
      <c r="J5" s="66" t="n">
        <v>16</v>
      </c>
      <c r="K5" s="66" t="s">
        <v>334</v>
      </c>
      <c r="L5" s="66"/>
    </row>
    <row r="6" customFormat="false" ht="45.75" hidden="false" customHeight="true" outlineLevel="0" collapsed="false">
      <c r="A6" s="69" t="n">
        <v>4</v>
      </c>
      <c r="B6" s="79" t="s">
        <v>1366</v>
      </c>
      <c r="C6" s="80" t="s">
        <v>1367</v>
      </c>
      <c r="D6" s="71" t="s">
        <v>1368</v>
      </c>
      <c r="E6" s="75" t="s">
        <v>1369</v>
      </c>
      <c r="F6" s="75" t="s">
        <v>1370</v>
      </c>
      <c r="G6" s="69" t="s">
        <v>1371</v>
      </c>
      <c r="H6" s="75" t="s">
        <v>1372</v>
      </c>
      <c r="I6" s="71" t="s">
        <v>1373</v>
      </c>
      <c r="J6" s="69" t="n">
        <v>16</v>
      </c>
      <c r="K6" s="69" t="s">
        <v>334</v>
      </c>
      <c r="L6" s="69"/>
    </row>
    <row r="7" customFormat="false" ht="45.75" hidden="false" customHeight="true" outlineLevel="0" collapsed="false">
      <c r="A7" s="66" t="n">
        <v>5</v>
      </c>
      <c r="B7" s="77" t="s">
        <v>1374</v>
      </c>
      <c r="C7" s="78" t="s">
        <v>1375</v>
      </c>
      <c r="D7" s="68" t="s">
        <v>1150</v>
      </c>
      <c r="E7" s="73" t="s">
        <v>1376</v>
      </c>
      <c r="F7" s="73" t="s">
        <v>1377</v>
      </c>
      <c r="G7" s="66" t="s">
        <v>1378</v>
      </c>
      <c r="H7" s="73" t="s">
        <v>1379</v>
      </c>
      <c r="I7" s="68" t="s">
        <v>1380</v>
      </c>
      <c r="J7" s="66" t="n">
        <v>17</v>
      </c>
      <c r="K7" s="66" t="s">
        <v>334</v>
      </c>
      <c r="L7" s="66"/>
    </row>
    <row r="8" customFormat="false" ht="45.75" hidden="false" customHeight="true" outlineLevel="0" collapsed="false">
      <c r="A8" s="69" t="n">
        <v>6</v>
      </c>
      <c r="B8" s="79" t="s">
        <v>1381</v>
      </c>
      <c r="C8" s="80" t="s">
        <v>1382</v>
      </c>
      <c r="D8" s="71" t="s">
        <v>1383</v>
      </c>
      <c r="E8" s="75" t="s">
        <v>1384</v>
      </c>
      <c r="F8" s="75" t="s">
        <v>1385</v>
      </c>
      <c r="G8" s="69" t="s">
        <v>1371</v>
      </c>
      <c r="H8" s="75" t="s">
        <v>1386</v>
      </c>
      <c r="I8" s="71" t="s">
        <v>1387</v>
      </c>
      <c r="J8" s="69" t="n">
        <v>17</v>
      </c>
      <c r="K8" s="69" t="s">
        <v>334</v>
      </c>
      <c r="L8" s="69"/>
    </row>
    <row r="9" customFormat="false" ht="45.75" hidden="false" customHeight="true" outlineLevel="0" collapsed="false">
      <c r="A9" s="66" t="n">
        <v>7</v>
      </c>
      <c r="B9" s="77" t="s">
        <v>216</v>
      </c>
      <c r="C9" s="78" t="s">
        <v>1388</v>
      </c>
      <c r="D9" s="68" t="s">
        <v>1262</v>
      </c>
      <c r="E9" s="73" t="s">
        <v>1389</v>
      </c>
      <c r="F9" s="73" t="s">
        <v>1390</v>
      </c>
      <c r="G9" s="66" t="s">
        <v>1391</v>
      </c>
      <c r="H9" s="73" t="s">
        <v>1392</v>
      </c>
      <c r="I9" s="68" t="s">
        <v>1393</v>
      </c>
      <c r="J9" s="66" t="n">
        <v>18</v>
      </c>
      <c r="K9" s="66" t="s">
        <v>334</v>
      </c>
      <c r="L9" s="66"/>
    </row>
    <row r="10" customFormat="false" ht="45.75" hidden="false" customHeight="true" outlineLevel="0" collapsed="false">
      <c r="A10" s="69" t="n">
        <v>8</v>
      </c>
      <c r="B10" s="79" t="s">
        <v>248</v>
      </c>
      <c r="C10" s="80" t="s">
        <v>1394</v>
      </c>
      <c r="D10" s="71" t="s">
        <v>1395</v>
      </c>
      <c r="E10" s="75" t="s">
        <v>1396</v>
      </c>
      <c r="F10" s="75" t="s">
        <v>1397</v>
      </c>
      <c r="G10" s="69" t="s">
        <v>1378</v>
      </c>
      <c r="H10" s="75" t="s">
        <v>1398</v>
      </c>
      <c r="I10" s="71" t="s">
        <v>1399</v>
      </c>
      <c r="J10" s="69" t="n">
        <v>18</v>
      </c>
      <c r="K10" s="69" t="s">
        <v>334</v>
      </c>
      <c r="L10" s="69"/>
    </row>
    <row r="11" customFormat="false" ht="45.75" hidden="false" customHeight="true" outlineLevel="0" collapsed="false">
      <c r="A11" s="66" t="n">
        <v>9</v>
      </c>
      <c r="B11" s="77" t="s">
        <v>1400</v>
      </c>
      <c r="C11" s="78" t="s">
        <v>1401</v>
      </c>
      <c r="D11" s="68" t="s">
        <v>1402</v>
      </c>
      <c r="E11" s="73" t="s">
        <v>869</v>
      </c>
      <c r="F11" s="73" t="s">
        <v>1403</v>
      </c>
      <c r="G11" s="66" t="s">
        <v>1378</v>
      </c>
      <c r="H11" s="73" t="s">
        <v>1404</v>
      </c>
      <c r="I11" s="68" t="s">
        <v>1405</v>
      </c>
      <c r="J11" s="66" t="n">
        <v>19</v>
      </c>
      <c r="K11" s="66" t="s">
        <v>334</v>
      </c>
      <c r="L11" s="66"/>
    </row>
    <row r="12" customFormat="false" ht="45.75" hidden="false" customHeight="true" outlineLevel="0" collapsed="false">
      <c r="A12" s="69" t="n">
        <v>10</v>
      </c>
      <c r="B12" s="79" t="s">
        <v>1406</v>
      </c>
      <c r="C12" s="80" t="s">
        <v>1407</v>
      </c>
      <c r="D12" s="71" t="s">
        <v>1408</v>
      </c>
      <c r="E12" s="75" t="s">
        <v>1409</v>
      </c>
      <c r="F12" s="75" t="s">
        <v>1410</v>
      </c>
      <c r="G12" s="69" t="s">
        <v>1411</v>
      </c>
      <c r="H12" s="75" t="s">
        <v>1412</v>
      </c>
      <c r="I12" s="71" t="s">
        <v>1413</v>
      </c>
      <c r="J12" s="69" t="n">
        <v>19</v>
      </c>
      <c r="K12" s="69" t="s">
        <v>334</v>
      </c>
      <c r="L12" s="69"/>
    </row>
    <row r="13" customFormat="false" ht="45.75" hidden="false" customHeight="true" outlineLevel="0" collapsed="false">
      <c r="A13" s="66" t="n">
        <v>11</v>
      </c>
      <c r="B13" s="77" t="s">
        <v>1414</v>
      </c>
      <c r="C13" s="78" t="s">
        <v>1415</v>
      </c>
      <c r="D13" s="68" t="s">
        <v>1416</v>
      </c>
      <c r="E13" s="73" t="s">
        <v>1417</v>
      </c>
      <c r="F13" s="73" t="s">
        <v>1418</v>
      </c>
      <c r="G13" s="66" t="s">
        <v>1348</v>
      </c>
      <c r="H13" s="73" t="s">
        <v>1419</v>
      </c>
      <c r="I13" s="68" t="s">
        <v>1420</v>
      </c>
      <c r="J13" s="66" t="n">
        <v>20</v>
      </c>
      <c r="K13" s="66" t="s">
        <v>334</v>
      </c>
      <c r="L13" s="66"/>
    </row>
    <row r="14" customFormat="false" ht="45.75" hidden="false" customHeight="true" outlineLevel="0" collapsed="false">
      <c r="A14" s="69" t="n">
        <v>12</v>
      </c>
      <c r="B14" s="79" t="s">
        <v>1421</v>
      </c>
      <c r="C14" s="80" t="s">
        <v>1422</v>
      </c>
      <c r="D14" s="71" t="s">
        <v>1423</v>
      </c>
      <c r="E14" s="75" t="s">
        <v>1424</v>
      </c>
      <c r="F14" s="75" t="s">
        <v>1425</v>
      </c>
      <c r="G14" s="69" t="s">
        <v>1363</v>
      </c>
      <c r="H14" s="75" t="s">
        <v>1426</v>
      </c>
      <c r="I14" s="71" t="s">
        <v>1427</v>
      </c>
      <c r="J14" s="69" t="n">
        <v>20</v>
      </c>
      <c r="K14" s="69" t="s">
        <v>334</v>
      </c>
      <c r="L14" s="69"/>
    </row>
    <row r="15" customFormat="false" ht="45.75" hidden="false" customHeight="true" outlineLevel="0" collapsed="false">
      <c r="A15" s="66" t="n">
        <v>13</v>
      </c>
      <c r="B15" s="77" t="s">
        <v>1428</v>
      </c>
      <c r="C15" s="78" t="s">
        <v>1429</v>
      </c>
      <c r="D15" s="68" t="s">
        <v>1430</v>
      </c>
      <c r="E15" s="73" t="s">
        <v>1431</v>
      </c>
      <c r="F15" s="73" t="s">
        <v>1432</v>
      </c>
      <c r="G15" s="66" t="s">
        <v>1411</v>
      </c>
      <c r="H15" s="73" t="s">
        <v>1433</v>
      </c>
      <c r="I15" s="68" t="s">
        <v>1434</v>
      </c>
      <c r="J15" s="66" t="n">
        <v>22</v>
      </c>
      <c r="K15" s="66" t="s">
        <v>334</v>
      </c>
      <c r="L15" s="66"/>
    </row>
    <row r="16" customFormat="false" ht="45.75" hidden="false" customHeight="true" outlineLevel="0" collapsed="false">
      <c r="A16" s="69" t="n">
        <v>14</v>
      </c>
      <c r="B16" s="79" t="s">
        <v>1435</v>
      </c>
      <c r="C16" s="80" t="s">
        <v>1436</v>
      </c>
      <c r="D16" s="71" t="s">
        <v>1437</v>
      </c>
      <c r="E16" s="75" t="s">
        <v>1438</v>
      </c>
      <c r="F16" s="75" t="s">
        <v>1439</v>
      </c>
      <c r="G16" s="69" t="s">
        <v>1391</v>
      </c>
      <c r="H16" s="75" t="s">
        <v>1440</v>
      </c>
      <c r="I16" s="71" t="s">
        <v>1441</v>
      </c>
      <c r="J16" s="69" t="n">
        <v>22</v>
      </c>
      <c r="K16" s="69" t="s">
        <v>334</v>
      </c>
      <c r="L16" s="69"/>
    </row>
    <row r="17" customFormat="false" ht="45.75" hidden="false" customHeight="true" outlineLevel="0" collapsed="false">
      <c r="A17" s="66" t="n">
        <v>15</v>
      </c>
      <c r="B17" s="77" t="s">
        <v>1442</v>
      </c>
      <c r="C17" s="78" t="s">
        <v>1443</v>
      </c>
      <c r="D17" s="68" t="s">
        <v>1444</v>
      </c>
      <c r="E17" s="73" t="s">
        <v>988</v>
      </c>
      <c r="F17" s="73" t="s">
        <v>1445</v>
      </c>
      <c r="G17" s="66" t="s">
        <v>1446</v>
      </c>
      <c r="H17" s="73" t="s">
        <v>1447</v>
      </c>
      <c r="I17" s="73" t="s">
        <v>1448</v>
      </c>
      <c r="J17" s="66" t="n">
        <v>23</v>
      </c>
      <c r="K17" s="66" t="s">
        <v>334</v>
      </c>
      <c r="L17" s="66"/>
    </row>
    <row r="18" customFormat="false" ht="45.75" hidden="false" customHeight="true" outlineLevel="0" collapsed="false">
      <c r="A18" s="69" t="n">
        <v>16</v>
      </c>
      <c r="B18" s="79" t="s">
        <v>1449</v>
      </c>
      <c r="C18" s="80" t="s">
        <v>1450</v>
      </c>
      <c r="D18" s="71" t="s">
        <v>1451</v>
      </c>
      <c r="E18" s="75" t="s">
        <v>1452</v>
      </c>
      <c r="F18" s="75" t="s">
        <v>1453</v>
      </c>
      <c r="G18" s="69" t="s">
        <v>1371</v>
      </c>
      <c r="H18" s="75" t="s">
        <v>1454</v>
      </c>
      <c r="I18" s="71" t="s">
        <v>1455</v>
      </c>
      <c r="J18" s="69" t="n">
        <v>23</v>
      </c>
      <c r="K18" s="69" t="s">
        <v>334</v>
      </c>
      <c r="L18" s="69"/>
    </row>
    <row r="19" customFormat="false" ht="45.75" hidden="false" customHeight="true" outlineLevel="0" collapsed="false">
      <c r="A19" s="66" t="n">
        <v>17</v>
      </c>
      <c r="B19" s="77" t="s">
        <v>1456</v>
      </c>
      <c r="C19" s="78" t="s">
        <v>1457</v>
      </c>
      <c r="D19" s="68" t="s">
        <v>1458</v>
      </c>
      <c r="E19" s="73" t="s">
        <v>1053</v>
      </c>
      <c r="F19" s="73" t="s">
        <v>1459</v>
      </c>
      <c r="G19" s="66" t="s">
        <v>1460</v>
      </c>
      <c r="H19" s="73" t="s">
        <v>1461</v>
      </c>
      <c r="I19" s="68" t="s">
        <v>1462</v>
      </c>
      <c r="J19" s="66" t="n">
        <v>24</v>
      </c>
      <c r="K19" s="66" t="s">
        <v>334</v>
      </c>
      <c r="L19" s="66"/>
    </row>
    <row r="20" customFormat="false" ht="45.75" hidden="false" customHeight="true" outlineLevel="0" collapsed="false">
      <c r="A20" s="69" t="n">
        <v>18</v>
      </c>
      <c r="B20" s="79" t="s">
        <v>1463</v>
      </c>
      <c r="C20" s="80" t="s">
        <v>1464</v>
      </c>
      <c r="D20" s="71" t="s">
        <v>1465</v>
      </c>
      <c r="E20" s="75" t="s">
        <v>1466</v>
      </c>
      <c r="F20" s="75" t="s">
        <v>1467</v>
      </c>
      <c r="G20" s="69" t="s">
        <v>1460</v>
      </c>
      <c r="H20" s="75" t="s">
        <v>1468</v>
      </c>
      <c r="I20" s="75" t="s">
        <v>1469</v>
      </c>
      <c r="J20" s="69" t="n">
        <v>24</v>
      </c>
      <c r="K20" s="69" t="s">
        <v>334</v>
      </c>
      <c r="L20" s="69"/>
    </row>
    <row r="21" customFormat="false" ht="45.75" hidden="false" customHeight="true" outlineLevel="0" collapsed="false">
      <c r="A21" s="66" t="n">
        <v>19</v>
      </c>
      <c r="B21" s="77" t="s">
        <v>124</v>
      </c>
      <c r="C21" s="78" t="s">
        <v>1470</v>
      </c>
      <c r="D21" s="68" t="s">
        <v>1471</v>
      </c>
      <c r="E21" s="73" t="s">
        <v>1472</v>
      </c>
      <c r="F21" s="73" t="s">
        <v>1473</v>
      </c>
      <c r="G21" s="66" t="s">
        <v>1348</v>
      </c>
      <c r="H21" s="73" t="s">
        <v>1474</v>
      </c>
      <c r="I21" s="68" t="s">
        <v>1475</v>
      </c>
      <c r="J21" s="66" t="n">
        <v>25</v>
      </c>
      <c r="K21" s="66" t="s">
        <v>334</v>
      </c>
      <c r="L21" s="66"/>
    </row>
    <row r="22" customFormat="false" ht="45.75" hidden="false" customHeight="true" outlineLevel="0" collapsed="false">
      <c r="A22" s="69" t="n">
        <v>20</v>
      </c>
      <c r="B22" s="79" t="s">
        <v>1476</v>
      </c>
      <c r="C22" s="80" t="s">
        <v>1477</v>
      </c>
      <c r="D22" s="71" t="s">
        <v>1478</v>
      </c>
      <c r="E22" s="75" t="s">
        <v>1479</v>
      </c>
      <c r="F22" s="75" t="s">
        <v>1480</v>
      </c>
      <c r="G22" s="69" t="s">
        <v>1348</v>
      </c>
      <c r="H22" s="75" t="s">
        <v>1481</v>
      </c>
      <c r="I22" s="75" t="s">
        <v>1482</v>
      </c>
      <c r="J22" s="69" t="n">
        <v>25</v>
      </c>
      <c r="K22" s="69" t="s">
        <v>334</v>
      </c>
      <c r="L22" s="69"/>
    </row>
    <row r="23" customFormat="false" ht="45.75" hidden="false" customHeight="true" outlineLevel="0" collapsed="false">
      <c r="A23" s="66" t="n">
        <v>21</v>
      </c>
      <c r="B23" s="77" t="s">
        <v>1483</v>
      </c>
      <c r="C23" s="78" t="s">
        <v>1484</v>
      </c>
      <c r="D23" s="68" t="s">
        <v>1485</v>
      </c>
      <c r="E23" s="73" t="s">
        <v>1486</v>
      </c>
      <c r="F23" s="73" t="s">
        <v>1487</v>
      </c>
      <c r="G23" s="66" t="s">
        <v>1488</v>
      </c>
      <c r="H23" s="73" t="s">
        <v>1489</v>
      </c>
      <c r="I23" s="68" t="s">
        <v>1490</v>
      </c>
      <c r="J23" s="66" t="n">
        <v>26</v>
      </c>
      <c r="K23" s="66" t="s">
        <v>334</v>
      </c>
      <c r="L23" s="66"/>
    </row>
    <row r="24" customFormat="false" ht="45.75" hidden="false" customHeight="true" outlineLevel="0" collapsed="false">
      <c r="A24" s="69" t="n">
        <v>22</v>
      </c>
      <c r="B24" s="79" t="s">
        <v>1491</v>
      </c>
      <c r="C24" s="80" t="s">
        <v>1492</v>
      </c>
      <c r="D24" s="71" t="s">
        <v>1493</v>
      </c>
      <c r="E24" s="75" t="s">
        <v>1494</v>
      </c>
      <c r="F24" s="75" t="s">
        <v>1495</v>
      </c>
      <c r="G24" s="69" t="s">
        <v>1488</v>
      </c>
      <c r="H24" s="75" t="s">
        <v>1496</v>
      </c>
      <c r="I24" s="71" t="s">
        <v>1497</v>
      </c>
      <c r="J24" s="69" t="n">
        <v>26</v>
      </c>
      <c r="K24" s="69" t="s">
        <v>334</v>
      </c>
      <c r="L24" s="69"/>
    </row>
    <row r="25" customFormat="false" ht="45.75" hidden="false" customHeight="true" outlineLevel="0" collapsed="false">
      <c r="A25" s="66" t="n">
        <v>23</v>
      </c>
      <c r="B25" s="77" t="s">
        <v>274</v>
      </c>
      <c r="C25" s="78" t="s">
        <v>1498</v>
      </c>
      <c r="D25" s="68" t="s">
        <v>1499</v>
      </c>
      <c r="E25" s="73" t="s">
        <v>1500</v>
      </c>
      <c r="F25" s="73" t="s">
        <v>1501</v>
      </c>
      <c r="G25" s="66" t="s">
        <v>1411</v>
      </c>
      <c r="H25" s="73" t="s">
        <v>1502</v>
      </c>
      <c r="I25" s="68" t="s">
        <v>1503</v>
      </c>
      <c r="J25" s="66" t="n">
        <v>27</v>
      </c>
      <c r="K25" s="66" t="s">
        <v>334</v>
      </c>
      <c r="L25" s="66"/>
    </row>
    <row r="26" customFormat="false" ht="45.75" hidden="false" customHeight="true" outlineLevel="0" collapsed="false">
      <c r="A26" s="69" t="n">
        <v>24</v>
      </c>
      <c r="B26" s="79" t="s">
        <v>1504</v>
      </c>
      <c r="C26" s="80" t="s">
        <v>1505</v>
      </c>
      <c r="D26" s="71" t="s">
        <v>1506</v>
      </c>
      <c r="E26" s="75" t="s">
        <v>982</v>
      </c>
      <c r="F26" s="75" t="s">
        <v>1507</v>
      </c>
      <c r="G26" s="69" t="s">
        <v>1348</v>
      </c>
      <c r="H26" s="75" t="s">
        <v>1508</v>
      </c>
      <c r="I26" s="71" t="s">
        <v>1509</v>
      </c>
      <c r="J26" s="69" t="n">
        <v>27</v>
      </c>
      <c r="K26" s="69" t="s">
        <v>334</v>
      </c>
      <c r="L26" s="69"/>
    </row>
    <row r="27" customFormat="false" ht="45.75" hidden="false" customHeight="true" outlineLevel="0" collapsed="false">
      <c r="A27" s="66" t="n">
        <v>25</v>
      </c>
      <c r="B27" s="77" t="s">
        <v>1510</v>
      </c>
      <c r="C27" s="78" t="s">
        <v>1511</v>
      </c>
      <c r="D27" s="68" t="s">
        <v>1512</v>
      </c>
      <c r="E27" s="73" t="s">
        <v>1513</v>
      </c>
      <c r="F27" s="73" t="s">
        <v>1514</v>
      </c>
      <c r="G27" s="66" t="s">
        <v>1515</v>
      </c>
      <c r="H27" s="73" t="s">
        <v>1516</v>
      </c>
      <c r="I27" s="73" t="s">
        <v>1517</v>
      </c>
      <c r="J27" s="66" t="n">
        <v>29</v>
      </c>
      <c r="K27" s="66" t="s">
        <v>334</v>
      </c>
      <c r="L27" s="66"/>
    </row>
    <row r="28" customFormat="false" ht="45.75" hidden="false" customHeight="true" outlineLevel="0" collapsed="false">
      <c r="A28" s="69" t="n">
        <v>26</v>
      </c>
      <c r="B28" s="79" t="s">
        <v>1518</v>
      </c>
      <c r="C28" s="80" t="s">
        <v>1519</v>
      </c>
      <c r="D28" s="71" t="s">
        <v>1520</v>
      </c>
      <c r="E28" s="75" t="s">
        <v>1521</v>
      </c>
      <c r="F28" s="75" t="s">
        <v>1522</v>
      </c>
      <c r="G28" s="69" t="s">
        <v>1391</v>
      </c>
      <c r="H28" s="75" t="s">
        <v>1523</v>
      </c>
      <c r="I28" s="71" t="s">
        <v>1524</v>
      </c>
      <c r="J28" s="69" t="n">
        <v>29</v>
      </c>
      <c r="K28" s="69" t="s">
        <v>334</v>
      </c>
      <c r="L28" s="69"/>
    </row>
    <row r="29" customFormat="false" ht="45.75" hidden="false" customHeight="true" outlineLevel="0" collapsed="false">
      <c r="A29" s="66" t="n">
        <v>27</v>
      </c>
      <c r="B29" s="77" t="s">
        <v>1525</v>
      </c>
      <c r="C29" s="78" t="s">
        <v>1526</v>
      </c>
      <c r="D29" s="68" t="s">
        <v>1527</v>
      </c>
      <c r="E29" s="73" t="s">
        <v>1528</v>
      </c>
      <c r="F29" s="73" t="s">
        <v>1529</v>
      </c>
      <c r="G29" s="66" t="s">
        <v>1363</v>
      </c>
      <c r="H29" s="73" t="s">
        <v>1530</v>
      </c>
      <c r="I29" s="68" t="s">
        <v>1531</v>
      </c>
      <c r="J29" s="66" t="n">
        <v>30</v>
      </c>
      <c r="K29" s="66" t="s">
        <v>334</v>
      </c>
      <c r="L29" s="66"/>
    </row>
    <row r="30" customFormat="false" ht="45.75" hidden="false" customHeight="true" outlineLevel="0" collapsed="false">
      <c r="A30" s="69" t="n">
        <v>28</v>
      </c>
      <c r="B30" s="79" t="s">
        <v>1532</v>
      </c>
      <c r="C30" s="80" t="s">
        <v>1533</v>
      </c>
      <c r="D30" s="71" t="s">
        <v>1534</v>
      </c>
      <c r="E30" s="75" t="s">
        <v>829</v>
      </c>
      <c r="F30" s="75" t="s">
        <v>1535</v>
      </c>
      <c r="G30" s="69" t="s">
        <v>1411</v>
      </c>
      <c r="H30" s="75" t="s">
        <v>1536</v>
      </c>
      <c r="I30" s="71" t="s">
        <v>1537</v>
      </c>
      <c r="J30" s="69" t="n">
        <v>30</v>
      </c>
      <c r="K30" s="69" t="s">
        <v>334</v>
      </c>
      <c r="L30" s="69"/>
    </row>
    <row r="31" customFormat="false" ht="45.75" hidden="false" customHeight="true" outlineLevel="0" collapsed="false">
      <c r="A31" s="66" t="n">
        <v>29</v>
      </c>
      <c r="B31" s="77" t="s">
        <v>1538</v>
      </c>
      <c r="C31" s="78" t="s">
        <v>1539</v>
      </c>
      <c r="D31" s="68" t="s">
        <v>1540</v>
      </c>
      <c r="E31" s="73" t="s">
        <v>1541</v>
      </c>
      <c r="F31" s="73" t="s">
        <v>1542</v>
      </c>
      <c r="G31" s="66" t="s">
        <v>1348</v>
      </c>
      <c r="H31" s="73" t="s">
        <v>1543</v>
      </c>
      <c r="I31" s="68" t="s">
        <v>1544</v>
      </c>
      <c r="J31" s="66" t="n">
        <v>31</v>
      </c>
      <c r="K31" s="66" t="s">
        <v>334</v>
      </c>
      <c r="L31" s="66"/>
    </row>
    <row r="32" customFormat="false" ht="45.75" hidden="false" customHeight="true" outlineLevel="0" collapsed="false">
      <c r="A32" s="69" t="n">
        <v>30</v>
      </c>
      <c r="B32" s="79" t="s">
        <v>1545</v>
      </c>
      <c r="C32" s="80" t="s">
        <v>1546</v>
      </c>
      <c r="D32" s="71" t="s">
        <v>1547</v>
      </c>
      <c r="E32" s="75" t="s">
        <v>1548</v>
      </c>
      <c r="F32" s="75" t="s">
        <v>1549</v>
      </c>
      <c r="G32" s="69" t="s">
        <v>1550</v>
      </c>
      <c r="H32" s="75" t="s">
        <v>1551</v>
      </c>
      <c r="I32" s="75" t="s">
        <v>1552</v>
      </c>
      <c r="J32" s="69" t="n">
        <v>31</v>
      </c>
      <c r="K32" s="69" t="s">
        <v>334</v>
      </c>
      <c r="L32" s="69"/>
    </row>
    <row r="33" customFormat="false" ht="45.75" hidden="false" customHeight="true" outlineLevel="0" collapsed="false">
      <c r="A33" s="66" t="n">
        <v>31</v>
      </c>
      <c r="B33" s="77" t="s">
        <v>147</v>
      </c>
      <c r="C33" s="78" t="s">
        <v>1539</v>
      </c>
      <c r="D33" s="68" t="s">
        <v>1553</v>
      </c>
      <c r="E33" s="73" t="s">
        <v>1554</v>
      </c>
      <c r="F33" s="73" t="s">
        <v>1555</v>
      </c>
      <c r="G33" s="66" t="s">
        <v>1363</v>
      </c>
      <c r="H33" s="73" t="s">
        <v>1556</v>
      </c>
      <c r="I33" s="68" t="s">
        <v>1557</v>
      </c>
      <c r="J33" s="66" t="n">
        <v>32</v>
      </c>
      <c r="K33" s="66" t="s">
        <v>334</v>
      </c>
      <c r="L33" s="66"/>
    </row>
    <row r="34" customFormat="false" ht="45.75" hidden="false" customHeight="true" outlineLevel="0" collapsed="false">
      <c r="A34" s="69" t="n">
        <v>32</v>
      </c>
      <c r="B34" s="79" t="s">
        <v>1558</v>
      </c>
      <c r="C34" s="80" t="s">
        <v>1559</v>
      </c>
      <c r="D34" s="71" t="s">
        <v>1560</v>
      </c>
      <c r="E34" s="75" t="s">
        <v>1561</v>
      </c>
      <c r="F34" s="75" t="s">
        <v>1562</v>
      </c>
      <c r="G34" s="69" t="s">
        <v>1378</v>
      </c>
      <c r="H34" s="75" t="s">
        <v>1563</v>
      </c>
      <c r="I34" s="71" t="s">
        <v>1564</v>
      </c>
      <c r="J34" s="69" t="n">
        <v>32</v>
      </c>
      <c r="K34" s="69" t="s">
        <v>334</v>
      </c>
      <c r="L34" s="69"/>
    </row>
    <row r="35" customFormat="false" ht="45.75" hidden="false" customHeight="true" outlineLevel="0" collapsed="false">
      <c r="A35" s="66" t="n">
        <v>33</v>
      </c>
      <c r="B35" s="77" t="s">
        <v>1565</v>
      </c>
      <c r="C35" s="78" t="s">
        <v>1566</v>
      </c>
      <c r="D35" s="68" t="s">
        <v>1567</v>
      </c>
      <c r="E35" s="73" t="s">
        <v>1568</v>
      </c>
      <c r="F35" s="73" t="s">
        <v>1569</v>
      </c>
      <c r="G35" s="66" t="s">
        <v>1378</v>
      </c>
      <c r="H35" s="73" t="s">
        <v>1570</v>
      </c>
      <c r="I35" s="68" t="s">
        <v>1571</v>
      </c>
      <c r="J35" s="66" t="n">
        <v>33</v>
      </c>
      <c r="K35" s="66" t="s">
        <v>334</v>
      </c>
      <c r="L35" s="66"/>
    </row>
    <row r="36" customFormat="false" ht="45.75" hidden="false" customHeight="true" outlineLevel="0" collapsed="false">
      <c r="A36" s="69" t="n">
        <v>34</v>
      </c>
      <c r="B36" s="79" t="s">
        <v>257</v>
      </c>
      <c r="C36" s="80" t="s">
        <v>1572</v>
      </c>
      <c r="D36" s="71" t="s">
        <v>1573</v>
      </c>
      <c r="E36" s="75" t="s">
        <v>1574</v>
      </c>
      <c r="F36" s="75" t="s">
        <v>1575</v>
      </c>
      <c r="G36" s="69" t="s">
        <v>1411</v>
      </c>
      <c r="H36" s="75" t="s">
        <v>1576</v>
      </c>
      <c r="I36" s="71" t="s">
        <v>1577</v>
      </c>
      <c r="J36" s="69" t="n">
        <v>33</v>
      </c>
      <c r="K36" s="69" t="s">
        <v>334</v>
      </c>
      <c r="L36" s="69"/>
    </row>
    <row r="37" customFormat="false" ht="45.75" hidden="false" customHeight="true" outlineLevel="0" collapsed="false">
      <c r="A37" s="66" t="n">
        <v>35</v>
      </c>
      <c r="B37" s="77" t="s">
        <v>1578</v>
      </c>
      <c r="C37" s="78" t="s">
        <v>1579</v>
      </c>
      <c r="D37" s="68" t="s">
        <v>1580</v>
      </c>
      <c r="E37" s="73" t="s">
        <v>1056</v>
      </c>
      <c r="F37" s="73" t="s">
        <v>856</v>
      </c>
      <c r="G37" s="66" t="s">
        <v>1348</v>
      </c>
      <c r="H37" s="73" t="s">
        <v>1581</v>
      </c>
      <c r="I37" s="68" t="s">
        <v>1582</v>
      </c>
      <c r="J37" s="66" t="n">
        <v>34</v>
      </c>
      <c r="K37" s="66" t="s">
        <v>334</v>
      </c>
      <c r="L37" s="66"/>
    </row>
    <row r="38" customFormat="false" ht="45.75" hidden="false" customHeight="true" outlineLevel="0" collapsed="false">
      <c r="A38" s="69" t="n">
        <v>36</v>
      </c>
      <c r="B38" s="79" t="s">
        <v>1583</v>
      </c>
      <c r="C38" s="80" t="s">
        <v>1584</v>
      </c>
      <c r="D38" s="71" t="s">
        <v>1585</v>
      </c>
      <c r="E38" s="75" t="s">
        <v>1586</v>
      </c>
      <c r="F38" s="75" t="s">
        <v>1587</v>
      </c>
      <c r="G38" s="69" t="s">
        <v>1363</v>
      </c>
      <c r="H38" s="75" t="s">
        <v>1588</v>
      </c>
      <c r="I38" s="71" t="s">
        <v>1589</v>
      </c>
      <c r="J38" s="69" t="n">
        <v>34</v>
      </c>
      <c r="K38" s="69" t="s">
        <v>334</v>
      </c>
      <c r="L38" s="69"/>
    </row>
    <row r="39" customFormat="false" ht="45.75" hidden="false" customHeight="true" outlineLevel="0" collapsed="false">
      <c r="A39" s="66" t="n">
        <v>37</v>
      </c>
      <c r="B39" s="77" t="s">
        <v>1590</v>
      </c>
      <c r="C39" s="78" t="s">
        <v>1591</v>
      </c>
      <c r="D39" s="68" t="s">
        <v>1592</v>
      </c>
      <c r="E39" s="73" t="s">
        <v>1593</v>
      </c>
      <c r="F39" s="73" t="s">
        <v>1594</v>
      </c>
      <c r="G39" s="66" t="s">
        <v>1446</v>
      </c>
      <c r="H39" s="73" t="s">
        <v>1595</v>
      </c>
      <c r="I39" s="68" t="s">
        <v>1596</v>
      </c>
      <c r="J39" s="66" t="n">
        <v>36</v>
      </c>
      <c r="K39" s="66" t="s">
        <v>334</v>
      </c>
      <c r="L39" s="66"/>
    </row>
    <row r="40" customFormat="false" ht="45.75" hidden="false" customHeight="true" outlineLevel="0" collapsed="false">
      <c r="A40" s="69" t="n">
        <v>38</v>
      </c>
      <c r="B40" s="79" t="s">
        <v>1597</v>
      </c>
      <c r="C40" s="80" t="s">
        <v>1598</v>
      </c>
      <c r="D40" s="71" t="s">
        <v>1599</v>
      </c>
      <c r="E40" s="75" t="s">
        <v>1600</v>
      </c>
      <c r="F40" s="75" t="s">
        <v>1601</v>
      </c>
      <c r="G40" s="69" t="s">
        <v>1348</v>
      </c>
      <c r="H40" s="75" t="s">
        <v>1602</v>
      </c>
      <c r="I40" s="71" t="s">
        <v>1603</v>
      </c>
      <c r="J40" s="69" t="n">
        <v>36</v>
      </c>
      <c r="K40" s="69" t="s">
        <v>334</v>
      </c>
      <c r="L40" s="69"/>
    </row>
    <row r="41" customFormat="false" ht="45.75" hidden="false" customHeight="true" outlineLevel="0" collapsed="false">
      <c r="A41" s="66" t="n">
        <v>39</v>
      </c>
      <c r="B41" s="77" t="s">
        <v>154</v>
      </c>
      <c r="C41" s="78" t="s">
        <v>1604</v>
      </c>
      <c r="D41" s="68" t="s">
        <v>1192</v>
      </c>
      <c r="E41" s="73" t="s">
        <v>829</v>
      </c>
      <c r="F41" s="73" t="s">
        <v>820</v>
      </c>
      <c r="G41" s="66" t="s">
        <v>1391</v>
      </c>
      <c r="H41" s="73" t="s">
        <v>1605</v>
      </c>
      <c r="I41" s="68" t="s">
        <v>1606</v>
      </c>
      <c r="J41" s="66" t="n">
        <v>37</v>
      </c>
      <c r="K41" s="66" t="s">
        <v>334</v>
      </c>
      <c r="L41" s="66"/>
    </row>
    <row r="42" customFormat="false" ht="45.75" hidden="false" customHeight="true" outlineLevel="0" collapsed="false">
      <c r="A42" s="69" t="n">
        <v>40</v>
      </c>
      <c r="B42" s="79" t="s">
        <v>166</v>
      </c>
      <c r="C42" s="80" t="s">
        <v>1607</v>
      </c>
      <c r="D42" s="71" t="s">
        <v>1608</v>
      </c>
      <c r="E42" s="75" t="s">
        <v>1609</v>
      </c>
      <c r="F42" s="75" t="s">
        <v>916</v>
      </c>
      <c r="G42" s="69" t="s">
        <v>1411</v>
      </c>
      <c r="H42" s="75" t="s">
        <v>1610</v>
      </c>
      <c r="I42" s="71" t="s">
        <v>1611</v>
      </c>
      <c r="J42" s="69" t="n">
        <v>37</v>
      </c>
      <c r="K42" s="69" t="s">
        <v>334</v>
      </c>
      <c r="L42" s="69"/>
    </row>
    <row r="43" customFormat="false" ht="45.75" hidden="false" customHeight="true" outlineLevel="0" collapsed="false">
      <c r="A43" s="66" t="n">
        <v>41</v>
      </c>
      <c r="B43" s="77" t="s">
        <v>1612</v>
      </c>
      <c r="C43" s="78" t="s">
        <v>1613</v>
      </c>
      <c r="D43" s="68" t="s">
        <v>1614</v>
      </c>
      <c r="E43" s="73" t="s">
        <v>1615</v>
      </c>
      <c r="F43" s="73" t="s">
        <v>1616</v>
      </c>
      <c r="G43" s="66" t="s">
        <v>1411</v>
      </c>
      <c r="H43" s="73" t="s">
        <v>1617</v>
      </c>
      <c r="I43" s="73" t="s">
        <v>1618</v>
      </c>
      <c r="J43" s="66" t="n">
        <v>38</v>
      </c>
      <c r="K43" s="66" t="s">
        <v>334</v>
      </c>
      <c r="L43" s="66"/>
    </row>
    <row r="44" customFormat="false" ht="45.75" hidden="false" customHeight="true" outlineLevel="0" collapsed="false">
      <c r="A44" s="69" t="n">
        <v>42</v>
      </c>
      <c r="B44" s="79" t="s">
        <v>1619</v>
      </c>
      <c r="C44" s="80" t="s">
        <v>1620</v>
      </c>
      <c r="D44" s="71" t="s">
        <v>1621</v>
      </c>
      <c r="E44" s="75" t="s">
        <v>1622</v>
      </c>
      <c r="F44" s="75" t="s">
        <v>1623</v>
      </c>
      <c r="G44" s="69" t="s">
        <v>1460</v>
      </c>
      <c r="H44" s="75" t="s">
        <v>1624</v>
      </c>
      <c r="I44" s="71" t="s">
        <v>1625</v>
      </c>
      <c r="J44" s="69" t="n">
        <v>38</v>
      </c>
      <c r="K44" s="69" t="s">
        <v>334</v>
      </c>
      <c r="L44" s="69"/>
    </row>
    <row r="45" customFormat="false" ht="45.75" hidden="false" customHeight="true" outlineLevel="0" collapsed="false">
      <c r="A45" s="66" t="n">
        <v>43</v>
      </c>
      <c r="B45" s="77" t="s">
        <v>1626</v>
      </c>
      <c r="C45" s="78" t="s">
        <v>1627</v>
      </c>
      <c r="D45" s="68" t="s">
        <v>1628</v>
      </c>
      <c r="E45" s="73" t="s">
        <v>1629</v>
      </c>
      <c r="F45" s="73" t="s">
        <v>1630</v>
      </c>
      <c r="G45" s="66" t="s">
        <v>1378</v>
      </c>
      <c r="H45" s="73" t="s">
        <v>1631</v>
      </c>
      <c r="I45" s="68" t="s">
        <v>1632</v>
      </c>
      <c r="J45" s="66" t="n">
        <v>39</v>
      </c>
      <c r="K45" s="66" t="s">
        <v>334</v>
      </c>
      <c r="L45" s="66"/>
    </row>
    <row r="46" customFormat="false" ht="45.75" hidden="false" customHeight="true" outlineLevel="0" collapsed="false">
      <c r="A46" s="69" t="n">
        <v>44</v>
      </c>
      <c r="B46" s="79" t="s">
        <v>1633</v>
      </c>
      <c r="C46" s="80" t="s">
        <v>1634</v>
      </c>
      <c r="D46" s="71" t="s">
        <v>1635</v>
      </c>
      <c r="E46" s="75" t="s">
        <v>1636</v>
      </c>
      <c r="F46" s="75" t="s">
        <v>1637</v>
      </c>
      <c r="G46" s="69" t="s">
        <v>1348</v>
      </c>
      <c r="H46" s="75" t="s">
        <v>1638</v>
      </c>
      <c r="I46" s="71" t="s">
        <v>1639</v>
      </c>
      <c r="J46" s="69" t="n">
        <v>39</v>
      </c>
      <c r="K46" s="69" t="s">
        <v>334</v>
      </c>
      <c r="L46" s="69"/>
    </row>
    <row r="47" customFormat="false" ht="45.75" hidden="false" customHeight="true" outlineLevel="0" collapsed="false">
      <c r="A47" s="66" t="n">
        <v>45</v>
      </c>
      <c r="B47" s="77" t="s">
        <v>1640</v>
      </c>
      <c r="C47" s="78" t="s">
        <v>1641</v>
      </c>
      <c r="D47" s="68" t="s">
        <v>1642</v>
      </c>
      <c r="E47" s="73" t="s">
        <v>1643</v>
      </c>
      <c r="F47" s="73" t="s">
        <v>1644</v>
      </c>
      <c r="G47" s="66" t="s">
        <v>1391</v>
      </c>
      <c r="H47" s="73" t="s">
        <v>1645</v>
      </c>
      <c r="I47" s="68" t="s">
        <v>1646</v>
      </c>
      <c r="J47" s="66" t="n">
        <v>40</v>
      </c>
      <c r="K47" s="66" t="s">
        <v>334</v>
      </c>
      <c r="L47" s="66"/>
    </row>
    <row r="48" customFormat="false" ht="45.75" hidden="false" customHeight="true" outlineLevel="0" collapsed="false">
      <c r="A48" s="69" t="n">
        <v>46</v>
      </c>
      <c r="B48" s="79" t="s">
        <v>1647</v>
      </c>
      <c r="C48" s="80" t="s">
        <v>1648</v>
      </c>
      <c r="D48" s="71" t="s">
        <v>1649</v>
      </c>
      <c r="E48" s="75" t="s">
        <v>1650</v>
      </c>
      <c r="F48" s="75" t="s">
        <v>1651</v>
      </c>
      <c r="G48" s="69" t="s">
        <v>1460</v>
      </c>
      <c r="H48" s="75" t="s">
        <v>1652</v>
      </c>
      <c r="I48" s="71" t="s">
        <v>1653</v>
      </c>
      <c r="J48" s="69" t="n">
        <v>40</v>
      </c>
      <c r="K48" s="69" t="s">
        <v>334</v>
      </c>
      <c r="L48" s="69"/>
    </row>
    <row r="49" customFormat="false" ht="45.75" hidden="false" customHeight="true" outlineLevel="0" collapsed="false">
      <c r="A49" s="66" t="n">
        <v>47</v>
      </c>
      <c r="B49" s="77" t="s">
        <v>1654</v>
      </c>
      <c r="C49" s="78" t="s">
        <v>1655</v>
      </c>
      <c r="D49" s="68" t="s">
        <v>1656</v>
      </c>
      <c r="E49" s="73" t="s">
        <v>1657</v>
      </c>
      <c r="F49" s="68"/>
      <c r="G49" s="66" t="s">
        <v>1371</v>
      </c>
      <c r="H49" s="73" t="s">
        <v>1658</v>
      </c>
      <c r="I49" s="68" t="s">
        <v>1659</v>
      </c>
      <c r="J49" s="66" t="n">
        <v>41</v>
      </c>
      <c r="K49" s="66" t="s">
        <v>334</v>
      </c>
      <c r="L49" s="66"/>
    </row>
    <row r="50" customFormat="false" ht="45.75" hidden="false" customHeight="true" outlineLevel="0" collapsed="false">
      <c r="A50" s="69" t="n">
        <v>48</v>
      </c>
      <c r="B50" s="79" t="s">
        <v>220</v>
      </c>
      <c r="C50" s="80" t="s">
        <v>1660</v>
      </c>
      <c r="D50" s="71" t="s">
        <v>1661</v>
      </c>
      <c r="E50" s="75" t="s">
        <v>1662</v>
      </c>
      <c r="F50" s="75" t="s">
        <v>1663</v>
      </c>
      <c r="G50" s="69" t="s">
        <v>1391</v>
      </c>
      <c r="H50" s="75" t="s">
        <v>1664</v>
      </c>
      <c r="I50" s="71" t="s">
        <v>1665</v>
      </c>
      <c r="J50" s="69" t="n">
        <v>41</v>
      </c>
      <c r="K50" s="69" t="s">
        <v>334</v>
      </c>
      <c r="L50" s="69"/>
    </row>
    <row r="51" customFormat="false" ht="45.75" hidden="false" customHeight="true" outlineLevel="0" collapsed="false">
      <c r="A51" s="66" t="n">
        <v>49</v>
      </c>
      <c r="B51" s="77" t="s">
        <v>1666</v>
      </c>
      <c r="C51" s="78" t="s">
        <v>1667</v>
      </c>
      <c r="D51" s="68" t="s">
        <v>1668</v>
      </c>
      <c r="E51" s="73" t="s">
        <v>1669</v>
      </c>
      <c r="F51" s="73" t="s">
        <v>1670</v>
      </c>
      <c r="G51" s="66" t="s">
        <v>1378</v>
      </c>
      <c r="H51" s="73" t="s">
        <v>1671</v>
      </c>
      <c r="I51" s="68" t="s">
        <v>1672</v>
      </c>
      <c r="J51" s="66" t="n">
        <v>43</v>
      </c>
      <c r="K51" s="66" t="s">
        <v>334</v>
      </c>
      <c r="L51" s="66"/>
    </row>
    <row r="52" customFormat="false" ht="45.75" hidden="false" customHeight="true" outlineLevel="0" collapsed="false">
      <c r="A52" s="69" t="n">
        <v>50</v>
      </c>
      <c r="B52" s="79" t="s">
        <v>200</v>
      </c>
      <c r="C52" s="80" t="s">
        <v>1673</v>
      </c>
      <c r="D52" s="71" t="s">
        <v>1245</v>
      </c>
      <c r="E52" s="75" t="s">
        <v>1438</v>
      </c>
      <c r="F52" s="75" t="s">
        <v>1674</v>
      </c>
      <c r="G52" s="69" t="s">
        <v>1391</v>
      </c>
      <c r="H52" s="75" t="s">
        <v>1675</v>
      </c>
      <c r="I52" s="71" t="s">
        <v>1676</v>
      </c>
      <c r="J52" s="69" t="n">
        <v>43</v>
      </c>
      <c r="K52" s="69" t="s">
        <v>334</v>
      </c>
      <c r="L52" s="69"/>
    </row>
    <row r="53" customFormat="false" ht="45.75" hidden="false" customHeight="true" outlineLevel="0" collapsed="false">
      <c r="A53" s="66" t="n">
        <v>51</v>
      </c>
      <c r="B53" s="77" t="s">
        <v>1677</v>
      </c>
      <c r="C53" s="78" t="s">
        <v>1678</v>
      </c>
      <c r="D53" s="68" t="s">
        <v>1679</v>
      </c>
      <c r="E53" s="73" t="s">
        <v>957</v>
      </c>
      <c r="F53" s="73" t="s">
        <v>1680</v>
      </c>
      <c r="G53" s="66" t="s">
        <v>1550</v>
      </c>
      <c r="H53" s="73" t="s">
        <v>1681</v>
      </c>
      <c r="I53" s="73" t="s">
        <v>1682</v>
      </c>
      <c r="J53" s="66" t="n">
        <v>44</v>
      </c>
      <c r="K53" s="66" t="s">
        <v>334</v>
      </c>
      <c r="L53" s="66"/>
    </row>
    <row r="54" customFormat="false" ht="45.75" hidden="false" customHeight="true" outlineLevel="0" collapsed="false">
      <c r="A54" s="69" t="n">
        <v>52</v>
      </c>
      <c r="B54" s="79" t="s">
        <v>1683</v>
      </c>
      <c r="C54" s="80" t="s">
        <v>1684</v>
      </c>
      <c r="D54" s="71" t="s">
        <v>1685</v>
      </c>
      <c r="E54" s="75" t="s">
        <v>845</v>
      </c>
      <c r="F54" s="75" t="s">
        <v>1686</v>
      </c>
      <c r="G54" s="69" t="s">
        <v>1371</v>
      </c>
      <c r="H54" s="75" t="s">
        <v>1687</v>
      </c>
      <c r="I54" s="71" t="s">
        <v>1688</v>
      </c>
      <c r="J54" s="69" t="n">
        <v>44</v>
      </c>
      <c r="K54" s="69" t="s">
        <v>334</v>
      </c>
      <c r="L54" s="69"/>
    </row>
    <row r="55" customFormat="false" ht="45.75" hidden="false" customHeight="true" outlineLevel="0" collapsed="false">
      <c r="A55" s="66" t="n">
        <v>53</v>
      </c>
      <c r="B55" s="77" t="s">
        <v>1689</v>
      </c>
      <c r="C55" s="78" t="s">
        <v>1690</v>
      </c>
      <c r="D55" s="68" t="s">
        <v>1691</v>
      </c>
      <c r="E55" s="73" t="s">
        <v>1692</v>
      </c>
      <c r="F55" s="73" t="s">
        <v>1693</v>
      </c>
      <c r="G55" s="66" t="s">
        <v>1371</v>
      </c>
      <c r="H55" s="73" t="s">
        <v>1694</v>
      </c>
      <c r="I55" s="68" t="s">
        <v>1695</v>
      </c>
      <c r="J55" s="66" t="n">
        <v>45</v>
      </c>
      <c r="K55" s="66" t="s">
        <v>334</v>
      </c>
      <c r="L55" s="66"/>
    </row>
    <row r="56" customFormat="false" ht="45.75" hidden="false" customHeight="true" outlineLevel="0" collapsed="false">
      <c r="A56" s="69" t="n">
        <v>54</v>
      </c>
      <c r="B56" s="79" t="s">
        <v>150</v>
      </c>
      <c r="C56" s="80" t="s">
        <v>1696</v>
      </c>
      <c r="D56" s="71" t="s">
        <v>1697</v>
      </c>
      <c r="E56" s="75" t="s">
        <v>1122</v>
      </c>
      <c r="F56" s="75" t="s">
        <v>1698</v>
      </c>
      <c r="G56" s="69" t="s">
        <v>1391</v>
      </c>
      <c r="H56" s="75" t="s">
        <v>1699</v>
      </c>
      <c r="I56" s="71" t="s">
        <v>1700</v>
      </c>
      <c r="J56" s="69" t="n">
        <v>45</v>
      </c>
      <c r="K56" s="69" t="s">
        <v>334</v>
      </c>
      <c r="L56" s="69"/>
    </row>
    <row r="57" customFormat="false" ht="45.75" hidden="false" customHeight="true" outlineLevel="0" collapsed="false">
      <c r="A57" s="66" t="n">
        <v>55</v>
      </c>
      <c r="B57" s="77" t="s">
        <v>1701</v>
      </c>
      <c r="C57" s="78" t="s">
        <v>1702</v>
      </c>
      <c r="D57" s="68" t="s">
        <v>1703</v>
      </c>
      <c r="E57" s="73" t="s">
        <v>1704</v>
      </c>
      <c r="F57" s="73" t="s">
        <v>1705</v>
      </c>
      <c r="G57" s="66" t="s">
        <v>1411</v>
      </c>
      <c r="H57" s="73" t="s">
        <v>1706</v>
      </c>
      <c r="I57" s="68" t="s">
        <v>1707</v>
      </c>
      <c r="J57" s="66" t="n">
        <v>46</v>
      </c>
      <c r="K57" s="66" t="s">
        <v>334</v>
      </c>
      <c r="L57" s="66"/>
    </row>
    <row r="58" customFormat="false" ht="45.75" hidden="false" customHeight="true" outlineLevel="0" collapsed="false">
      <c r="A58" s="69" t="n">
        <v>56</v>
      </c>
      <c r="B58" s="79" t="s">
        <v>1708</v>
      </c>
      <c r="C58" s="80" t="s">
        <v>1709</v>
      </c>
      <c r="D58" s="71" t="s">
        <v>1710</v>
      </c>
      <c r="E58" s="75" t="s">
        <v>982</v>
      </c>
      <c r="F58" s="71"/>
      <c r="G58" s="69" t="s">
        <v>1348</v>
      </c>
      <c r="H58" s="75" t="s">
        <v>1711</v>
      </c>
      <c r="I58" s="71" t="s">
        <v>1712</v>
      </c>
      <c r="J58" s="69" t="n">
        <v>46</v>
      </c>
      <c r="K58" s="69" t="s">
        <v>334</v>
      </c>
      <c r="L58" s="69"/>
    </row>
    <row r="59" customFormat="false" ht="45.75" hidden="false" customHeight="true" outlineLevel="0" collapsed="false">
      <c r="A59" s="66" t="n">
        <v>57</v>
      </c>
      <c r="B59" s="77" t="s">
        <v>1713</v>
      </c>
      <c r="C59" s="78" t="s">
        <v>1714</v>
      </c>
      <c r="D59" s="68" t="s">
        <v>1715</v>
      </c>
      <c r="E59" s="73" t="s">
        <v>1716</v>
      </c>
      <c r="F59" s="68"/>
      <c r="G59" s="66" t="s">
        <v>1371</v>
      </c>
      <c r="H59" s="73" t="s">
        <v>1717</v>
      </c>
      <c r="I59" s="68" t="s">
        <v>1718</v>
      </c>
      <c r="J59" s="66" t="n">
        <v>47</v>
      </c>
      <c r="K59" s="66" t="s">
        <v>334</v>
      </c>
      <c r="L59" s="66"/>
    </row>
    <row r="60" customFormat="false" ht="45.75" hidden="false" customHeight="true" outlineLevel="0" collapsed="false">
      <c r="A60" s="69" t="n">
        <v>58</v>
      </c>
      <c r="B60" s="79" t="s">
        <v>1719</v>
      </c>
      <c r="C60" s="80" t="s">
        <v>1720</v>
      </c>
      <c r="D60" s="71" t="s">
        <v>1721</v>
      </c>
      <c r="E60" s="75" t="s">
        <v>1059</v>
      </c>
      <c r="F60" s="75" t="s">
        <v>1722</v>
      </c>
      <c r="G60" s="69" t="s">
        <v>1446</v>
      </c>
      <c r="H60" s="75" t="s">
        <v>1723</v>
      </c>
      <c r="I60" s="71" t="s">
        <v>1724</v>
      </c>
      <c r="J60" s="69" t="n">
        <v>47</v>
      </c>
      <c r="K60" s="69" t="s">
        <v>334</v>
      </c>
      <c r="L60" s="69"/>
    </row>
    <row r="61" customFormat="false" ht="45.75" hidden="false" customHeight="true" outlineLevel="0" collapsed="false">
      <c r="A61" s="66" t="n">
        <v>59</v>
      </c>
      <c r="B61" s="77" t="s">
        <v>1725</v>
      </c>
      <c r="C61" s="78" t="s">
        <v>1726</v>
      </c>
      <c r="D61" s="68" t="s">
        <v>1727</v>
      </c>
      <c r="E61" s="73" t="s">
        <v>1728</v>
      </c>
      <c r="F61" s="73" t="s">
        <v>1729</v>
      </c>
      <c r="G61" s="66" t="s">
        <v>1371</v>
      </c>
      <c r="H61" s="73" t="s">
        <v>1730</v>
      </c>
      <c r="I61" s="73" t="s">
        <v>1731</v>
      </c>
      <c r="J61" s="66" t="n">
        <v>48</v>
      </c>
      <c r="K61" s="66" t="s">
        <v>334</v>
      </c>
      <c r="L61" s="66"/>
    </row>
    <row r="62" customFormat="false" ht="45.75" hidden="false" customHeight="true" outlineLevel="0" collapsed="false">
      <c r="A62" s="69" t="n">
        <v>60</v>
      </c>
      <c r="B62" s="79" t="s">
        <v>1732</v>
      </c>
      <c r="C62" s="80" t="s">
        <v>1733</v>
      </c>
      <c r="D62" s="71" t="s">
        <v>1734</v>
      </c>
      <c r="E62" s="75" t="s">
        <v>1735</v>
      </c>
      <c r="F62" s="75" t="s">
        <v>864</v>
      </c>
      <c r="G62" s="69" t="s">
        <v>1371</v>
      </c>
      <c r="H62" s="75" t="s">
        <v>1736</v>
      </c>
      <c r="I62" s="75" t="s">
        <v>1737</v>
      </c>
      <c r="J62" s="69" t="n">
        <v>48</v>
      </c>
      <c r="K62" s="69" t="s">
        <v>334</v>
      </c>
      <c r="L62" s="69"/>
    </row>
    <row r="63" customFormat="false" ht="45.75" hidden="false" customHeight="true" outlineLevel="0" collapsed="false">
      <c r="A63" s="66" t="n">
        <v>61</v>
      </c>
      <c r="B63" s="77" t="s">
        <v>1738</v>
      </c>
      <c r="C63" s="78" t="s">
        <v>1739</v>
      </c>
      <c r="D63" s="68" t="s">
        <v>1740</v>
      </c>
      <c r="E63" s="73" t="s">
        <v>1728</v>
      </c>
      <c r="F63" s="73" t="s">
        <v>1249</v>
      </c>
      <c r="G63" s="66" t="s">
        <v>1391</v>
      </c>
      <c r="H63" s="73" t="s">
        <v>1741</v>
      </c>
      <c r="I63" s="68" t="s">
        <v>1742</v>
      </c>
      <c r="J63" s="66" t="n">
        <v>50</v>
      </c>
      <c r="K63" s="66" t="s">
        <v>334</v>
      </c>
      <c r="L63" s="66"/>
    </row>
    <row r="64" customFormat="false" ht="45.75" hidden="false" customHeight="true" outlineLevel="0" collapsed="false">
      <c r="A64" s="69" t="n">
        <v>62</v>
      </c>
      <c r="B64" s="79" t="s">
        <v>1743</v>
      </c>
      <c r="C64" s="80" t="s">
        <v>1744</v>
      </c>
      <c r="D64" s="71" t="s">
        <v>1745</v>
      </c>
      <c r="E64" s="75" t="s">
        <v>1728</v>
      </c>
      <c r="F64" s="75" t="s">
        <v>848</v>
      </c>
      <c r="G64" s="69" t="s">
        <v>1391</v>
      </c>
      <c r="H64" s="75" t="s">
        <v>1746</v>
      </c>
      <c r="I64" s="71" t="s">
        <v>1747</v>
      </c>
      <c r="J64" s="69" t="n">
        <v>50</v>
      </c>
      <c r="K64" s="69" t="s">
        <v>334</v>
      </c>
      <c r="L64" s="69"/>
    </row>
    <row r="65" customFormat="false" ht="45.75" hidden="false" customHeight="true" outlineLevel="0" collapsed="false">
      <c r="A65" s="66" t="n">
        <v>63</v>
      </c>
      <c r="B65" s="77" t="s">
        <v>1748</v>
      </c>
      <c r="C65" s="78" t="s">
        <v>1749</v>
      </c>
      <c r="D65" s="68" t="s">
        <v>1750</v>
      </c>
      <c r="E65" s="73" t="s">
        <v>1751</v>
      </c>
      <c r="F65" s="73" t="s">
        <v>1752</v>
      </c>
      <c r="G65" s="66" t="s">
        <v>1515</v>
      </c>
      <c r="H65" s="73" t="s">
        <v>1753</v>
      </c>
      <c r="I65" s="68" t="s">
        <v>1754</v>
      </c>
      <c r="J65" s="66" t="n">
        <v>51</v>
      </c>
      <c r="K65" s="66" t="s">
        <v>334</v>
      </c>
      <c r="L65" s="66"/>
    </row>
    <row r="66" customFormat="false" ht="45.75" hidden="false" customHeight="true" outlineLevel="0" collapsed="false">
      <c r="A66" s="69" t="n">
        <v>64</v>
      </c>
      <c r="B66" s="79" t="s">
        <v>1755</v>
      </c>
      <c r="C66" s="80" t="s">
        <v>1756</v>
      </c>
      <c r="D66" s="71" t="s">
        <v>1757</v>
      </c>
      <c r="E66" s="75" t="s">
        <v>1758</v>
      </c>
      <c r="F66" s="75" t="s">
        <v>1759</v>
      </c>
      <c r="G66" s="69" t="s">
        <v>1348</v>
      </c>
      <c r="H66" s="75" t="s">
        <v>1760</v>
      </c>
      <c r="I66" s="71" t="s">
        <v>1761</v>
      </c>
      <c r="J66" s="69" t="n">
        <v>51</v>
      </c>
      <c r="K66" s="69" t="s">
        <v>334</v>
      </c>
      <c r="L66" s="69"/>
    </row>
    <row r="67" customFormat="false" ht="45.75" hidden="false" customHeight="true" outlineLevel="0" collapsed="false">
      <c r="A67" s="66" t="n">
        <v>65</v>
      </c>
      <c r="B67" s="77" t="s">
        <v>1762</v>
      </c>
      <c r="C67" s="78" t="s">
        <v>1763</v>
      </c>
      <c r="D67" s="68" t="s">
        <v>1764</v>
      </c>
      <c r="E67" s="73" t="s">
        <v>1765</v>
      </c>
      <c r="F67" s="73" t="s">
        <v>1766</v>
      </c>
      <c r="G67" s="66" t="s">
        <v>1411</v>
      </c>
      <c r="H67" s="73" t="s">
        <v>1767</v>
      </c>
      <c r="I67" s="68" t="s">
        <v>1768</v>
      </c>
      <c r="J67" s="66" t="n">
        <v>52</v>
      </c>
      <c r="K67" s="66" t="s">
        <v>334</v>
      </c>
      <c r="L67" s="66"/>
    </row>
    <row r="68" customFormat="false" ht="45.75" hidden="false" customHeight="true" outlineLevel="0" collapsed="false">
      <c r="A68" s="69" t="n">
        <v>66</v>
      </c>
      <c r="B68" s="79" t="s">
        <v>1769</v>
      </c>
      <c r="C68" s="80" t="s">
        <v>1770</v>
      </c>
      <c r="D68" s="71" t="s">
        <v>1771</v>
      </c>
      <c r="E68" s="75" t="s">
        <v>1772</v>
      </c>
      <c r="F68" s="75" t="s">
        <v>1773</v>
      </c>
      <c r="G68" s="69" t="s">
        <v>1460</v>
      </c>
      <c r="H68" s="75" t="s">
        <v>1774</v>
      </c>
      <c r="I68" s="75" t="s">
        <v>1775</v>
      </c>
      <c r="J68" s="69" t="n">
        <v>52</v>
      </c>
      <c r="K68" s="69" t="s">
        <v>334</v>
      </c>
      <c r="L68" s="69"/>
    </row>
    <row r="69" customFormat="false" ht="45.75" hidden="false" customHeight="true" outlineLevel="0" collapsed="false">
      <c r="A69" s="66" t="n">
        <v>67</v>
      </c>
      <c r="B69" s="77" t="s">
        <v>1776</v>
      </c>
      <c r="C69" s="78" t="s">
        <v>1777</v>
      </c>
      <c r="D69" s="68" t="s">
        <v>1778</v>
      </c>
      <c r="E69" s="73" t="s">
        <v>1779</v>
      </c>
      <c r="F69" s="73" t="s">
        <v>1780</v>
      </c>
      <c r="G69" s="66" t="s">
        <v>1371</v>
      </c>
      <c r="H69" s="73" t="s">
        <v>1781</v>
      </c>
      <c r="I69" s="68" t="s">
        <v>1782</v>
      </c>
      <c r="J69" s="66" t="n">
        <v>53</v>
      </c>
      <c r="K69" s="66" t="s">
        <v>334</v>
      </c>
      <c r="L69" s="66"/>
    </row>
    <row r="70" customFormat="false" ht="45.75" hidden="false" customHeight="true" outlineLevel="0" collapsed="false">
      <c r="A70" s="69" t="n">
        <v>68</v>
      </c>
      <c r="B70" s="79" t="s">
        <v>1783</v>
      </c>
      <c r="C70" s="80" t="s">
        <v>1784</v>
      </c>
      <c r="D70" s="71" t="s">
        <v>1785</v>
      </c>
      <c r="E70" s="75" t="s">
        <v>1786</v>
      </c>
      <c r="F70" s="71"/>
      <c r="G70" s="69" t="s">
        <v>1550</v>
      </c>
      <c r="H70" s="75" t="s">
        <v>1787</v>
      </c>
      <c r="I70" s="71" t="s">
        <v>1788</v>
      </c>
      <c r="J70" s="69" t="n">
        <v>53</v>
      </c>
      <c r="K70" s="69" t="s">
        <v>334</v>
      </c>
      <c r="L70" s="69"/>
    </row>
    <row r="71" customFormat="false" ht="45.75" hidden="false" customHeight="true" outlineLevel="0" collapsed="false">
      <c r="A71" s="66" t="n">
        <v>69</v>
      </c>
      <c r="B71" s="77" t="s">
        <v>115</v>
      </c>
      <c r="C71" s="78" t="s">
        <v>1789</v>
      </c>
      <c r="D71" s="68" t="s">
        <v>1790</v>
      </c>
      <c r="E71" s="73" t="s">
        <v>1593</v>
      </c>
      <c r="F71" s="73" t="s">
        <v>1153</v>
      </c>
      <c r="G71" s="66" t="s">
        <v>1391</v>
      </c>
      <c r="H71" s="73" t="s">
        <v>1791</v>
      </c>
      <c r="I71" s="68" t="s">
        <v>1792</v>
      </c>
      <c r="J71" s="66" t="n">
        <v>54</v>
      </c>
      <c r="K71" s="66" t="s">
        <v>334</v>
      </c>
      <c r="L71" s="66"/>
    </row>
    <row r="72" customFormat="false" ht="45.75" hidden="false" customHeight="true" outlineLevel="0" collapsed="false">
      <c r="A72" s="69" t="n">
        <v>70</v>
      </c>
      <c r="B72" s="79" t="s">
        <v>1793</v>
      </c>
      <c r="C72" s="80" t="s">
        <v>1794</v>
      </c>
      <c r="D72" s="71" t="s">
        <v>1795</v>
      </c>
      <c r="E72" s="75" t="s">
        <v>1662</v>
      </c>
      <c r="F72" s="75" t="s">
        <v>1796</v>
      </c>
      <c r="G72" s="69" t="s">
        <v>1348</v>
      </c>
      <c r="H72" s="75" t="s">
        <v>1797</v>
      </c>
      <c r="I72" s="71" t="s">
        <v>1798</v>
      </c>
      <c r="J72" s="69" t="n">
        <v>54</v>
      </c>
      <c r="K72" s="69" t="s">
        <v>334</v>
      </c>
      <c r="L72" s="69"/>
    </row>
    <row r="73" customFormat="false" ht="45.75" hidden="false" customHeight="true" outlineLevel="0" collapsed="false">
      <c r="A73" s="66" t="n">
        <v>71</v>
      </c>
      <c r="B73" s="77" t="s">
        <v>1799</v>
      </c>
      <c r="C73" s="78" t="s">
        <v>1800</v>
      </c>
      <c r="D73" s="68" t="s">
        <v>1801</v>
      </c>
      <c r="E73" s="73" t="s">
        <v>1593</v>
      </c>
      <c r="F73" s="68"/>
      <c r="G73" s="66" t="s">
        <v>1446</v>
      </c>
      <c r="H73" s="73" t="s">
        <v>1802</v>
      </c>
      <c r="I73" s="73" t="s">
        <v>1803</v>
      </c>
      <c r="J73" s="66" t="n">
        <v>55</v>
      </c>
      <c r="K73" s="66" t="s">
        <v>334</v>
      </c>
      <c r="L73" s="66"/>
    </row>
    <row r="74" customFormat="false" ht="45.75" hidden="false" customHeight="true" outlineLevel="0" collapsed="false">
      <c r="A74" s="69" t="n">
        <v>72</v>
      </c>
      <c r="B74" s="79" t="s">
        <v>1804</v>
      </c>
      <c r="C74" s="80" t="s">
        <v>1805</v>
      </c>
      <c r="D74" s="71" t="s">
        <v>1806</v>
      </c>
      <c r="E74" s="75" t="s">
        <v>982</v>
      </c>
      <c r="F74" s="75" t="s">
        <v>1807</v>
      </c>
      <c r="G74" s="69" t="s">
        <v>1808</v>
      </c>
      <c r="H74" s="75" t="s">
        <v>1809</v>
      </c>
      <c r="I74" s="75" t="s">
        <v>1810</v>
      </c>
      <c r="J74" s="69" t="n">
        <v>55</v>
      </c>
      <c r="K74" s="69" t="s">
        <v>334</v>
      </c>
      <c r="L74" s="69"/>
    </row>
    <row r="75" customFormat="false" ht="45.75" hidden="false" customHeight="true" outlineLevel="0" collapsed="false">
      <c r="A75" s="66" t="n">
        <v>73</v>
      </c>
      <c r="B75" s="77" t="s">
        <v>1811</v>
      </c>
      <c r="C75" s="78" t="s">
        <v>1812</v>
      </c>
      <c r="D75" s="68" t="s">
        <v>1813</v>
      </c>
      <c r="E75" s="73" t="s">
        <v>1814</v>
      </c>
      <c r="F75" s="73" t="s">
        <v>1815</v>
      </c>
      <c r="G75" s="66" t="s">
        <v>1363</v>
      </c>
      <c r="H75" s="73" t="s">
        <v>1816</v>
      </c>
      <c r="I75" s="68" t="s">
        <v>1817</v>
      </c>
      <c r="J75" s="66" t="n">
        <v>57</v>
      </c>
      <c r="K75" s="66" t="s">
        <v>334</v>
      </c>
      <c r="L75" s="66"/>
    </row>
    <row r="76" customFormat="false" ht="45.75" hidden="false" customHeight="true" outlineLevel="0" collapsed="false">
      <c r="A76" s="69" t="n">
        <v>74</v>
      </c>
      <c r="B76" s="79" t="s">
        <v>143</v>
      </c>
      <c r="C76" s="80" t="s">
        <v>1818</v>
      </c>
      <c r="D76" s="71" t="s">
        <v>1819</v>
      </c>
      <c r="E76" s="75" t="s">
        <v>1010</v>
      </c>
      <c r="F76" s="75" t="s">
        <v>1820</v>
      </c>
      <c r="G76" s="69" t="s">
        <v>1391</v>
      </c>
      <c r="H76" s="75" t="s">
        <v>1821</v>
      </c>
      <c r="I76" s="71" t="s">
        <v>1822</v>
      </c>
      <c r="J76" s="69" t="n">
        <v>57</v>
      </c>
      <c r="K76" s="69" t="s">
        <v>334</v>
      </c>
      <c r="L76" s="69"/>
    </row>
    <row r="77" customFormat="false" ht="45.75" hidden="false" customHeight="true" outlineLevel="0" collapsed="false">
      <c r="A77" s="66" t="n">
        <v>75</v>
      </c>
      <c r="B77" s="77" t="s">
        <v>128</v>
      </c>
      <c r="C77" s="78" t="s">
        <v>1823</v>
      </c>
      <c r="D77" s="68" t="s">
        <v>1166</v>
      </c>
      <c r="E77" s="73" t="s">
        <v>1824</v>
      </c>
      <c r="F77" s="73" t="s">
        <v>808</v>
      </c>
      <c r="G77" s="66" t="s">
        <v>1348</v>
      </c>
      <c r="H77" s="73" t="s">
        <v>1825</v>
      </c>
      <c r="I77" s="68" t="s">
        <v>1826</v>
      </c>
      <c r="J77" s="66" t="n">
        <v>58</v>
      </c>
      <c r="K77" s="66" t="s">
        <v>334</v>
      </c>
      <c r="L77" s="66"/>
    </row>
    <row r="78" customFormat="false" ht="45.75" hidden="false" customHeight="true" outlineLevel="0" collapsed="false">
      <c r="A78" s="69" t="n">
        <v>76</v>
      </c>
      <c r="B78" s="79" t="s">
        <v>1827</v>
      </c>
      <c r="C78" s="80" t="s">
        <v>1828</v>
      </c>
      <c r="D78" s="71" t="s">
        <v>1829</v>
      </c>
      <c r="E78" s="75" t="s">
        <v>1830</v>
      </c>
      <c r="F78" s="75" t="s">
        <v>1831</v>
      </c>
      <c r="G78" s="69" t="s">
        <v>1808</v>
      </c>
      <c r="H78" s="75" t="s">
        <v>1832</v>
      </c>
      <c r="I78" s="75" t="s">
        <v>1833</v>
      </c>
      <c r="J78" s="69" t="n">
        <v>58</v>
      </c>
      <c r="K78" s="69" t="s">
        <v>334</v>
      </c>
      <c r="L78" s="69"/>
    </row>
    <row r="79" customFormat="false" ht="45.75" hidden="false" customHeight="true" outlineLevel="0" collapsed="false">
      <c r="A79" s="66" t="n">
        <v>77</v>
      </c>
      <c r="B79" s="77" t="s">
        <v>1834</v>
      </c>
      <c r="C79" s="78" t="s">
        <v>1835</v>
      </c>
      <c r="D79" s="68" t="s">
        <v>1836</v>
      </c>
      <c r="E79" s="73" t="s">
        <v>1837</v>
      </c>
      <c r="F79" s="73" t="s">
        <v>1838</v>
      </c>
      <c r="G79" s="66" t="s">
        <v>1488</v>
      </c>
      <c r="H79" s="73" t="s">
        <v>1839</v>
      </c>
      <c r="I79" s="68" t="s">
        <v>1840</v>
      </c>
      <c r="J79" s="66" t="n">
        <v>59</v>
      </c>
      <c r="K79" s="66" t="s">
        <v>334</v>
      </c>
      <c r="L79" s="66"/>
    </row>
    <row r="80" customFormat="false" ht="45.75" hidden="false" customHeight="true" outlineLevel="0" collapsed="false">
      <c r="A80" s="69" t="n">
        <v>78</v>
      </c>
      <c r="B80" s="79" t="s">
        <v>180</v>
      </c>
      <c r="C80" s="80" t="s">
        <v>1841</v>
      </c>
      <c r="D80" s="71" t="s">
        <v>1842</v>
      </c>
      <c r="E80" s="75" t="s">
        <v>1053</v>
      </c>
      <c r="F80" s="75" t="s">
        <v>1843</v>
      </c>
      <c r="G80" s="69" t="s">
        <v>1460</v>
      </c>
      <c r="H80" s="75" t="s">
        <v>1844</v>
      </c>
      <c r="I80" s="71" t="s">
        <v>1845</v>
      </c>
      <c r="J80" s="69" t="n">
        <v>59</v>
      </c>
      <c r="K80" s="69" t="s">
        <v>334</v>
      </c>
      <c r="L80" s="69"/>
    </row>
    <row r="81" customFormat="false" ht="45.75" hidden="false" customHeight="true" outlineLevel="0" collapsed="false">
      <c r="A81" s="66" t="n">
        <v>79</v>
      </c>
      <c r="B81" s="77" t="s">
        <v>1846</v>
      </c>
      <c r="C81" s="78" t="s">
        <v>1847</v>
      </c>
      <c r="D81" s="68" t="s">
        <v>1848</v>
      </c>
      <c r="E81" s="73" t="s">
        <v>805</v>
      </c>
      <c r="F81" s="73" t="s">
        <v>1849</v>
      </c>
      <c r="G81" s="66" t="s">
        <v>1460</v>
      </c>
      <c r="H81" s="73" t="s">
        <v>1850</v>
      </c>
      <c r="I81" s="73" t="s">
        <v>1851</v>
      </c>
      <c r="J81" s="66" t="n">
        <v>60</v>
      </c>
      <c r="K81" s="66" t="s">
        <v>334</v>
      </c>
      <c r="L81" s="66"/>
    </row>
    <row r="82" customFormat="false" ht="45.75" hidden="false" customHeight="true" outlineLevel="0" collapsed="false">
      <c r="A82" s="69" t="n">
        <v>80</v>
      </c>
      <c r="B82" s="79" t="s">
        <v>1852</v>
      </c>
      <c r="C82" s="80" t="s">
        <v>1770</v>
      </c>
      <c r="D82" s="71" t="s">
        <v>1853</v>
      </c>
      <c r="E82" s="75" t="s">
        <v>1854</v>
      </c>
      <c r="F82" s="75" t="s">
        <v>1855</v>
      </c>
      <c r="G82" s="69" t="s">
        <v>1488</v>
      </c>
      <c r="H82" s="75" t="s">
        <v>1856</v>
      </c>
      <c r="I82" s="71" t="s">
        <v>1857</v>
      </c>
      <c r="J82" s="69" t="n">
        <v>60</v>
      </c>
      <c r="K82" s="69" t="s">
        <v>334</v>
      </c>
      <c r="L82" s="69"/>
    </row>
    <row r="83" customFormat="false" ht="45.75" hidden="false" customHeight="true" outlineLevel="0" collapsed="false">
      <c r="A83" s="66" t="n">
        <v>81</v>
      </c>
      <c r="B83" s="77" t="s">
        <v>1858</v>
      </c>
      <c r="C83" s="78" t="s">
        <v>1859</v>
      </c>
      <c r="D83" s="68" t="s">
        <v>1860</v>
      </c>
      <c r="E83" s="73" t="s">
        <v>1861</v>
      </c>
      <c r="F83" s="73" t="s">
        <v>1862</v>
      </c>
      <c r="G83" s="66" t="s">
        <v>1460</v>
      </c>
      <c r="H83" s="73" t="s">
        <v>1863</v>
      </c>
      <c r="I83" s="73" t="s">
        <v>1864</v>
      </c>
      <c r="J83" s="66" t="n">
        <v>61</v>
      </c>
      <c r="K83" s="66" t="s">
        <v>334</v>
      </c>
      <c r="L83" s="66"/>
    </row>
    <row r="84" customFormat="false" ht="45.75" hidden="false" customHeight="true" outlineLevel="0" collapsed="false">
      <c r="A84" s="69" t="n">
        <v>82</v>
      </c>
      <c r="B84" s="79" t="s">
        <v>1865</v>
      </c>
      <c r="C84" s="80" t="s">
        <v>1866</v>
      </c>
      <c r="D84" s="71" t="s">
        <v>1867</v>
      </c>
      <c r="E84" s="75" t="s">
        <v>1868</v>
      </c>
      <c r="F84" s="71"/>
      <c r="G84" s="69" t="s">
        <v>1391</v>
      </c>
      <c r="H84" s="75" t="s">
        <v>1869</v>
      </c>
      <c r="I84" s="71" t="s">
        <v>1870</v>
      </c>
      <c r="J84" s="69" t="n">
        <v>61</v>
      </c>
      <c r="K84" s="69" t="s">
        <v>334</v>
      </c>
      <c r="L84" s="69"/>
    </row>
    <row r="85" customFormat="false" ht="45.75" hidden="false" customHeight="true" outlineLevel="0" collapsed="false">
      <c r="A85" s="66" t="n">
        <v>83</v>
      </c>
      <c r="B85" s="77" t="s">
        <v>1871</v>
      </c>
      <c r="C85" s="78" t="s">
        <v>1872</v>
      </c>
      <c r="D85" s="68" t="s">
        <v>1873</v>
      </c>
      <c r="E85" s="73" t="s">
        <v>1874</v>
      </c>
      <c r="F85" s="73" t="s">
        <v>1875</v>
      </c>
      <c r="G85" s="66" t="s">
        <v>1363</v>
      </c>
      <c r="H85" s="73" t="s">
        <v>1876</v>
      </c>
      <c r="I85" s="68" t="s">
        <v>1877</v>
      </c>
      <c r="J85" s="66" t="n">
        <v>62</v>
      </c>
      <c r="K85" s="66" t="s">
        <v>334</v>
      </c>
      <c r="L85" s="66"/>
    </row>
    <row r="86" customFormat="false" ht="45.75" hidden="false" customHeight="true" outlineLevel="0" collapsed="false">
      <c r="A86" s="69" t="n">
        <v>84</v>
      </c>
      <c r="B86" s="79" t="s">
        <v>1878</v>
      </c>
      <c r="C86" s="80" t="s">
        <v>1879</v>
      </c>
      <c r="D86" s="71" t="s">
        <v>1880</v>
      </c>
      <c r="E86" s="75" t="s">
        <v>1881</v>
      </c>
      <c r="F86" s="71"/>
      <c r="G86" s="69" t="s">
        <v>1371</v>
      </c>
      <c r="H86" s="75" t="s">
        <v>1882</v>
      </c>
      <c r="I86" s="71" t="s">
        <v>1883</v>
      </c>
      <c r="J86" s="69" t="n">
        <v>62</v>
      </c>
      <c r="K86" s="69" t="s">
        <v>334</v>
      </c>
      <c r="L86" s="69"/>
    </row>
    <row r="87" customFormat="false" ht="45.75" hidden="false" customHeight="true" outlineLevel="0" collapsed="false">
      <c r="A87" s="66" t="n">
        <v>85</v>
      </c>
      <c r="B87" s="77" t="s">
        <v>251</v>
      </c>
      <c r="C87" s="78" t="s">
        <v>1884</v>
      </c>
      <c r="D87" s="68" t="s">
        <v>1885</v>
      </c>
      <c r="E87" s="73" t="s">
        <v>1886</v>
      </c>
      <c r="F87" s="73" t="s">
        <v>1887</v>
      </c>
      <c r="G87" s="66" t="s">
        <v>1411</v>
      </c>
      <c r="H87" s="73" t="s">
        <v>1888</v>
      </c>
      <c r="I87" s="68" t="s">
        <v>1889</v>
      </c>
      <c r="J87" s="66" t="n">
        <v>64</v>
      </c>
      <c r="K87" s="66" t="s">
        <v>334</v>
      </c>
      <c r="L87" s="66"/>
    </row>
    <row r="88" customFormat="false" ht="45.75" hidden="false" customHeight="true" outlineLevel="0" collapsed="false">
      <c r="A88" s="69" t="n">
        <v>86</v>
      </c>
      <c r="B88" s="79" t="s">
        <v>1890</v>
      </c>
      <c r="C88" s="80" t="s">
        <v>1891</v>
      </c>
      <c r="D88" s="71" t="s">
        <v>1892</v>
      </c>
      <c r="E88" s="75" t="s">
        <v>821</v>
      </c>
      <c r="F88" s="75" t="s">
        <v>1893</v>
      </c>
      <c r="G88" s="69" t="s">
        <v>1411</v>
      </c>
      <c r="H88" s="75" t="s">
        <v>1894</v>
      </c>
      <c r="I88" s="75" t="s">
        <v>1895</v>
      </c>
      <c r="J88" s="69" t="n">
        <v>64</v>
      </c>
      <c r="K88" s="69" t="s">
        <v>334</v>
      </c>
      <c r="L88" s="69"/>
    </row>
    <row r="89" customFormat="false" ht="45.75" hidden="false" customHeight="true" outlineLevel="0" collapsed="false">
      <c r="A89" s="66" t="n">
        <v>87</v>
      </c>
      <c r="B89" s="77" t="s">
        <v>1896</v>
      </c>
      <c r="C89" s="78" t="s">
        <v>1744</v>
      </c>
      <c r="D89" s="68" t="s">
        <v>1897</v>
      </c>
      <c r="E89" s="73" t="s">
        <v>1874</v>
      </c>
      <c r="F89" s="68"/>
      <c r="G89" s="66" t="s">
        <v>1348</v>
      </c>
      <c r="H89" s="73" t="s">
        <v>1898</v>
      </c>
      <c r="I89" s="68" t="s">
        <v>1899</v>
      </c>
      <c r="J89" s="66" t="n">
        <v>65</v>
      </c>
      <c r="K89" s="66" t="s">
        <v>334</v>
      </c>
      <c r="L89" s="66"/>
    </row>
    <row r="90" customFormat="false" ht="45.75" hidden="false" customHeight="true" outlineLevel="0" collapsed="false">
      <c r="A90" s="69" t="n">
        <v>88</v>
      </c>
      <c r="B90" s="79" t="s">
        <v>1900</v>
      </c>
      <c r="C90" s="80" t="s">
        <v>1901</v>
      </c>
      <c r="D90" s="71" t="s">
        <v>1902</v>
      </c>
      <c r="E90" s="75" t="s">
        <v>1903</v>
      </c>
      <c r="F90" s="75" t="s">
        <v>1904</v>
      </c>
      <c r="G90" s="69" t="s">
        <v>1515</v>
      </c>
      <c r="H90" s="75" t="s">
        <v>1905</v>
      </c>
      <c r="I90" s="71" t="s">
        <v>1906</v>
      </c>
      <c r="J90" s="69" t="n">
        <v>65</v>
      </c>
      <c r="K90" s="69" t="s">
        <v>334</v>
      </c>
      <c r="L90" s="69"/>
    </row>
    <row r="91" customFormat="false" ht="45.75" hidden="false" customHeight="true" outlineLevel="0" collapsed="false">
      <c r="A91" s="66" t="n">
        <v>89</v>
      </c>
      <c r="B91" s="77" t="s">
        <v>1907</v>
      </c>
      <c r="C91" s="78" t="s">
        <v>1908</v>
      </c>
      <c r="D91" s="68" t="s">
        <v>76</v>
      </c>
      <c r="E91" s="73" t="s">
        <v>1909</v>
      </c>
      <c r="F91" s="68"/>
      <c r="G91" s="66" t="s">
        <v>1910</v>
      </c>
      <c r="H91" s="73" t="s">
        <v>1911</v>
      </c>
      <c r="I91" s="68" t="s">
        <v>1912</v>
      </c>
      <c r="J91" s="66" t="n">
        <v>66</v>
      </c>
      <c r="K91" s="66" t="s">
        <v>334</v>
      </c>
      <c r="L91" s="66"/>
    </row>
    <row r="92" customFormat="false" ht="45.75" hidden="false" customHeight="true" outlineLevel="0" collapsed="false">
      <c r="A92" s="69" t="n">
        <v>90</v>
      </c>
      <c r="B92" s="79" t="s">
        <v>1913</v>
      </c>
      <c r="C92" s="80" t="s">
        <v>1914</v>
      </c>
      <c r="D92" s="71" t="s">
        <v>1915</v>
      </c>
      <c r="E92" s="75" t="s">
        <v>1025</v>
      </c>
      <c r="F92" s="75" t="s">
        <v>1916</v>
      </c>
      <c r="G92" s="69" t="s">
        <v>1411</v>
      </c>
      <c r="H92" s="75" t="s">
        <v>1917</v>
      </c>
      <c r="I92" s="71" t="s">
        <v>1918</v>
      </c>
      <c r="J92" s="69" t="n">
        <v>66</v>
      </c>
      <c r="K92" s="69" t="s">
        <v>334</v>
      </c>
      <c r="L92" s="69"/>
    </row>
    <row r="93" customFormat="false" ht="45.75" hidden="false" customHeight="true" outlineLevel="0" collapsed="false">
      <c r="A93" s="66" t="n">
        <v>91</v>
      </c>
      <c r="B93" s="77" t="s">
        <v>1919</v>
      </c>
      <c r="C93" s="78" t="s">
        <v>1920</v>
      </c>
      <c r="D93" s="68" t="s">
        <v>1921</v>
      </c>
      <c r="E93" s="73" t="s">
        <v>805</v>
      </c>
      <c r="F93" s="73" t="s">
        <v>888</v>
      </c>
      <c r="G93" s="66" t="s">
        <v>1348</v>
      </c>
      <c r="H93" s="73" t="s">
        <v>1922</v>
      </c>
      <c r="I93" s="68" t="s">
        <v>1923</v>
      </c>
      <c r="J93" s="66" t="n">
        <v>67</v>
      </c>
      <c r="K93" s="66" t="s">
        <v>334</v>
      </c>
      <c r="L93" s="66"/>
    </row>
    <row r="94" customFormat="false" ht="45.75" hidden="false" customHeight="true" outlineLevel="0" collapsed="false">
      <c r="A94" s="69" t="n">
        <v>92</v>
      </c>
      <c r="B94" s="79" t="s">
        <v>1924</v>
      </c>
      <c r="C94" s="80" t="s">
        <v>1925</v>
      </c>
      <c r="D94" s="71" t="s">
        <v>1926</v>
      </c>
      <c r="E94" s="75" t="s">
        <v>805</v>
      </c>
      <c r="F94" s="75" t="s">
        <v>1927</v>
      </c>
      <c r="G94" s="69" t="s">
        <v>1460</v>
      </c>
      <c r="H94" s="75" t="s">
        <v>1928</v>
      </c>
      <c r="I94" s="71" t="s">
        <v>1929</v>
      </c>
      <c r="J94" s="69" t="n">
        <v>67</v>
      </c>
      <c r="K94" s="69" t="s">
        <v>334</v>
      </c>
      <c r="L94" s="69"/>
    </row>
    <row r="95" customFormat="false" ht="45.75" hidden="false" customHeight="true" outlineLevel="0" collapsed="false">
      <c r="A95" s="66" t="n">
        <v>93</v>
      </c>
      <c r="B95" s="77" t="s">
        <v>1930</v>
      </c>
      <c r="C95" s="78" t="s">
        <v>1931</v>
      </c>
      <c r="D95" s="68" t="s">
        <v>1932</v>
      </c>
      <c r="E95" s="73" t="s">
        <v>1933</v>
      </c>
      <c r="F95" s="73" t="s">
        <v>1934</v>
      </c>
      <c r="G95" s="66" t="s">
        <v>1411</v>
      </c>
      <c r="H95" s="73" t="s">
        <v>1935</v>
      </c>
      <c r="I95" s="68" t="s">
        <v>1936</v>
      </c>
      <c r="J95" s="66" t="n">
        <v>68</v>
      </c>
      <c r="K95" s="66" t="s">
        <v>334</v>
      </c>
      <c r="L95" s="66"/>
    </row>
    <row r="96" customFormat="false" ht="45.75" hidden="false" customHeight="true" outlineLevel="0" collapsed="false">
      <c r="A96" s="69" t="n">
        <v>94</v>
      </c>
      <c r="B96" s="79" t="s">
        <v>1937</v>
      </c>
      <c r="C96" s="80" t="s">
        <v>1938</v>
      </c>
      <c r="D96" s="71" t="s">
        <v>121</v>
      </c>
      <c r="E96" s="75" t="s">
        <v>1939</v>
      </c>
      <c r="F96" s="75" t="s">
        <v>1940</v>
      </c>
      <c r="G96" s="69" t="s">
        <v>1808</v>
      </c>
      <c r="H96" s="75" t="s">
        <v>1941</v>
      </c>
      <c r="I96" s="75" t="s">
        <v>1942</v>
      </c>
      <c r="J96" s="69" t="n">
        <v>68</v>
      </c>
      <c r="K96" s="69" t="s">
        <v>334</v>
      </c>
      <c r="L96" s="69"/>
    </row>
    <row r="97" customFormat="false" ht="45.75" hidden="false" customHeight="true" outlineLevel="0" collapsed="false">
      <c r="A97" s="66" t="n">
        <v>95</v>
      </c>
      <c r="B97" s="77" t="s">
        <v>1943</v>
      </c>
      <c r="C97" s="78" t="s">
        <v>1931</v>
      </c>
      <c r="D97" s="68" t="s">
        <v>1944</v>
      </c>
      <c r="E97" s="73" t="s">
        <v>1945</v>
      </c>
      <c r="F97" s="73" t="s">
        <v>1946</v>
      </c>
      <c r="G97" s="66" t="s">
        <v>1348</v>
      </c>
      <c r="H97" s="73" t="s">
        <v>1947</v>
      </c>
      <c r="I97" s="68" t="s">
        <v>1948</v>
      </c>
      <c r="J97" s="66" t="n">
        <v>69</v>
      </c>
      <c r="K97" s="66" t="s">
        <v>334</v>
      </c>
      <c r="L97" s="66"/>
    </row>
    <row r="98" customFormat="false" ht="45.75" hidden="false" customHeight="true" outlineLevel="0" collapsed="false">
      <c r="A98" s="69" t="n">
        <v>96</v>
      </c>
      <c r="B98" s="79" t="s">
        <v>1949</v>
      </c>
      <c r="C98" s="80" t="s">
        <v>1950</v>
      </c>
      <c r="D98" s="71" t="s">
        <v>1951</v>
      </c>
      <c r="E98" s="75" t="s">
        <v>825</v>
      </c>
      <c r="F98" s="75" t="s">
        <v>1952</v>
      </c>
      <c r="G98" s="69" t="s">
        <v>1411</v>
      </c>
      <c r="H98" s="75" t="s">
        <v>1953</v>
      </c>
      <c r="I98" s="71" t="s">
        <v>1954</v>
      </c>
      <c r="J98" s="69" t="n">
        <v>69</v>
      </c>
      <c r="K98" s="69" t="s">
        <v>334</v>
      </c>
      <c r="L98" s="69"/>
    </row>
    <row r="99" customFormat="false" ht="45.75" hidden="false" customHeight="true" outlineLevel="0" collapsed="false">
      <c r="A99" s="66" t="n">
        <v>97</v>
      </c>
      <c r="B99" s="77" t="s">
        <v>1955</v>
      </c>
      <c r="C99" s="78" t="s">
        <v>1956</v>
      </c>
      <c r="D99" s="68" t="s">
        <v>1957</v>
      </c>
      <c r="E99" s="73" t="s">
        <v>1958</v>
      </c>
      <c r="F99" s="73" t="s">
        <v>1959</v>
      </c>
      <c r="G99" s="66" t="s">
        <v>1371</v>
      </c>
      <c r="H99" s="73" t="s">
        <v>1960</v>
      </c>
      <c r="I99" s="73" t="s">
        <v>1961</v>
      </c>
      <c r="J99" s="66" t="n">
        <v>71</v>
      </c>
      <c r="K99" s="66" t="s">
        <v>334</v>
      </c>
      <c r="L99" s="66"/>
    </row>
    <row r="100" customFormat="false" ht="45.75" hidden="false" customHeight="true" outlineLevel="0" collapsed="false">
      <c r="A100" s="69" t="n">
        <v>98</v>
      </c>
      <c r="B100" s="79" t="s">
        <v>1962</v>
      </c>
      <c r="C100" s="80" t="s">
        <v>1963</v>
      </c>
      <c r="D100" s="71" t="s">
        <v>1964</v>
      </c>
      <c r="E100" s="75" t="s">
        <v>893</v>
      </c>
      <c r="F100" s="75" t="s">
        <v>1965</v>
      </c>
      <c r="G100" s="69" t="s">
        <v>1348</v>
      </c>
      <c r="H100" s="75" t="s">
        <v>1966</v>
      </c>
      <c r="I100" s="71" t="s">
        <v>1967</v>
      </c>
      <c r="J100" s="69" t="n">
        <v>71</v>
      </c>
      <c r="K100" s="69" t="s">
        <v>334</v>
      </c>
      <c r="L100" s="69"/>
    </row>
    <row r="101" customFormat="false" ht="45.75" hidden="false" customHeight="true" outlineLevel="0" collapsed="false">
      <c r="A101" s="66" t="n">
        <v>99</v>
      </c>
      <c r="B101" s="77" t="s">
        <v>301</v>
      </c>
      <c r="C101" s="78" t="s">
        <v>1968</v>
      </c>
      <c r="D101" s="68" t="s">
        <v>1969</v>
      </c>
      <c r="E101" s="73" t="s">
        <v>1970</v>
      </c>
      <c r="F101" s="68"/>
      <c r="G101" s="66" t="s">
        <v>1808</v>
      </c>
      <c r="H101" s="73" t="s">
        <v>1971</v>
      </c>
      <c r="I101" s="73" t="s">
        <v>1972</v>
      </c>
      <c r="J101" s="66" t="n">
        <v>72</v>
      </c>
      <c r="K101" s="66" t="s">
        <v>334</v>
      </c>
      <c r="L101" s="66"/>
    </row>
    <row r="102" customFormat="false" ht="45.75" hidden="false" customHeight="true" outlineLevel="0" collapsed="false">
      <c r="A102" s="69" t="n">
        <v>100</v>
      </c>
      <c r="B102" s="79" t="s">
        <v>196</v>
      </c>
      <c r="C102" s="80" t="s">
        <v>1973</v>
      </c>
      <c r="D102" s="71" t="s">
        <v>1974</v>
      </c>
      <c r="E102" s="75" t="s">
        <v>793</v>
      </c>
      <c r="F102" s="75" t="s">
        <v>1975</v>
      </c>
      <c r="G102" s="69" t="s">
        <v>1363</v>
      </c>
      <c r="H102" s="75" t="s">
        <v>1976</v>
      </c>
      <c r="I102" s="71" t="s">
        <v>1977</v>
      </c>
      <c r="J102" s="69" t="n">
        <v>73</v>
      </c>
      <c r="K102" s="69" t="s">
        <v>334</v>
      </c>
      <c r="L102" s="69"/>
    </row>
    <row r="103" customFormat="false" ht="45.75" hidden="false" customHeight="true" outlineLevel="0" collapsed="false">
      <c r="A103" s="66" t="n">
        <v>101</v>
      </c>
      <c r="B103" s="77" t="s">
        <v>305</v>
      </c>
      <c r="C103" s="78" t="s">
        <v>1978</v>
      </c>
      <c r="D103" s="68" t="s">
        <v>1979</v>
      </c>
      <c r="E103" s="73" t="s">
        <v>1980</v>
      </c>
      <c r="F103" s="73" t="s">
        <v>1981</v>
      </c>
      <c r="G103" s="66" t="s">
        <v>1515</v>
      </c>
      <c r="H103" s="73" t="s">
        <v>1982</v>
      </c>
      <c r="I103" s="73" t="s">
        <v>1983</v>
      </c>
      <c r="J103" s="66" t="n">
        <v>74</v>
      </c>
      <c r="K103" s="66" t="s">
        <v>334</v>
      </c>
      <c r="L103" s="66"/>
    </row>
    <row r="104" customFormat="false" ht="45.75" hidden="false" customHeight="true" outlineLevel="0" collapsed="false">
      <c r="A104" s="69" t="n">
        <v>102</v>
      </c>
      <c r="B104" s="79" t="s">
        <v>193</v>
      </c>
      <c r="C104" s="80" t="s">
        <v>1984</v>
      </c>
      <c r="D104" s="71" t="s">
        <v>1985</v>
      </c>
      <c r="E104" s="75" t="s">
        <v>1113</v>
      </c>
      <c r="F104" s="75" t="s">
        <v>1986</v>
      </c>
      <c r="G104" s="69" t="s">
        <v>1910</v>
      </c>
      <c r="H104" s="75" t="s">
        <v>1987</v>
      </c>
      <c r="I104" s="71" t="s">
        <v>1988</v>
      </c>
      <c r="J104" s="69" t="n">
        <v>75</v>
      </c>
      <c r="K104" s="69" t="s">
        <v>334</v>
      </c>
      <c r="L104" s="69"/>
    </row>
    <row r="105" customFormat="false" ht="45.75" hidden="false" customHeight="true" outlineLevel="0" collapsed="false">
      <c r="A105" s="66" t="n">
        <v>103</v>
      </c>
      <c r="B105" s="77" t="s">
        <v>170</v>
      </c>
      <c r="C105" s="78" t="s">
        <v>1989</v>
      </c>
      <c r="D105" s="68" t="s">
        <v>1990</v>
      </c>
      <c r="E105" s="73" t="s">
        <v>988</v>
      </c>
      <c r="F105" s="73" t="s">
        <v>1991</v>
      </c>
      <c r="G105" s="66" t="s">
        <v>1371</v>
      </c>
      <c r="H105" s="73" t="s">
        <v>1992</v>
      </c>
      <c r="I105" s="68" t="s">
        <v>1993</v>
      </c>
      <c r="J105" s="66" t="n">
        <v>76</v>
      </c>
      <c r="K105" s="66" t="s">
        <v>334</v>
      </c>
      <c r="L105" s="66"/>
    </row>
  </sheetData>
  <autoFilter ref="A2:L105"/>
  <mergeCells count="1">
    <mergeCell ref="A1:L1"/>
  </mergeCells>
  <conditionalFormatting sqref="A3:L105">
    <cfRule type="expression" priority="2" aboveAverage="0" equalAverage="0" bottom="0" percent="0" rank="0" text="" dxfId="8">
      <formula>$K3="Xong"</formula>
    </cfRule>
    <cfRule type="expression" priority="3" aboveAverage="0" equalAverage="0" bottom="0" percent="0" rank="0" text="" dxfId="9">
      <formula>$K3="Đang học"</formula>
    </cfRule>
    <cfRule type="expression" priority="4" aboveAverage="0" equalAverage="0" bottom="0" percent="0" rank="0" text="" dxfId="11">
      <formula>$L3="★"</formula>
    </cfRule>
  </conditionalFormatting>
  <dataValidations count="2">
    <dataValidation allowBlank="true" errorStyle="stop" operator="between" showDropDown="false" showErrorMessage="false" showInputMessage="false" sqref="K3:K105" type="list">
      <formula1>"Chưa học,Đang học,Xong"</formula1>
      <formula2>0</formula2>
    </dataValidation>
    <dataValidation allowBlank="true" errorStyle="stop" operator="between" showDropDown="false" showErrorMessage="false" showInputMessage="false" sqref="L3:L105"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52"/>
    <col collapsed="false" customWidth="true" hidden="false" outlineLevel="0" max="5" min="4" style="0" width="40"/>
    <col collapsed="false" customWidth="true" hidden="false" outlineLevel="0" max="6" min="6" style="0" width="10"/>
    <col collapsed="false" customWidth="true" hidden="false" outlineLevel="0" max="7" min="7" style="0" width="12"/>
  </cols>
  <sheetData>
    <row r="1" customFormat="false" ht="31.5" hidden="false" customHeight="true" outlineLevel="0" collapsed="false">
      <c r="A1" s="15" t="s">
        <v>1994</v>
      </c>
      <c r="B1" s="15"/>
      <c r="C1" s="15"/>
      <c r="D1" s="15"/>
      <c r="E1" s="15"/>
      <c r="F1" s="15"/>
      <c r="G1" s="15"/>
    </row>
    <row r="2" customFormat="false" ht="30" hidden="false" customHeight="true" outlineLevel="0" collapsed="false">
      <c r="A2" s="16" t="s">
        <v>778</v>
      </c>
      <c r="B2" s="16" t="s">
        <v>1995</v>
      </c>
      <c r="C2" s="16" t="s">
        <v>1996</v>
      </c>
      <c r="D2" s="16" t="s">
        <v>1997</v>
      </c>
      <c r="E2" s="16" t="s">
        <v>1998</v>
      </c>
      <c r="F2" s="16" t="s">
        <v>782</v>
      </c>
      <c r="G2" s="16" t="s">
        <v>330</v>
      </c>
    </row>
    <row r="3" customFormat="false" ht="24" hidden="false" customHeight="true" outlineLevel="0" collapsed="false">
      <c r="A3" s="9" t="s">
        <v>1999</v>
      </c>
      <c r="B3" s="9"/>
      <c r="C3" s="9"/>
      <c r="D3" s="9"/>
      <c r="E3" s="9"/>
      <c r="F3" s="9"/>
      <c r="G3" s="9"/>
    </row>
    <row r="4" customFormat="false" ht="33.75" hidden="false" customHeight="true" outlineLevel="0" collapsed="false">
      <c r="A4" s="81" t="n">
        <v>1</v>
      </c>
      <c r="B4" s="82" t="s">
        <v>2000</v>
      </c>
      <c r="C4" s="83" t="s">
        <v>2001</v>
      </c>
      <c r="D4" s="84" t="s">
        <v>2002</v>
      </c>
      <c r="E4" s="83" t="s">
        <v>2003</v>
      </c>
      <c r="F4" s="81" t="n">
        <v>15</v>
      </c>
      <c r="G4" s="81" t="s">
        <v>334</v>
      </c>
    </row>
    <row r="5" customFormat="false" ht="33.75" hidden="false" customHeight="true" outlineLevel="0" collapsed="false">
      <c r="A5" s="81" t="n">
        <v>2</v>
      </c>
      <c r="B5" s="82" t="s">
        <v>2004</v>
      </c>
      <c r="C5" s="83" t="s">
        <v>2005</v>
      </c>
      <c r="D5" s="84" t="s">
        <v>2006</v>
      </c>
      <c r="E5" s="83" t="s">
        <v>2007</v>
      </c>
      <c r="F5" s="81" t="n">
        <v>15</v>
      </c>
      <c r="G5" s="81" t="s">
        <v>334</v>
      </c>
    </row>
    <row r="6" customFormat="false" ht="33.75" hidden="false" customHeight="true" outlineLevel="0" collapsed="false">
      <c r="A6" s="81" t="n">
        <v>3</v>
      </c>
      <c r="B6" s="82" t="s">
        <v>2008</v>
      </c>
      <c r="C6" s="83" t="s">
        <v>2009</v>
      </c>
      <c r="D6" s="84" t="s">
        <v>2010</v>
      </c>
      <c r="E6" s="83" t="s">
        <v>2011</v>
      </c>
      <c r="F6" s="81" t="n">
        <v>15</v>
      </c>
      <c r="G6" s="81" t="s">
        <v>334</v>
      </c>
    </row>
    <row r="7" customFormat="false" ht="33.75" hidden="false" customHeight="true" outlineLevel="0" collapsed="false">
      <c r="A7" s="81" t="n">
        <v>4</v>
      </c>
      <c r="B7" s="82" t="s">
        <v>2012</v>
      </c>
      <c r="C7" s="83" t="s">
        <v>2013</v>
      </c>
      <c r="D7" s="84" t="s">
        <v>2014</v>
      </c>
      <c r="E7" s="83" t="s">
        <v>2015</v>
      </c>
      <c r="F7" s="81" t="n">
        <v>16</v>
      </c>
      <c r="G7" s="81" t="s">
        <v>334</v>
      </c>
    </row>
    <row r="8" customFormat="false" ht="33.75" hidden="false" customHeight="true" outlineLevel="0" collapsed="false">
      <c r="A8" s="81" t="n">
        <v>5</v>
      </c>
      <c r="B8" s="82" t="s">
        <v>2016</v>
      </c>
      <c r="C8" s="83" t="s">
        <v>2017</v>
      </c>
      <c r="D8" s="84" t="s">
        <v>2018</v>
      </c>
      <c r="E8" s="83" t="s">
        <v>2019</v>
      </c>
      <c r="F8" s="81" t="n">
        <v>16</v>
      </c>
      <c r="G8" s="81" t="s">
        <v>334</v>
      </c>
    </row>
    <row r="9" customFormat="false" ht="24" hidden="false" customHeight="true" outlineLevel="0" collapsed="false">
      <c r="A9" s="9" t="s">
        <v>2020</v>
      </c>
      <c r="B9" s="9"/>
      <c r="C9" s="9"/>
      <c r="D9" s="9"/>
      <c r="E9" s="9"/>
      <c r="F9" s="9"/>
      <c r="G9" s="9"/>
    </row>
    <row r="10" customFormat="false" ht="33.75" hidden="false" customHeight="true" outlineLevel="0" collapsed="false">
      <c r="A10" s="81" t="n">
        <v>6</v>
      </c>
      <c r="B10" s="85" t="s">
        <v>2021</v>
      </c>
      <c r="C10" s="83" t="s">
        <v>2022</v>
      </c>
      <c r="D10" s="84" t="s">
        <v>2023</v>
      </c>
      <c r="E10" s="83" t="s">
        <v>2024</v>
      </c>
      <c r="F10" s="81" t="n">
        <v>17</v>
      </c>
      <c r="G10" s="81" t="s">
        <v>334</v>
      </c>
    </row>
    <row r="11" customFormat="false" ht="33.75" hidden="false" customHeight="true" outlineLevel="0" collapsed="false">
      <c r="A11" s="81" t="n">
        <v>7</v>
      </c>
      <c r="B11" s="85" t="s">
        <v>2025</v>
      </c>
      <c r="C11" s="83" t="s">
        <v>2026</v>
      </c>
      <c r="D11" s="84" t="s">
        <v>2027</v>
      </c>
      <c r="E11" s="83" t="s">
        <v>2028</v>
      </c>
      <c r="F11" s="81" t="n">
        <v>17</v>
      </c>
      <c r="G11" s="81" t="s">
        <v>334</v>
      </c>
    </row>
    <row r="12" customFormat="false" ht="33.75" hidden="false" customHeight="true" outlineLevel="0" collapsed="false">
      <c r="A12" s="81" t="n">
        <v>8</v>
      </c>
      <c r="B12" s="85" t="s">
        <v>2029</v>
      </c>
      <c r="C12" s="83" t="s">
        <v>2030</v>
      </c>
      <c r="D12" s="84" t="s">
        <v>2031</v>
      </c>
      <c r="E12" s="83" t="s">
        <v>2032</v>
      </c>
      <c r="F12" s="81" t="n">
        <v>17</v>
      </c>
      <c r="G12" s="81" t="s">
        <v>334</v>
      </c>
    </row>
    <row r="13" customFormat="false" ht="33.75" hidden="false" customHeight="true" outlineLevel="0" collapsed="false">
      <c r="A13" s="81" t="n">
        <v>9</v>
      </c>
      <c r="B13" s="82" t="s">
        <v>2033</v>
      </c>
      <c r="C13" s="83" t="s">
        <v>2034</v>
      </c>
      <c r="D13" s="84" t="s">
        <v>2035</v>
      </c>
      <c r="E13" s="83" t="s">
        <v>2036</v>
      </c>
      <c r="F13" s="81" t="n">
        <v>18</v>
      </c>
      <c r="G13" s="81" t="s">
        <v>334</v>
      </c>
    </row>
    <row r="14" customFormat="false" ht="33.75" hidden="false" customHeight="true" outlineLevel="0" collapsed="false">
      <c r="A14" s="81" t="n">
        <v>10</v>
      </c>
      <c r="B14" s="85" t="s">
        <v>2037</v>
      </c>
      <c r="C14" s="83" t="s">
        <v>2038</v>
      </c>
      <c r="D14" s="84" t="s">
        <v>2039</v>
      </c>
      <c r="E14" s="83" t="s">
        <v>2040</v>
      </c>
      <c r="F14" s="81" t="n">
        <v>18</v>
      </c>
      <c r="G14" s="81" t="s">
        <v>334</v>
      </c>
    </row>
    <row r="15" customFormat="false" ht="24" hidden="false" customHeight="true" outlineLevel="0" collapsed="false">
      <c r="A15" s="9" t="s">
        <v>2041</v>
      </c>
      <c r="B15" s="9"/>
      <c r="C15" s="9"/>
      <c r="D15" s="9"/>
      <c r="E15" s="9"/>
      <c r="F15" s="9"/>
      <c r="G15" s="9"/>
    </row>
    <row r="16" customFormat="false" ht="33.75" hidden="false" customHeight="true" outlineLevel="0" collapsed="false">
      <c r="A16" s="81" t="n">
        <v>11</v>
      </c>
      <c r="B16" s="85" t="s">
        <v>2042</v>
      </c>
      <c r="C16" s="83" t="s">
        <v>2043</v>
      </c>
      <c r="D16" s="84" t="s">
        <v>2044</v>
      </c>
      <c r="E16" s="83" t="s">
        <v>2045</v>
      </c>
      <c r="F16" s="81" t="n">
        <v>19</v>
      </c>
      <c r="G16" s="81" t="s">
        <v>334</v>
      </c>
    </row>
    <row r="17" customFormat="false" ht="33.75" hidden="false" customHeight="true" outlineLevel="0" collapsed="false">
      <c r="A17" s="81" t="n">
        <v>12</v>
      </c>
      <c r="B17" s="85" t="s">
        <v>2046</v>
      </c>
      <c r="C17" s="83" t="s">
        <v>2047</v>
      </c>
      <c r="D17" s="84" t="s">
        <v>2048</v>
      </c>
      <c r="E17" s="83" t="s">
        <v>2049</v>
      </c>
      <c r="F17" s="81" t="n">
        <v>19</v>
      </c>
      <c r="G17" s="81" t="s">
        <v>334</v>
      </c>
    </row>
    <row r="18" customFormat="false" ht="33.75" hidden="false" customHeight="true" outlineLevel="0" collapsed="false">
      <c r="A18" s="81" t="n">
        <v>13</v>
      </c>
      <c r="B18" s="82" t="s">
        <v>2050</v>
      </c>
      <c r="C18" s="83" t="s">
        <v>2051</v>
      </c>
      <c r="D18" s="84" t="s">
        <v>2052</v>
      </c>
      <c r="E18" s="83" t="s">
        <v>2053</v>
      </c>
      <c r="F18" s="81" t="n">
        <v>19</v>
      </c>
      <c r="G18" s="81" t="s">
        <v>334</v>
      </c>
    </row>
    <row r="19" customFormat="false" ht="33.75" hidden="false" customHeight="true" outlineLevel="0" collapsed="false">
      <c r="A19" s="81" t="n">
        <v>14</v>
      </c>
      <c r="B19" s="82" t="s">
        <v>2054</v>
      </c>
      <c r="C19" s="83" t="s">
        <v>2055</v>
      </c>
      <c r="D19" s="84" t="s">
        <v>2056</v>
      </c>
      <c r="E19" s="83" t="s">
        <v>2057</v>
      </c>
      <c r="F19" s="81" t="n">
        <v>20</v>
      </c>
      <c r="G19" s="81" t="s">
        <v>334</v>
      </c>
    </row>
    <row r="20" customFormat="false" ht="33.75" hidden="false" customHeight="true" outlineLevel="0" collapsed="false">
      <c r="A20" s="81" t="n">
        <v>15</v>
      </c>
      <c r="B20" s="85" t="s">
        <v>2058</v>
      </c>
      <c r="C20" s="83" t="s">
        <v>2059</v>
      </c>
      <c r="D20" s="84" t="s">
        <v>2060</v>
      </c>
      <c r="E20" s="83" t="s">
        <v>2061</v>
      </c>
      <c r="F20" s="81" t="n">
        <v>20</v>
      </c>
      <c r="G20" s="81" t="s">
        <v>334</v>
      </c>
    </row>
    <row r="21" customFormat="false" ht="24" hidden="false" customHeight="true" outlineLevel="0" collapsed="false">
      <c r="A21" s="9" t="s">
        <v>2062</v>
      </c>
      <c r="B21" s="9"/>
      <c r="C21" s="9"/>
      <c r="D21" s="9"/>
      <c r="E21" s="9"/>
      <c r="F21" s="9"/>
      <c r="G21" s="9"/>
    </row>
    <row r="22" customFormat="false" ht="33.75" hidden="false" customHeight="true" outlineLevel="0" collapsed="false">
      <c r="A22" s="81" t="n">
        <v>16</v>
      </c>
      <c r="B22" s="85" t="s">
        <v>2063</v>
      </c>
      <c r="C22" s="83" t="s">
        <v>2064</v>
      </c>
      <c r="D22" s="84" t="s">
        <v>2065</v>
      </c>
      <c r="E22" s="83" t="s">
        <v>2066</v>
      </c>
      <c r="F22" s="81" t="n">
        <v>22</v>
      </c>
      <c r="G22" s="81" t="s">
        <v>334</v>
      </c>
    </row>
    <row r="23" customFormat="false" ht="33.75" hidden="false" customHeight="true" outlineLevel="0" collapsed="false">
      <c r="A23" s="81" t="n">
        <v>17</v>
      </c>
      <c r="B23" s="82" t="s">
        <v>2067</v>
      </c>
      <c r="C23" s="83" t="s">
        <v>2068</v>
      </c>
      <c r="D23" s="84" t="s">
        <v>2069</v>
      </c>
      <c r="E23" s="83" t="s">
        <v>2070</v>
      </c>
      <c r="F23" s="81" t="n">
        <v>22</v>
      </c>
      <c r="G23" s="81" t="s">
        <v>334</v>
      </c>
    </row>
    <row r="24" customFormat="false" ht="33.75" hidden="false" customHeight="true" outlineLevel="0" collapsed="false">
      <c r="A24" s="81" t="n">
        <v>18</v>
      </c>
      <c r="B24" s="82" t="s">
        <v>2071</v>
      </c>
      <c r="C24" s="83" t="s">
        <v>2072</v>
      </c>
      <c r="D24" s="84" t="s">
        <v>2073</v>
      </c>
      <c r="E24" s="83" t="s">
        <v>2074</v>
      </c>
      <c r="F24" s="81" t="n">
        <v>22</v>
      </c>
      <c r="G24" s="81" t="s">
        <v>334</v>
      </c>
    </row>
    <row r="25" customFormat="false" ht="33.75" hidden="false" customHeight="true" outlineLevel="0" collapsed="false">
      <c r="A25" s="81" t="n">
        <v>19</v>
      </c>
      <c r="B25" s="85" t="s">
        <v>2075</v>
      </c>
      <c r="C25" s="83" t="s">
        <v>2076</v>
      </c>
      <c r="D25" s="86" t="s">
        <v>2077</v>
      </c>
      <c r="E25" s="83" t="s">
        <v>2078</v>
      </c>
      <c r="F25" s="81" t="n">
        <v>23</v>
      </c>
      <c r="G25" s="81" t="s">
        <v>334</v>
      </c>
    </row>
    <row r="26" customFormat="false" ht="33.75" hidden="false" customHeight="true" outlineLevel="0" collapsed="false">
      <c r="A26" s="81" t="n">
        <v>20</v>
      </c>
      <c r="B26" s="82" t="s">
        <v>2079</v>
      </c>
      <c r="C26" s="83" t="s">
        <v>2080</v>
      </c>
      <c r="D26" s="86" t="s">
        <v>2081</v>
      </c>
      <c r="E26" s="83" t="s">
        <v>2082</v>
      </c>
      <c r="F26" s="81" t="n">
        <v>23</v>
      </c>
      <c r="G26" s="81" t="s">
        <v>334</v>
      </c>
    </row>
    <row r="27" customFormat="false" ht="33.75" hidden="false" customHeight="true" outlineLevel="0" collapsed="false">
      <c r="A27" s="81" t="n">
        <v>21</v>
      </c>
      <c r="B27" s="82" t="s">
        <v>2083</v>
      </c>
      <c r="C27" s="83" t="s">
        <v>2084</v>
      </c>
      <c r="D27" s="84" t="s">
        <v>2085</v>
      </c>
      <c r="E27" s="83" t="s">
        <v>2086</v>
      </c>
      <c r="F27" s="81" t="n">
        <v>23</v>
      </c>
      <c r="G27" s="81" t="s">
        <v>334</v>
      </c>
    </row>
    <row r="28" customFormat="false" ht="24" hidden="false" customHeight="true" outlineLevel="0" collapsed="false">
      <c r="A28" s="9" t="s">
        <v>2087</v>
      </c>
      <c r="B28" s="9"/>
      <c r="C28" s="9"/>
      <c r="D28" s="9"/>
      <c r="E28" s="9"/>
      <c r="F28" s="9"/>
      <c r="G28" s="9"/>
    </row>
    <row r="29" customFormat="false" ht="33.75" hidden="false" customHeight="true" outlineLevel="0" collapsed="false">
      <c r="A29" s="81" t="n">
        <v>22</v>
      </c>
      <c r="B29" s="85" t="s">
        <v>2088</v>
      </c>
      <c r="C29" s="83" t="s">
        <v>2089</v>
      </c>
      <c r="D29" s="84" t="s">
        <v>2090</v>
      </c>
      <c r="E29" s="83" t="s">
        <v>2091</v>
      </c>
      <c r="F29" s="81" t="n">
        <v>24</v>
      </c>
      <c r="G29" s="81" t="s">
        <v>334</v>
      </c>
    </row>
    <row r="30" customFormat="false" ht="33.75" hidden="false" customHeight="true" outlineLevel="0" collapsed="false">
      <c r="A30" s="81" t="n">
        <v>23</v>
      </c>
      <c r="B30" s="85" t="s">
        <v>2092</v>
      </c>
      <c r="C30" s="83" t="s">
        <v>2093</v>
      </c>
      <c r="D30" s="84" t="s">
        <v>2094</v>
      </c>
      <c r="E30" s="83" t="s">
        <v>2095</v>
      </c>
      <c r="F30" s="81" t="n">
        <v>24</v>
      </c>
      <c r="G30" s="81" t="s">
        <v>334</v>
      </c>
    </row>
    <row r="31" customFormat="false" ht="33.75" hidden="false" customHeight="true" outlineLevel="0" collapsed="false">
      <c r="A31" s="81" t="n">
        <v>24</v>
      </c>
      <c r="B31" s="85" t="s">
        <v>2096</v>
      </c>
      <c r="C31" s="83" t="s">
        <v>2097</v>
      </c>
      <c r="D31" s="84" t="s">
        <v>2098</v>
      </c>
      <c r="E31" s="83" t="s">
        <v>2099</v>
      </c>
      <c r="F31" s="81" t="n">
        <v>24</v>
      </c>
      <c r="G31" s="81" t="s">
        <v>334</v>
      </c>
    </row>
    <row r="32" customFormat="false" ht="33.75" hidden="false" customHeight="true" outlineLevel="0" collapsed="false">
      <c r="A32" s="81" t="n">
        <v>25</v>
      </c>
      <c r="B32" s="85" t="s">
        <v>2100</v>
      </c>
      <c r="C32" s="83" t="s">
        <v>2101</v>
      </c>
      <c r="D32" s="84" t="s">
        <v>2102</v>
      </c>
      <c r="E32" s="83" t="s">
        <v>2103</v>
      </c>
      <c r="F32" s="81" t="n">
        <v>25</v>
      </c>
      <c r="G32" s="81" t="s">
        <v>334</v>
      </c>
    </row>
    <row r="33" customFormat="false" ht="33.75" hidden="false" customHeight="true" outlineLevel="0" collapsed="false">
      <c r="A33" s="81" t="n">
        <v>26</v>
      </c>
      <c r="B33" s="85" t="s">
        <v>2104</v>
      </c>
      <c r="C33" s="83" t="s">
        <v>2105</v>
      </c>
      <c r="D33" s="84" t="s">
        <v>2106</v>
      </c>
      <c r="E33" s="83" t="s">
        <v>2107</v>
      </c>
      <c r="F33" s="81" t="n">
        <v>25</v>
      </c>
      <c r="G33" s="81" t="s">
        <v>334</v>
      </c>
    </row>
    <row r="34" customFormat="false" ht="24" hidden="false" customHeight="true" outlineLevel="0" collapsed="false">
      <c r="A34" s="9" t="s">
        <v>2108</v>
      </c>
      <c r="B34" s="9"/>
      <c r="C34" s="9"/>
      <c r="D34" s="9"/>
      <c r="E34" s="9"/>
      <c r="F34" s="9"/>
      <c r="G34" s="9"/>
    </row>
    <row r="35" customFormat="false" ht="33.75" hidden="false" customHeight="true" outlineLevel="0" collapsed="false">
      <c r="A35" s="81" t="n">
        <v>27</v>
      </c>
      <c r="B35" s="82" t="s">
        <v>2109</v>
      </c>
      <c r="C35" s="87" t="s">
        <v>2110</v>
      </c>
      <c r="D35" s="84" t="s">
        <v>2111</v>
      </c>
      <c r="E35" s="83" t="s">
        <v>2112</v>
      </c>
      <c r="F35" s="81" t="n">
        <v>26</v>
      </c>
      <c r="G35" s="81" t="s">
        <v>334</v>
      </c>
    </row>
    <row r="36" customFormat="false" ht="33.75" hidden="false" customHeight="true" outlineLevel="0" collapsed="false">
      <c r="A36" s="81" t="n">
        <v>28</v>
      </c>
      <c r="B36" s="82" t="s">
        <v>2113</v>
      </c>
      <c r="C36" s="83" t="s">
        <v>2114</v>
      </c>
      <c r="D36" s="84" t="s">
        <v>2115</v>
      </c>
      <c r="E36" s="83" t="s">
        <v>2116</v>
      </c>
      <c r="F36" s="81" t="n">
        <v>26</v>
      </c>
      <c r="G36" s="81" t="s">
        <v>334</v>
      </c>
    </row>
    <row r="37" customFormat="false" ht="33.75" hidden="false" customHeight="true" outlineLevel="0" collapsed="false">
      <c r="A37" s="81" t="n">
        <v>29</v>
      </c>
      <c r="B37" s="85" t="s">
        <v>2117</v>
      </c>
      <c r="C37" s="83" t="s">
        <v>2118</v>
      </c>
      <c r="D37" s="84" t="s">
        <v>2119</v>
      </c>
      <c r="E37" s="83" t="s">
        <v>2120</v>
      </c>
      <c r="F37" s="81" t="n">
        <v>26</v>
      </c>
      <c r="G37" s="81" t="s">
        <v>334</v>
      </c>
    </row>
    <row r="38" customFormat="false" ht="33.75" hidden="false" customHeight="true" outlineLevel="0" collapsed="false">
      <c r="A38" s="81" t="n">
        <v>30</v>
      </c>
      <c r="B38" s="85" t="s">
        <v>2121</v>
      </c>
      <c r="C38" s="83" t="s">
        <v>2122</v>
      </c>
      <c r="D38" s="84" t="s">
        <v>2123</v>
      </c>
      <c r="E38" s="83" t="s">
        <v>2124</v>
      </c>
      <c r="F38" s="81" t="n">
        <v>27</v>
      </c>
      <c r="G38" s="81" t="s">
        <v>334</v>
      </c>
    </row>
    <row r="39" customFormat="false" ht="33.75" hidden="false" customHeight="true" outlineLevel="0" collapsed="false">
      <c r="A39" s="81" t="n">
        <v>31</v>
      </c>
      <c r="B39" s="82" t="s">
        <v>2125</v>
      </c>
      <c r="C39" s="83" t="s">
        <v>2126</v>
      </c>
      <c r="D39" s="84" t="s">
        <v>2127</v>
      </c>
      <c r="E39" s="83" t="s">
        <v>2128</v>
      </c>
      <c r="F39" s="81" t="n">
        <v>27</v>
      </c>
      <c r="G39" s="81" t="s">
        <v>334</v>
      </c>
    </row>
    <row r="40" customFormat="false" ht="24" hidden="false" customHeight="true" outlineLevel="0" collapsed="false">
      <c r="A40" s="9" t="s">
        <v>2129</v>
      </c>
      <c r="B40" s="9"/>
      <c r="C40" s="9"/>
      <c r="D40" s="9"/>
      <c r="E40" s="9"/>
      <c r="F40" s="9"/>
      <c r="G40" s="9"/>
    </row>
    <row r="41" customFormat="false" ht="33.75" hidden="false" customHeight="true" outlineLevel="0" collapsed="false">
      <c r="A41" s="81" t="n">
        <v>32</v>
      </c>
      <c r="B41" s="85" t="s">
        <v>2130</v>
      </c>
      <c r="C41" s="83" t="s">
        <v>2131</v>
      </c>
      <c r="D41" s="84" t="s">
        <v>2132</v>
      </c>
      <c r="E41" s="83" t="s">
        <v>2133</v>
      </c>
      <c r="F41" s="81" t="n">
        <v>29</v>
      </c>
      <c r="G41" s="81" t="s">
        <v>334</v>
      </c>
    </row>
    <row r="42" customFormat="false" ht="33.75" hidden="false" customHeight="true" outlineLevel="0" collapsed="false">
      <c r="A42" s="81" t="n">
        <v>33</v>
      </c>
      <c r="B42" s="82" t="s">
        <v>2134</v>
      </c>
      <c r="C42" s="83" t="s">
        <v>2135</v>
      </c>
      <c r="D42" s="84" t="s">
        <v>2136</v>
      </c>
      <c r="E42" s="83" t="s">
        <v>2137</v>
      </c>
      <c r="F42" s="81" t="n">
        <v>29</v>
      </c>
      <c r="G42" s="81" t="s">
        <v>334</v>
      </c>
    </row>
    <row r="43" customFormat="false" ht="33.75" hidden="false" customHeight="true" outlineLevel="0" collapsed="false">
      <c r="A43" s="81" t="n">
        <v>34</v>
      </c>
      <c r="B43" s="82" t="s">
        <v>2138</v>
      </c>
      <c r="C43" s="83" t="s">
        <v>2139</v>
      </c>
      <c r="D43" s="84" t="s">
        <v>2140</v>
      </c>
      <c r="E43" s="83" t="s">
        <v>2141</v>
      </c>
      <c r="F43" s="81" t="n">
        <v>29</v>
      </c>
      <c r="G43" s="81" t="s">
        <v>334</v>
      </c>
    </row>
    <row r="44" customFormat="false" ht="33.75" hidden="false" customHeight="true" outlineLevel="0" collapsed="false">
      <c r="A44" s="81" t="n">
        <v>35</v>
      </c>
      <c r="B44" s="85" t="s">
        <v>2142</v>
      </c>
      <c r="C44" s="83" t="s">
        <v>2143</v>
      </c>
      <c r="D44" s="84" t="s">
        <v>2144</v>
      </c>
      <c r="E44" s="83" t="s">
        <v>2145</v>
      </c>
      <c r="F44" s="81" t="n">
        <v>30</v>
      </c>
      <c r="G44" s="81" t="s">
        <v>334</v>
      </c>
    </row>
    <row r="45" customFormat="false" ht="33.75" hidden="false" customHeight="true" outlineLevel="0" collapsed="false">
      <c r="A45" s="81" t="n">
        <v>36</v>
      </c>
      <c r="B45" s="85" t="s">
        <v>2146</v>
      </c>
      <c r="C45" s="83" t="s">
        <v>2147</v>
      </c>
      <c r="D45" s="84" t="s">
        <v>2148</v>
      </c>
      <c r="E45" s="83" t="s">
        <v>2149</v>
      </c>
      <c r="F45" s="81" t="n">
        <v>30</v>
      </c>
      <c r="G45" s="81" t="s">
        <v>334</v>
      </c>
    </row>
    <row r="46" customFormat="false" ht="24" hidden="false" customHeight="true" outlineLevel="0" collapsed="false">
      <c r="A46" s="9" t="s">
        <v>2150</v>
      </c>
      <c r="B46" s="9"/>
      <c r="C46" s="9"/>
      <c r="D46" s="9"/>
      <c r="E46" s="9"/>
      <c r="F46" s="9"/>
      <c r="G46" s="9"/>
    </row>
    <row r="47" customFormat="false" ht="33.75" hidden="false" customHeight="true" outlineLevel="0" collapsed="false">
      <c r="A47" s="81" t="n">
        <v>37</v>
      </c>
      <c r="B47" s="85" t="s">
        <v>2151</v>
      </c>
      <c r="C47" s="83" t="s">
        <v>2152</v>
      </c>
      <c r="D47" s="84" t="s">
        <v>2153</v>
      </c>
      <c r="E47" s="83" t="s">
        <v>2154</v>
      </c>
      <c r="F47" s="81" t="n">
        <v>31</v>
      </c>
      <c r="G47" s="81" t="s">
        <v>334</v>
      </c>
    </row>
    <row r="48" customFormat="false" ht="33.75" hidden="false" customHeight="true" outlineLevel="0" collapsed="false">
      <c r="A48" s="81" t="n">
        <v>38</v>
      </c>
      <c r="B48" s="85" t="s">
        <v>2155</v>
      </c>
      <c r="C48" s="83" t="s">
        <v>2156</v>
      </c>
      <c r="D48" s="84" t="s">
        <v>2157</v>
      </c>
      <c r="E48" s="83" t="s">
        <v>2158</v>
      </c>
      <c r="F48" s="81" t="n">
        <v>31</v>
      </c>
      <c r="G48" s="81" t="s">
        <v>334</v>
      </c>
    </row>
    <row r="49" customFormat="false" ht="33.75" hidden="false" customHeight="true" outlineLevel="0" collapsed="false">
      <c r="A49" s="81" t="n">
        <v>39</v>
      </c>
      <c r="B49" s="82" t="s">
        <v>2159</v>
      </c>
      <c r="C49" s="83" t="s">
        <v>2160</v>
      </c>
      <c r="D49" s="84" t="s">
        <v>2161</v>
      </c>
      <c r="E49" s="83" t="s">
        <v>2162</v>
      </c>
      <c r="F49" s="81" t="n">
        <v>31</v>
      </c>
      <c r="G49" s="81" t="s">
        <v>334</v>
      </c>
    </row>
    <row r="50" customFormat="false" ht="33.75" hidden="false" customHeight="true" outlineLevel="0" collapsed="false">
      <c r="A50" s="81" t="n">
        <v>40</v>
      </c>
      <c r="B50" s="82" t="s">
        <v>2163</v>
      </c>
      <c r="C50" s="83" t="s">
        <v>2164</v>
      </c>
      <c r="D50" s="84" t="s">
        <v>2165</v>
      </c>
      <c r="E50" s="83" t="s">
        <v>2166</v>
      </c>
      <c r="F50" s="81" t="n">
        <v>32</v>
      </c>
      <c r="G50" s="81" t="s">
        <v>334</v>
      </c>
    </row>
    <row r="51" customFormat="false" ht="33.75" hidden="false" customHeight="true" outlineLevel="0" collapsed="false">
      <c r="A51" s="81" t="n">
        <v>41</v>
      </c>
      <c r="B51" s="85" t="s">
        <v>2167</v>
      </c>
      <c r="C51" s="83" t="s">
        <v>2168</v>
      </c>
      <c r="D51" s="84" t="s">
        <v>2169</v>
      </c>
      <c r="E51" s="83" t="s">
        <v>2170</v>
      </c>
      <c r="F51" s="81" t="n">
        <v>32</v>
      </c>
      <c r="G51" s="81" t="s">
        <v>334</v>
      </c>
    </row>
    <row r="52" customFormat="false" ht="24" hidden="false" customHeight="true" outlineLevel="0" collapsed="false">
      <c r="A52" s="9" t="s">
        <v>2171</v>
      </c>
      <c r="B52" s="9"/>
      <c r="C52" s="9"/>
      <c r="D52" s="9"/>
      <c r="E52" s="9"/>
      <c r="F52" s="9"/>
      <c r="G52" s="9"/>
    </row>
    <row r="53" customFormat="false" ht="33.75" hidden="false" customHeight="true" outlineLevel="0" collapsed="false">
      <c r="A53" s="81" t="n">
        <v>42</v>
      </c>
      <c r="B53" s="82" t="s">
        <v>2172</v>
      </c>
      <c r="C53" s="83" t="s">
        <v>2173</v>
      </c>
      <c r="D53" s="84" t="s">
        <v>2174</v>
      </c>
      <c r="E53" s="83" t="s">
        <v>2175</v>
      </c>
      <c r="F53" s="81" t="n">
        <v>33</v>
      </c>
      <c r="G53" s="81" t="s">
        <v>334</v>
      </c>
    </row>
    <row r="54" customFormat="false" ht="33.75" hidden="false" customHeight="true" outlineLevel="0" collapsed="false">
      <c r="A54" s="81" t="n">
        <v>43</v>
      </c>
      <c r="B54" s="82" t="s">
        <v>2176</v>
      </c>
      <c r="C54" s="83" t="s">
        <v>2177</v>
      </c>
      <c r="D54" s="84" t="s">
        <v>2178</v>
      </c>
      <c r="E54" s="83" t="s">
        <v>2179</v>
      </c>
      <c r="F54" s="81" t="n">
        <v>33</v>
      </c>
      <c r="G54" s="81" t="s">
        <v>334</v>
      </c>
    </row>
    <row r="55" customFormat="false" ht="33.75" hidden="false" customHeight="true" outlineLevel="0" collapsed="false">
      <c r="A55" s="81" t="n">
        <v>44</v>
      </c>
      <c r="B55" s="85" t="s">
        <v>2180</v>
      </c>
      <c r="C55" s="83" t="s">
        <v>2181</v>
      </c>
      <c r="D55" s="84" t="s">
        <v>2182</v>
      </c>
      <c r="E55" s="83" t="s">
        <v>2183</v>
      </c>
      <c r="F55" s="81" t="n">
        <v>33</v>
      </c>
      <c r="G55" s="81" t="s">
        <v>334</v>
      </c>
    </row>
    <row r="56" customFormat="false" ht="33.75" hidden="false" customHeight="true" outlineLevel="0" collapsed="false">
      <c r="A56" s="81" t="n">
        <v>45</v>
      </c>
      <c r="B56" s="85" t="s">
        <v>2184</v>
      </c>
      <c r="C56" s="83" t="s">
        <v>2185</v>
      </c>
      <c r="D56" s="84" t="s">
        <v>2186</v>
      </c>
      <c r="E56" s="83" t="s">
        <v>2187</v>
      </c>
      <c r="F56" s="81" t="n">
        <v>34</v>
      </c>
      <c r="G56" s="81" t="s">
        <v>334</v>
      </c>
    </row>
    <row r="57" customFormat="false" ht="33.75" hidden="false" customHeight="true" outlineLevel="0" collapsed="false">
      <c r="A57" s="81" t="n">
        <v>46</v>
      </c>
      <c r="B57" s="85" t="s">
        <v>2188</v>
      </c>
      <c r="C57" s="83" t="s">
        <v>2189</v>
      </c>
      <c r="D57" s="84" t="s">
        <v>2190</v>
      </c>
      <c r="E57" s="83" t="s">
        <v>2191</v>
      </c>
      <c r="F57" s="81" t="n">
        <v>34</v>
      </c>
      <c r="G57" s="81" t="s">
        <v>334</v>
      </c>
    </row>
    <row r="58" customFormat="false" ht="24" hidden="false" customHeight="true" outlineLevel="0" collapsed="false">
      <c r="A58" s="9" t="s">
        <v>2192</v>
      </c>
      <c r="B58" s="9"/>
      <c r="C58" s="9"/>
      <c r="D58" s="9"/>
      <c r="E58" s="9"/>
      <c r="F58" s="9"/>
      <c r="G58" s="9"/>
    </row>
    <row r="59" customFormat="false" ht="33.75" hidden="false" customHeight="true" outlineLevel="0" collapsed="false">
      <c r="A59" s="81" t="n">
        <v>47</v>
      </c>
      <c r="B59" s="85" t="s">
        <v>2193</v>
      </c>
      <c r="C59" s="83" t="s">
        <v>2194</v>
      </c>
      <c r="D59" s="84" t="s">
        <v>2195</v>
      </c>
      <c r="E59" s="83" t="s">
        <v>2196</v>
      </c>
      <c r="F59" s="81" t="n">
        <v>36</v>
      </c>
      <c r="G59" s="81" t="s">
        <v>334</v>
      </c>
    </row>
    <row r="60" customFormat="false" ht="33.75" hidden="false" customHeight="true" outlineLevel="0" collapsed="false">
      <c r="A60" s="81" t="n">
        <v>48</v>
      </c>
      <c r="B60" s="82" t="s">
        <v>2197</v>
      </c>
      <c r="C60" s="83" t="s">
        <v>2198</v>
      </c>
      <c r="D60" s="84" t="s">
        <v>2199</v>
      </c>
      <c r="E60" s="83" t="s">
        <v>2200</v>
      </c>
      <c r="F60" s="81" t="n">
        <v>36</v>
      </c>
      <c r="G60" s="81" t="s">
        <v>334</v>
      </c>
    </row>
    <row r="61" customFormat="false" ht="33.75" hidden="false" customHeight="true" outlineLevel="0" collapsed="false">
      <c r="A61" s="81" t="n">
        <v>49</v>
      </c>
      <c r="B61" s="82" t="s">
        <v>2201</v>
      </c>
      <c r="C61" s="83" t="s">
        <v>2202</v>
      </c>
      <c r="D61" s="84" t="s">
        <v>2203</v>
      </c>
      <c r="E61" s="83" t="s">
        <v>2204</v>
      </c>
      <c r="F61" s="81" t="n">
        <v>37</v>
      </c>
      <c r="G61" s="81" t="s">
        <v>334</v>
      </c>
    </row>
    <row r="62" customFormat="false" ht="33.75" hidden="false" customHeight="true" outlineLevel="0" collapsed="false">
      <c r="A62" s="81" t="n">
        <v>50</v>
      </c>
      <c r="B62" s="82" t="s">
        <v>2205</v>
      </c>
      <c r="C62" s="83" t="s">
        <v>2206</v>
      </c>
      <c r="D62" s="84" t="s">
        <v>2207</v>
      </c>
      <c r="E62" s="83" t="s">
        <v>2208</v>
      </c>
      <c r="F62" s="81" t="n">
        <v>37</v>
      </c>
      <c r="G62" s="81" t="s">
        <v>334</v>
      </c>
    </row>
    <row r="63" customFormat="false" ht="24" hidden="false" customHeight="true" outlineLevel="0" collapsed="false">
      <c r="A63" s="9" t="s">
        <v>2209</v>
      </c>
      <c r="B63" s="9"/>
      <c r="C63" s="9"/>
      <c r="D63" s="9"/>
      <c r="E63" s="9"/>
      <c r="F63" s="9"/>
      <c r="G63" s="9"/>
    </row>
    <row r="64" customFormat="false" ht="33.75" hidden="false" customHeight="true" outlineLevel="0" collapsed="false">
      <c r="A64" s="81" t="n">
        <v>51</v>
      </c>
      <c r="B64" s="85" t="s">
        <v>2210</v>
      </c>
      <c r="C64" s="83" t="s">
        <v>2211</v>
      </c>
      <c r="D64" s="84" t="s">
        <v>2212</v>
      </c>
      <c r="E64" s="83" t="s">
        <v>2213</v>
      </c>
      <c r="F64" s="81" t="n">
        <v>38</v>
      </c>
      <c r="G64" s="81" t="s">
        <v>334</v>
      </c>
    </row>
    <row r="65" customFormat="false" ht="33.75" hidden="false" customHeight="true" outlineLevel="0" collapsed="false">
      <c r="A65" s="81" t="n">
        <v>52</v>
      </c>
      <c r="B65" s="85" t="s">
        <v>2214</v>
      </c>
      <c r="C65" s="83" t="s">
        <v>2215</v>
      </c>
      <c r="D65" s="84" t="s">
        <v>2216</v>
      </c>
      <c r="E65" s="83" t="s">
        <v>2217</v>
      </c>
      <c r="F65" s="81" t="n">
        <v>38</v>
      </c>
      <c r="G65" s="81" t="s">
        <v>334</v>
      </c>
    </row>
    <row r="66" customFormat="false" ht="33.75" hidden="false" customHeight="true" outlineLevel="0" collapsed="false">
      <c r="A66" s="81" t="n">
        <v>53</v>
      </c>
      <c r="B66" s="85" t="s">
        <v>2218</v>
      </c>
      <c r="C66" s="83" t="s">
        <v>2219</v>
      </c>
      <c r="D66" s="84" t="s">
        <v>2220</v>
      </c>
      <c r="E66" s="83" t="s">
        <v>2221</v>
      </c>
      <c r="F66" s="81" t="n">
        <v>38</v>
      </c>
      <c r="G66" s="81" t="s">
        <v>334</v>
      </c>
    </row>
    <row r="67" customFormat="false" ht="33.75" hidden="false" customHeight="true" outlineLevel="0" collapsed="false">
      <c r="A67" s="81" t="n">
        <v>54</v>
      </c>
      <c r="B67" s="85" t="s">
        <v>2222</v>
      </c>
      <c r="C67" s="83" t="s">
        <v>2223</v>
      </c>
      <c r="D67" s="84" t="s">
        <v>2224</v>
      </c>
      <c r="E67" s="83" t="s">
        <v>2225</v>
      </c>
      <c r="F67" s="81" t="n">
        <v>39</v>
      </c>
      <c r="G67" s="81" t="s">
        <v>334</v>
      </c>
    </row>
    <row r="68" customFormat="false" ht="33.75" hidden="false" customHeight="true" outlineLevel="0" collapsed="false">
      <c r="A68" s="81" t="n">
        <v>55</v>
      </c>
      <c r="B68" s="82" t="s">
        <v>2226</v>
      </c>
      <c r="C68" s="83" t="s">
        <v>2227</v>
      </c>
      <c r="D68" s="84" t="s">
        <v>2228</v>
      </c>
      <c r="E68" s="83" t="s">
        <v>2229</v>
      </c>
      <c r="F68" s="81" t="n">
        <v>39</v>
      </c>
      <c r="G68" s="81" t="s">
        <v>334</v>
      </c>
    </row>
    <row r="69" customFormat="false" ht="24" hidden="false" customHeight="true" outlineLevel="0" collapsed="false">
      <c r="A69" s="9" t="s">
        <v>2230</v>
      </c>
      <c r="B69" s="9"/>
      <c r="C69" s="9"/>
      <c r="D69" s="9"/>
      <c r="E69" s="9"/>
      <c r="F69" s="9"/>
      <c r="G69" s="9"/>
    </row>
    <row r="70" customFormat="false" ht="33.75" hidden="false" customHeight="true" outlineLevel="0" collapsed="false">
      <c r="A70" s="81" t="n">
        <v>56</v>
      </c>
      <c r="B70" s="82" t="s">
        <v>2231</v>
      </c>
      <c r="C70" s="87" t="s">
        <v>2232</v>
      </c>
      <c r="D70" s="84" t="s">
        <v>2233</v>
      </c>
      <c r="E70" s="83" t="s">
        <v>2234</v>
      </c>
      <c r="F70" s="81" t="n">
        <v>40</v>
      </c>
      <c r="G70" s="81" t="s">
        <v>334</v>
      </c>
    </row>
    <row r="71" customFormat="false" ht="33.75" hidden="false" customHeight="true" outlineLevel="0" collapsed="false">
      <c r="A71" s="81" t="n">
        <v>57</v>
      </c>
      <c r="B71" s="82" t="s">
        <v>2235</v>
      </c>
      <c r="C71" s="83" t="s">
        <v>2236</v>
      </c>
      <c r="D71" s="84" t="s">
        <v>2237</v>
      </c>
      <c r="E71" s="83" t="s">
        <v>2238</v>
      </c>
      <c r="F71" s="81" t="n">
        <v>40</v>
      </c>
      <c r="G71" s="81" t="s">
        <v>334</v>
      </c>
    </row>
    <row r="72" customFormat="false" ht="33.75" hidden="false" customHeight="true" outlineLevel="0" collapsed="false">
      <c r="A72" s="81" t="n">
        <v>58</v>
      </c>
      <c r="B72" s="82" t="s">
        <v>2239</v>
      </c>
      <c r="C72" s="83" t="s">
        <v>2240</v>
      </c>
      <c r="D72" s="84" t="s">
        <v>2241</v>
      </c>
      <c r="E72" s="83" t="s">
        <v>2242</v>
      </c>
      <c r="F72" s="81" t="n">
        <v>41</v>
      </c>
      <c r="G72" s="81" t="s">
        <v>334</v>
      </c>
    </row>
    <row r="73" customFormat="false" ht="33.75" hidden="false" customHeight="true" outlineLevel="0" collapsed="false">
      <c r="A73" s="81" t="n">
        <v>59</v>
      </c>
      <c r="B73" s="82" t="s">
        <v>2243</v>
      </c>
      <c r="C73" s="83" t="s">
        <v>2244</v>
      </c>
      <c r="D73" s="84" t="s">
        <v>2245</v>
      </c>
      <c r="E73" s="83" t="s">
        <v>2246</v>
      </c>
      <c r="F73" s="81" t="n">
        <v>41</v>
      </c>
      <c r="G73" s="81" t="s">
        <v>334</v>
      </c>
    </row>
    <row r="74" customFormat="false" ht="24" hidden="false" customHeight="true" outlineLevel="0" collapsed="false">
      <c r="A74" s="9" t="s">
        <v>2247</v>
      </c>
      <c r="B74" s="9"/>
      <c r="C74" s="9"/>
      <c r="D74" s="9"/>
      <c r="E74" s="9"/>
      <c r="F74" s="9"/>
      <c r="G74" s="9"/>
    </row>
    <row r="75" customFormat="false" ht="33.75" hidden="false" customHeight="true" outlineLevel="0" collapsed="false">
      <c r="A75" s="81" t="n">
        <v>60</v>
      </c>
      <c r="B75" s="82" t="s">
        <v>2248</v>
      </c>
      <c r="C75" s="83" t="s">
        <v>2249</v>
      </c>
      <c r="D75" s="84" t="s">
        <v>2250</v>
      </c>
      <c r="E75" s="83" t="s">
        <v>2251</v>
      </c>
      <c r="F75" s="81" t="n">
        <v>43</v>
      </c>
      <c r="G75" s="81" t="s">
        <v>334</v>
      </c>
    </row>
    <row r="76" customFormat="false" ht="33.75" hidden="false" customHeight="true" outlineLevel="0" collapsed="false">
      <c r="A76" s="81" t="n">
        <v>61</v>
      </c>
      <c r="B76" s="82" t="s">
        <v>2252</v>
      </c>
      <c r="C76" s="83" t="s">
        <v>2253</v>
      </c>
      <c r="D76" s="84" t="s">
        <v>2254</v>
      </c>
      <c r="E76" s="83" t="s">
        <v>2255</v>
      </c>
      <c r="F76" s="81" t="n">
        <v>43</v>
      </c>
      <c r="G76" s="81" t="s">
        <v>334</v>
      </c>
    </row>
    <row r="77" customFormat="false" ht="33.75" hidden="false" customHeight="true" outlineLevel="0" collapsed="false">
      <c r="A77" s="81" t="n">
        <v>62</v>
      </c>
      <c r="B77" s="85" t="s">
        <v>2256</v>
      </c>
      <c r="C77" s="83" t="s">
        <v>2257</v>
      </c>
      <c r="D77" s="84" t="s">
        <v>2258</v>
      </c>
      <c r="E77" s="83" t="s">
        <v>2259</v>
      </c>
      <c r="F77" s="81" t="n">
        <v>44</v>
      </c>
      <c r="G77" s="81" t="s">
        <v>334</v>
      </c>
    </row>
    <row r="78" customFormat="false" ht="33.75" hidden="false" customHeight="true" outlineLevel="0" collapsed="false">
      <c r="A78" s="81" t="n">
        <v>63</v>
      </c>
      <c r="B78" s="82" t="s">
        <v>2260</v>
      </c>
      <c r="C78" s="83" t="s">
        <v>2261</v>
      </c>
      <c r="D78" s="84" t="s">
        <v>2262</v>
      </c>
      <c r="E78" s="83" t="s">
        <v>2263</v>
      </c>
      <c r="F78" s="81" t="n">
        <v>44</v>
      </c>
      <c r="G78" s="81" t="s">
        <v>334</v>
      </c>
    </row>
    <row r="79" customFormat="false" ht="24" hidden="false" customHeight="true" outlineLevel="0" collapsed="false">
      <c r="A79" s="9" t="s">
        <v>2264</v>
      </c>
      <c r="B79" s="9"/>
      <c r="C79" s="9"/>
      <c r="D79" s="9"/>
      <c r="E79" s="9"/>
      <c r="F79" s="9"/>
      <c r="G79" s="9"/>
    </row>
    <row r="80" customFormat="false" ht="33.75" hidden="false" customHeight="true" outlineLevel="0" collapsed="false">
      <c r="A80" s="81" t="n">
        <v>64</v>
      </c>
      <c r="B80" s="82" t="s">
        <v>2265</v>
      </c>
      <c r="C80" s="83" t="s">
        <v>2266</v>
      </c>
      <c r="D80" s="84" t="s">
        <v>2267</v>
      </c>
      <c r="E80" s="83" t="s">
        <v>2268</v>
      </c>
      <c r="F80" s="81" t="n">
        <v>45</v>
      </c>
      <c r="G80" s="81" t="s">
        <v>334</v>
      </c>
    </row>
    <row r="81" customFormat="false" ht="33.75" hidden="false" customHeight="true" outlineLevel="0" collapsed="false">
      <c r="A81" s="81" t="n">
        <v>65</v>
      </c>
      <c r="B81" s="82" t="s">
        <v>2269</v>
      </c>
      <c r="C81" s="83" t="s">
        <v>2270</v>
      </c>
      <c r="D81" s="84" t="s">
        <v>2271</v>
      </c>
      <c r="E81" s="83" t="s">
        <v>2272</v>
      </c>
      <c r="F81" s="81" t="n">
        <v>45</v>
      </c>
      <c r="G81" s="81" t="s">
        <v>334</v>
      </c>
    </row>
    <row r="82" customFormat="false" ht="33.75" hidden="false" customHeight="true" outlineLevel="0" collapsed="false">
      <c r="A82" s="81" t="n">
        <v>66</v>
      </c>
      <c r="B82" s="82" t="s">
        <v>2273</v>
      </c>
      <c r="C82" s="83" t="s">
        <v>2274</v>
      </c>
      <c r="D82" s="84" t="s">
        <v>2275</v>
      </c>
      <c r="E82" s="83" t="s">
        <v>2276</v>
      </c>
      <c r="F82" s="81" t="n">
        <v>46</v>
      </c>
      <c r="G82" s="81" t="s">
        <v>334</v>
      </c>
    </row>
    <row r="83" customFormat="false" ht="33.75" hidden="false" customHeight="true" outlineLevel="0" collapsed="false">
      <c r="A83" s="81" t="n">
        <v>67</v>
      </c>
      <c r="B83" s="82" t="s">
        <v>2277</v>
      </c>
      <c r="C83" s="83" t="s">
        <v>2278</v>
      </c>
      <c r="D83" s="84" t="s">
        <v>2279</v>
      </c>
      <c r="E83" s="83" t="s">
        <v>2280</v>
      </c>
      <c r="F83" s="81" t="n">
        <v>47</v>
      </c>
      <c r="G83" s="81" t="s">
        <v>334</v>
      </c>
    </row>
    <row r="84" customFormat="false" ht="24" hidden="false" customHeight="true" outlineLevel="0" collapsed="false">
      <c r="A84" s="9" t="s">
        <v>2281</v>
      </c>
      <c r="B84" s="9"/>
      <c r="C84" s="9"/>
      <c r="D84" s="9"/>
      <c r="E84" s="9"/>
      <c r="F84" s="9"/>
      <c r="G84" s="9"/>
    </row>
    <row r="85" customFormat="false" ht="33.75" hidden="false" customHeight="true" outlineLevel="0" collapsed="false">
      <c r="A85" s="81" t="n">
        <v>68</v>
      </c>
      <c r="B85" s="82" t="s">
        <v>2282</v>
      </c>
      <c r="C85" s="83" t="s">
        <v>2283</v>
      </c>
      <c r="D85" s="84" t="s">
        <v>2284</v>
      </c>
      <c r="E85" s="83" t="s">
        <v>2285</v>
      </c>
      <c r="F85" s="81" t="n">
        <v>48</v>
      </c>
      <c r="G85" s="81" t="s">
        <v>334</v>
      </c>
    </row>
    <row r="86" customFormat="false" ht="33.75" hidden="false" customHeight="true" outlineLevel="0" collapsed="false">
      <c r="A86" s="81" t="n">
        <v>69</v>
      </c>
      <c r="B86" s="82" t="s">
        <v>2286</v>
      </c>
      <c r="C86" s="83" t="s">
        <v>2287</v>
      </c>
      <c r="D86" s="84" t="s">
        <v>2288</v>
      </c>
      <c r="E86" s="83" t="s">
        <v>2289</v>
      </c>
      <c r="F86" s="81" t="n">
        <v>48</v>
      </c>
      <c r="G86" s="81" t="s">
        <v>334</v>
      </c>
    </row>
    <row r="87" customFormat="false" ht="33.75" hidden="false" customHeight="true" outlineLevel="0" collapsed="false">
      <c r="A87" s="81" t="n">
        <v>70</v>
      </c>
      <c r="B87" s="82" t="s">
        <v>2290</v>
      </c>
      <c r="C87" s="83" t="s">
        <v>2291</v>
      </c>
      <c r="D87" s="84" t="s">
        <v>2292</v>
      </c>
      <c r="E87" s="83" t="s">
        <v>2293</v>
      </c>
      <c r="F87" s="81" t="n">
        <v>50</v>
      </c>
      <c r="G87" s="81" t="s">
        <v>334</v>
      </c>
    </row>
    <row r="88" customFormat="false" ht="33.75" hidden="false" customHeight="true" outlineLevel="0" collapsed="false">
      <c r="A88" s="81" t="n">
        <v>71</v>
      </c>
      <c r="B88" s="85" t="s">
        <v>2294</v>
      </c>
      <c r="C88" s="83" t="s">
        <v>2295</v>
      </c>
      <c r="D88" s="84" t="s">
        <v>2296</v>
      </c>
      <c r="E88" s="83" t="s">
        <v>2297</v>
      </c>
      <c r="F88" s="81" t="n">
        <v>50</v>
      </c>
      <c r="G88" s="81" t="s">
        <v>334</v>
      </c>
    </row>
    <row r="89" customFormat="false" ht="24" hidden="false" customHeight="true" outlineLevel="0" collapsed="false">
      <c r="A89" s="9" t="s">
        <v>2298</v>
      </c>
      <c r="B89" s="9"/>
      <c r="C89" s="9"/>
      <c r="D89" s="9"/>
      <c r="E89" s="9"/>
      <c r="F89" s="9"/>
      <c r="G89" s="9"/>
    </row>
    <row r="90" customFormat="false" ht="33.75" hidden="false" customHeight="true" outlineLevel="0" collapsed="false">
      <c r="A90" s="81" t="n">
        <v>72</v>
      </c>
      <c r="B90" s="82" t="s">
        <v>2299</v>
      </c>
      <c r="C90" s="83" t="s">
        <v>2300</v>
      </c>
      <c r="D90" s="84" t="s">
        <v>2301</v>
      </c>
      <c r="E90" s="83" t="s">
        <v>2302</v>
      </c>
      <c r="F90" s="81" t="n">
        <v>51</v>
      </c>
      <c r="G90" s="81" t="s">
        <v>334</v>
      </c>
    </row>
    <row r="91" customFormat="false" ht="33.75" hidden="false" customHeight="true" outlineLevel="0" collapsed="false">
      <c r="A91" s="81" t="n">
        <v>73</v>
      </c>
      <c r="B91" s="82" t="s">
        <v>2303</v>
      </c>
      <c r="C91" s="83" t="s">
        <v>2304</v>
      </c>
      <c r="D91" s="84" t="s">
        <v>2305</v>
      </c>
      <c r="E91" s="83" t="s">
        <v>2306</v>
      </c>
      <c r="F91" s="81" t="n">
        <v>51</v>
      </c>
      <c r="G91" s="81" t="s">
        <v>334</v>
      </c>
    </row>
    <row r="92" customFormat="false" ht="33.75" hidden="false" customHeight="true" outlineLevel="0" collapsed="false">
      <c r="A92" s="81" t="n">
        <v>74</v>
      </c>
      <c r="B92" s="82" t="s">
        <v>2307</v>
      </c>
      <c r="C92" s="83" t="s">
        <v>2308</v>
      </c>
      <c r="D92" s="84" t="s">
        <v>2309</v>
      </c>
      <c r="E92" s="83" t="s">
        <v>2310</v>
      </c>
      <c r="F92" s="81" t="n">
        <v>51</v>
      </c>
      <c r="G92" s="81" t="s">
        <v>334</v>
      </c>
    </row>
    <row r="93" customFormat="false" ht="33.75" hidden="false" customHeight="true" outlineLevel="0" collapsed="false">
      <c r="A93" s="81" t="n">
        <v>75</v>
      </c>
      <c r="B93" s="82" t="s">
        <v>2311</v>
      </c>
      <c r="C93" s="87" t="s">
        <v>2312</v>
      </c>
      <c r="D93" s="84" t="s">
        <v>2313</v>
      </c>
      <c r="E93" s="83" t="s">
        <v>2314</v>
      </c>
      <c r="F93" s="81" t="n">
        <v>52</v>
      </c>
      <c r="G93" s="81" t="s">
        <v>334</v>
      </c>
    </row>
    <row r="94" customFormat="false" ht="33.75" hidden="false" customHeight="true" outlineLevel="0" collapsed="false">
      <c r="A94" s="81" t="n">
        <v>76</v>
      </c>
      <c r="B94" s="85" t="s">
        <v>2315</v>
      </c>
      <c r="C94" s="83" t="s">
        <v>2316</v>
      </c>
      <c r="D94" s="84" t="s">
        <v>2317</v>
      </c>
      <c r="E94" s="83" t="s">
        <v>2318</v>
      </c>
      <c r="F94" s="81" t="n">
        <v>52</v>
      </c>
      <c r="G94" s="81" t="s">
        <v>334</v>
      </c>
    </row>
    <row r="95" customFormat="false" ht="24" hidden="false" customHeight="true" outlineLevel="0" collapsed="false">
      <c r="A95" s="9" t="s">
        <v>2319</v>
      </c>
      <c r="B95" s="9"/>
      <c r="C95" s="9"/>
      <c r="D95" s="9"/>
      <c r="E95" s="9"/>
      <c r="F95" s="9"/>
      <c r="G95" s="9"/>
    </row>
    <row r="96" customFormat="false" ht="33.75" hidden="false" customHeight="true" outlineLevel="0" collapsed="false">
      <c r="A96" s="81" t="n">
        <v>77</v>
      </c>
      <c r="B96" s="82" t="s">
        <v>2320</v>
      </c>
      <c r="C96" s="83" t="s">
        <v>2321</v>
      </c>
      <c r="D96" s="84" t="s">
        <v>2322</v>
      </c>
      <c r="E96" s="83" t="s">
        <v>2323</v>
      </c>
      <c r="F96" s="81" t="n">
        <v>53</v>
      </c>
      <c r="G96" s="81" t="s">
        <v>334</v>
      </c>
    </row>
    <row r="97" customFormat="false" ht="33.75" hidden="false" customHeight="true" outlineLevel="0" collapsed="false">
      <c r="A97" s="81" t="n">
        <v>78</v>
      </c>
      <c r="B97" s="82" t="s">
        <v>2324</v>
      </c>
      <c r="C97" s="83" t="s">
        <v>2325</v>
      </c>
      <c r="D97" s="84" t="s">
        <v>2326</v>
      </c>
      <c r="E97" s="83" t="s">
        <v>2327</v>
      </c>
      <c r="F97" s="81" t="n">
        <v>53</v>
      </c>
      <c r="G97" s="81" t="s">
        <v>334</v>
      </c>
    </row>
    <row r="98" customFormat="false" ht="33.75" hidden="false" customHeight="true" outlineLevel="0" collapsed="false">
      <c r="A98" s="81" t="n">
        <v>79</v>
      </c>
      <c r="B98" s="82" t="s">
        <v>2328</v>
      </c>
      <c r="C98" s="83" t="s">
        <v>2329</v>
      </c>
      <c r="D98" s="84" t="s">
        <v>2330</v>
      </c>
      <c r="E98" s="83" t="s">
        <v>2331</v>
      </c>
      <c r="F98" s="81" t="n">
        <v>54</v>
      </c>
      <c r="G98" s="81" t="s">
        <v>334</v>
      </c>
    </row>
    <row r="99" customFormat="false" ht="33.75" hidden="false" customHeight="true" outlineLevel="0" collapsed="false">
      <c r="A99" s="81" t="n">
        <v>80</v>
      </c>
      <c r="B99" s="82" t="s">
        <v>2332</v>
      </c>
      <c r="C99" s="83" t="s">
        <v>2333</v>
      </c>
      <c r="D99" s="84" t="s">
        <v>2334</v>
      </c>
      <c r="E99" s="83" t="s">
        <v>2335</v>
      </c>
      <c r="F99" s="81" t="n">
        <v>54</v>
      </c>
      <c r="G99" s="81" t="s">
        <v>334</v>
      </c>
    </row>
    <row r="100" customFormat="false" ht="33.75" hidden="false" customHeight="true" outlineLevel="0" collapsed="false">
      <c r="A100" s="81" t="n">
        <v>81</v>
      </c>
      <c r="B100" s="85" t="s">
        <v>2336</v>
      </c>
      <c r="C100" s="83" t="s">
        <v>2337</v>
      </c>
      <c r="D100" s="86" t="s">
        <v>2338</v>
      </c>
      <c r="E100" s="83" t="s">
        <v>2339</v>
      </c>
      <c r="F100" s="81" t="n">
        <v>55</v>
      </c>
      <c r="G100" s="81" t="s">
        <v>334</v>
      </c>
    </row>
    <row r="101" customFormat="false" ht="24" hidden="false" customHeight="true" outlineLevel="0" collapsed="false">
      <c r="A101" s="9" t="s">
        <v>2340</v>
      </c>
      <c r="B101" s="9"/>
      <c r="C101" s="9"/>
      <c r="D101" s="9"/>
      <c r="E101" s="9"/>
      <c r="F101" s="9"/>
      <c r="G101" s="9"/>
    </row>
    <row r="102" customFormat="false" ht="33.75" hidden="false" customHeight="true" outlineLevel="0" collapsed="false">
      <c r="A102" s="81" t="n">
        <v>82</v>
      </c>
      <c r="B102" s="82" t="s">
        <v>2341</v>
      </c>
      <c r="C102" s="83" t="s">
        <v>2342</v>
      </c>
      <c r="D102" s="84" t="s">
        <v>2343</v>
      </c>
      <c r="E102" s="83" t="s">
        <v>2344</v>
      </c>
      <c r="F102" s="81" t="n">
        <v>57</v>
      </c>
      <c r="G102" s="81" t="s">
        <v>334</v>
      </c>
    </row>
    <row r="103" customFormat="false" ht="33.75" hidden="false" customHeight="true" outlineLevel="0" collapsed="false">
      <c r="A103" s="81" t="n">
        <v>83</v>
      </c>
      <c r="B103" s="82" t="s">
        <v>2345</v>
      </c>
      <c r="C103" s="83" t="s">
        <v>2346</v>
      </c>
      <c r="D103" s="84" t="s">
        <v>2347</v>
      </c>
      <c r="E103" s="83" t="s">
        <v>2348</v>
      </c>
      <c r="F103" s="81" t="n">
        <v>57</v>
      </c>
      <c r="G103" s="81" t="s">
        <v>334</v>
      </c>
    </row>
    <row r="104" customFormat="false" ht="33.75" hidden="false" customHeight="true" outlineLevel="0" collapsed="false">
      <c r="A104" s="81" t="n">
        <v>84</v>
      </c>
      <c r="B104" s="82" t="s">
        <v>2349</v>
      </c>
      <c r="C104" s="83" t="s">
        <v>2350</v>
      </c>
      <c r="D104" s="84" t="s">
        <v>2351</v>
      </c>
      <c r="E104" s="83" t="s">
        <v>2352</v>
      </c>
      <c r="F104" s="81" t="n">
        <v>57</v>
      </c>
      <c r="G104" s="81" t="s">
        <v>334</v>
      </c>
    </row>
    <row r="105" customFormat="false" ht="33.75" hidden="false" customHeight="true" outlineLevel="0" collapsed="false">
      <c r="A105" s="81" t="n">
        <v>85</v>
      </c>
      <c r="B105" s="85" t="s">
        <v>2353</v>
      </c>
      <c r="C105" s="83" t="s">
        <v>2354</v>
      </c>
      <c r="D105" s="84" t="s">
        <v>2355</v>
      </c>
      <c r="E105" s="83" t="s">
        <v>2356</v>
      </c>
      <c r="F105" s="81" t="n">
        <v>58</v>
      </c>
      <c r="G105" s="81" t="s">
        <v>334</v>
      </c>
    </row>
    <row r="106" customFormat="false" ht="33.75" hidden="false" customHeight="true" outlineLevel="0" collapsed="false">
      <c r="A106" s="81" t="n">
        <v>86</v>
      </c>
      <c r="B106" s="82" t="s">
        <v>2357</v>
      </c>
      <c r="C106" s="83" t="s">
        <v>2358</v>
      </c>
      <c r="D106" s="84" t="s">
        <v>2359</v>
      </c>
      <c r="E106" s="83" t="s">
        <v>2360</v>
      </c>
      <c r="F106" s="81" t="n">
        <v>58</v>
      </c>
      <c r="G106" s="81" t="s">
        <v>334</v>
      </c>
    </row>
    <row r="107" customFormat="false" ht="24" hidden="false" customHeight="true" outlineLevel="0" collapsed="false">
      <c r="A107" s="9" t="s">
        <v>2361</v>
      </c>
      <c r="B107" s="9"/>
      <c r="C107" s="9"/>
      <c r="D107" s="9"/>
      <c r="E107" s="9"/>
      <c r="F107" s="9"/>
      <c r="G107" s="9"/>
    </row>
    <row r="108" customFormat="false" ht="33.75" hidden="false" customHeight="true" outlineLevel="0" collapsed="false">
      <c r="A108" s="81" t="n">
        <v>87</v>
      </c>
      <c r="B108" s="82" t="s">
        <v>2362</v>
      </c>
      <c r="C108" s="83" t="s">
        <v>2363</v>
      </c>
      <c r="D108" s="84" t="s">
        <v>2364</v>
      </c>
      <c r="E108" s="83" t="s">
        <v>2365</v>
      </c>
      <c r="F108" s="81" t="n">
        <v>59</v>
      </c>
      <c r="G108" s="81" t="s">
        <v>334</v>
      </c>
    </row>
    <row r="109" customFormat="false" ht="33.75" hidden="false" customHeight="true" outlineLevel="0" collapsed="false">
      <c r="A109" s="81" t="n">
        <v>88</v>
      </c>
      <c r="B109" s="82" t="s">
        <v>2366</v>
      </c>
      <c r="C109" s="83" t="s">
        <v>2367</v>
      </c>
      <c r="D109" s="84" t="s">
        <v>2368</v>
      </c>
      <c r="E109" s="83" t="s">
        <v>2369</v>
      </c>
      <c r="F109" s="81" t="n">
        <v>59</v>
      </c>
      <c r="G109" s="81" t="s">
        <v>334</v>
      </c>
    </row>
    <row r="110" customFormat="false" ht="33.75" hidden="false" customHeight="true" outlineLevel="0" collapsed="false">
      <c r="A110" s="81" t="n">
        <v>89</v>
      </c>
      <c r="B110" s="82" t="s">
        <v>2370</v>
      </c>
      <c r="C110" s="83" t="s">
        <v>2371</v>
      </c>
      <c r="D110" s="84" t="s">
        <v>2372</v>
      </c>
      <c r="E110" s="83" t="s">
        <v>2373</v>
      </c>
      <c r="F110" s="81" t="n">
        <v>60</v>
      </c>
      <c r="G110" s="81" t="s">
        <v>334</v>
      </c>
    </row>
    <row r="111" customFormat="false" ht="33.75" hidden="false" customHeight="true" outlineLevel="0" collapsed="false">
      <c r="A111" s="81" t="n">
        <v>90</v>
      </c>
      <c r="B111" s="82" t="s">
        <v>2374</v>
      </c>
      <c r="C111" s="83" t="s">
        <v>2375</v>
      </c>
      <c r="D111" s="84" t="s">
        <v>2376</v>
      </c>
      <c r="E111" s="83" t="s">
        <v>2377</v>
      </c>
      <c r="F111" s="81" t="n">
        <v>61</v>
      </c>
      <c r="G111" s="81" t="s">
        <v>334</v>
      </c>
    </row>
    <row r="112" customFormat="false" ht="24" hidden="false" customHeight="true" outlineLevel="0" collapsed="false">
      <c r="A112" s="9" t="s">
        <v>2378</v>
      </c>
      <c r="B112" s="9"/>
      <c r="C112" s="9"/>
      <c r="D112" s="9"/>
      <c r="E112" s="9"/>
      <c r="F112" s="9"/>
      <c r="G112" s="9"/>
    </row>
    <row r="113" customFormat="false" ht="33.75" hidden="false" customHeight="true" outlineLevel="0" collapsed="false">
      <c r="A113" s="81" t="n">
        <v>91</v>
      </c>
      <c r="B113" s="82" t="s">
        <v>2379</v>
      </c>
      <c r="C113" s="87" t="s">
        <v>2380</v>
      </c>
      <c r="D113" s="84" t="s">
        <v>2381</v>
      </c>
      <c r="E113" s="83" t="s">
        <v>2382</v>
      </c>
      <c r="F113" s="81" t="n">
        <v>62</v>
      </c>
      <c r="G113" s="81" t="s">
        <v>334</v>
      </c>
    </row>
    <row r="114" customFormat="false" ht="33.75" hidden="false" customHeight="true" outlineLevel="0" collapsed="false">
      <c r="A114" s="81" t="n">
        <v>92</v>
      </c>
      <c r="B114" s="82" t="s">
        <v>2383</v>
      </c>
      <c r="C114" s="87" t="s">
        <v>2384</v>
      </c>
      <c r="D114" s="84" t="s">
        <v>2385</v>
      </c>
      <c r="E114" s="83" t="s">
        <v>2386</v>
      </c>
      <c r="F114" s="81" t="n">
        <v>62</v>
      </c>
      <c r="G114" s="81" t="s">
        <v>334</v>
      </c>
    </row>
    <row r="115" customFormat="false" ht="33.75" hidden="false" customHeight="true" outlineLevel="0" collapsed="false">
      <c r="A115" s="81" t="n">
        <v>93</v>
      </c>
      <c r="B115" s="82" t="s">
        <v>2387</v>
      </c>
      <c r="C115" s="83" t="s">
        <v>2388</v>
      </c>
      <c r="D115" s="84" t="s">
        <v>2389</v>
      </c>
      <c r="E115" s="83" t="s">
        <v>2390</v>
      </c>
      <c r="F115" s="81" t="n">
        <v>64</v>
      </c>
      <c r="G115" s="81" t="s">
        <v>334</v>
      </c>
    </row>
    <row r="116" customFormat="false" ht="33.75" hidden="false" customHeight="true" outlineLevel="0" collapsed="false">
      <c r="A116" s="81" t="n">
        <v>94</v>
      </c>
      <c r="B116" s="82" t="s">
        <v>2391</v>
      </c>
      <c r="C116" s="83" t="s">
        <v>2392</v>
      </c>
      <c r="D116" s="84" t="s">
        <v>2393</v>
      </c>
      <c r="E116" s="83" t="s">
        <v>2394</v>
      </c>
      <c r="F116" s="81" t="n">
        <v>65</v>
      </c>
      <c r="G116" s="81" t="s">
        <v>334</v>
      </c>
    </row>
    <row r="117" customFormat="false" ht="24" hidden="false" customHeight="true" outlineLevel="0" collapsed="false">
      <c r="A117" s="9" t="s">
        <v>2395</v>
      </c>
      <c r="B117" s="9"/>
      <c r="C117" s="9"/>
      <c r="D117" s="9"/>
      <c r="E117" s="9"/>
      <c r="F117" s="9"/>
      <c r="G117" s="9"/>
    </row>
    <row r="118" customFormat="false" ht="33.75" hidden="false" customHeight="true" outlineLevel="0" collapsed="false">
      <c r="A118" s="81" t="n">
        <v>95</v>
      </c>
      <c r="B118" s="85" t="s">
        <v>2396</v>
      </c>
      <c r="C118" s="83" t="s">
        <v>2397</v>
      </c>
      <c r="D118" s="84" t="s">
        <v>2398</v>
      </c>
      <c r="E118" s="83" t="s">
        <v>2399</v>
      </c>
      <c r="F118" s="81" t="n">
        <v>66</v>
      </c>
      <c r="G118" s="81" t="s">
        <v>334</v>
      </c>
    </row>
    <row r="119" customFormat="false" ht="33.75" hidden="false" customHeight="true" outlineLevel="0" collapsed="false">
      <c r="A119" s="81" t="n">
        <v>96</v>
      </c>
      <c r="B119" s="85" t="s">
        <v>2400</v>
      </c>
      <c r="C119" s="83" t="s">
        <v>2401</v>
      </c>
      <c r="D119" s="84" t="s">
        <v>2402</v>
      </c>
      <c r="E119" s="83" t="s">
        <v>2403</v>
      </c>
      <c r="F119" s="81" t="n">
        <v>66</v>
      </c>
      <c r="G119" s="81" t="s">
        <v>334</v>
      </c>
    </row>
    <row r="120" customFormat="false" ht="33.75" hidden="false" customHeight="true" outlineLevel="0" collapsed="false">
      <c r="A120" s="81" t="n">
        <v>97</v>
      </c>
      <c r="B120" s="85" t="s">
        <v>2404</v>
      </c>
      <c r="C120" s="83" t="s">
        <v>2405</v>
      </c>
      <c r="D120" s="84" t="s">
        <v>2406</v>
      </c>
      <c r="E120" s="83" t="s">
        <v>2407</v>
      </c>
      <c r="F120" s="81" t="n">
        <v>67</v>
      </c>
      <c r="G120" s="81" t="s">
        <v>334</v>
      </c>
    </row>
    <row r="121" customFormat="false" ht="33.75" hidden="false" customHeight="true" outlineLevel="0" collapsed="false">
      <c r="A121" s="81" t="n">
        <v>98</v>
      </c>
      <c r="B121" s="82" t="s">
        <v>2408</v>
      </c>
      <c r="C121" s="87" t="s">
        <v>2409</v>
      </c>
      <c r="D121" s="84" t="s">
        <v>2410</v>
      </c>
      <c r="E121" s="83" t="s">
        <v>2411</v>
      </c>
      <c r="F121" s="81" t="n">
        <v>67</v>
      </c>
      <c r="G121" s="81" t="s">
        <v>334</v>
      </c>
    </row>
    <row r="122" customFormat="false" ht="24" hidden="false" customHeight="true" outlineLevel="0" collapsed="false">
      <c r="A122" s="9" t="s">
        <v>2412</v>
      </c>
      <c r="B122" s="9"/>
      <c r="C122" s="9"/>
      <c r="D122" s="9"/>
      <c r="E122" s="9"/>
      <c r="F122" s="9"/>
      <c r="G122" s="9"/>
    </row>
    <row r="123" customFormat="false" ht="33.75" hidden="false" customHeight="true" outlineLevel="0" collapsed="false">
      <c r="A123" s="81" t="n">
        <v>99</v>
      </c>
      <c r="B123" s="85" t="s">
        <v>2413</v>
      </c>
      <c r="C123" s="83" t="s">
        <v>2414</v>
      </c>
      <c r="D123" s="84" t="s">
        <v>2415</v>
      </c>
      <c r="E123" s="83" t="s">
        <v>2416</v>
      </c>
      <c r="F123" s="81" t="n">
        <v>68</v>
      </c>
      <c r="G123" s="81" t="s">
        <v>334</v>
      </c>
    </row>
    <row r="124" customFormat="false" ht="33.75" hidden="false" customHeight="true" outlineLevel="0" collapsed="false">
      <c r="A124" s="81" t="n">
        <v>100</v>
      </c>
      <c r="B124" s="82" t="s">
        <v>2417</v>
      </c>
      <c r="C124" s="83" t="s">
        <v>2418</v>
      </c>
      <c r="D124" s="84" t="s">
        <v>2419</v>
      </c>
      <c r="E124" s="83" t="s">
        <v>2420</v>
      </c>
      <c r="F124" s="81" t="n">
        <v>68</v>
      </c>
      <c r="G124" s="81" t="s">
        <v>334</v>
      </c>
    </row>
    <row r="125" customFormat="false" ht="33.75" hidden="false" customHeight="true" outlineLevel="0" collapsed="false">
      <c r="A125" s="81" t="n">
        <v>101</v>
      </c>
      <c r="B125" s="82" t="s">
        <v>2421</v>
      </c>
      <c r="C125" s="83" t="s">
        <v>2422</v>
      </c>
      <c r="D125" s="84" t="s">
        <v>2423</v>
      </c>
      <c r="E125" s="83" t="s">
        <v>2424</v>
      </c>
      <c r="F125" s="81" t="n">
        <v>69</v>
      </c>
      <c r="G125" s="81" t="s">
        <v>334</v>
      </c>
    </row>
    <row r="126" customFormat="false" ht="24" hidden="false" customHeight="true" outlineLevel="0" collapsed="false">
      <c r="A126" s="9" t="s">
        <v>2425</v>
      </c>
      <c r="B126" s="9"/>
      <c r="C126" s="9"/>
      <c r="D126" s="9"/>
      <c r="E126" s="9"/>
      <c r="F126" s="9"/>
      <c r="G126" s="9"/>
    </row>
    <row r="127" customFormat="false" ht="33.75" hidden="false" customHeight="true" outlineLevel="0" collapsed="false">
      <c r="A127" s="81" t="n">
        <v>102</v>
      </c>
      <c r="B127" s="85" t="s">
        <v>2426</v>
      </c>
      <c r="C127" s="83" t="s">
        <v>2427</v>
      </c>
      <c r="D127" s="84" t="s">
        <v>2428</v>
      </c>
      <c r="E127" s="83" t="s">
        <v>2429</v>
      </c>
      <c r="F127" s="81" t="n">
        <v>71</v>
      </c>
      <c r="G127" s="81" t="s">
        <v>334</v>
      </c>
    </row>
    <row r="128" customFormat="false" ht="33.75" hidden="false" customHeight="true" outlineLevel="0" collapsed="false">
      <c r="A128" s="81" t="n">
        <v>103</v>
      </c>
      <c r="B128" s="82" t="s">
        <v>2430</v>
      </c>
      <c r="C128" s="83" t="s">
        <v>2431</v>
      </c>
      <c r="D128" s="84" t="s">
        <v>2432</v>
      </c>
      <c r="E128" s="83" t="s">
        <v>2433</v>
      </c>
      <c r="F128" s="81" t="n">
        <v>71</v>
      </c>
      <c r="G128" s="81" t="s">
        <v>334</v>
      </c>
    </row>
    <row r="129" customFormat="false" ht="33.75" hidden="false" customHeight="true" outlineLevel="0" collapsed="false">
      <c r="A129" s="81" t="n">
        <v>104</v>
      </c>
      <c r="B129" s="82" t="s">
        <v>2434</v>
      </c>
      <c r="C129" s="83" t="s">
        <v>2435</v>
      </c>
      <c r="D129" s="84" t="s">
        <v>2436</v>
      </c>
      <c r="E129" s="83" t="s">
        <v>2437</v>
      </c>
      <c r="F129" s="81" t="n">
        <v>72</v>
      </c>
      <c r="G129" s="81" t="s">
        <v>334</v>
      </c>
    </row>
    <row r="130" customFormat="false" ht="24" hidden="false" customHeight="true" outlineLevel="0" collapsed="false">
      <c r="A130" s="9" t="s">
        <v>2438</v>
      </c>
      <c r="B130" s="9"/>
      <c r="C130" s="9"/>
      <c r="D130" s="9"/>
      <c r="E130" s="9"/>
      <c r="F130" s="9"/>
      <c r="G130" s="9"/>
    </row>
    <row r="131" customFormat="false" ht="33.75" hidden="false" customHeight="true" outlineLevel="0" collapsed="false">
      <c r="A131" s="81" t="n">
        <v>105</v>
      </c>
      <c r="B131" s="82" t="s">
        <v>2439</v>
      </c>
      <c r="C131" s="83" t="s">
        <v>2440</v>
      </c>
      <c r="D131" s="84" t="s">
        <v>2441</v>
      </c>
      <c r="E131" s="83" t="s">
        <v>2442</v>
      </c>
      <c r="F131" s="81" t="n">
        <v>73</v>
      </c>
      <c r="G131" s="81" t="s">
        <v>334</v>
      </c>
    </row>
    <row r="132" customFormat="false" ht="33.75" hidden="false" customHeight="true" outlineLevel="0" collapsed="false">
      <c r="A132" s="81" t="n">
        <v>106</v>
      </c>
      <c r="B132" s="82" t="s">
        <v>2443</v>
      </c>
      <c r="C132" s="83" t="s">
        <v>2444</v>
      </c>
      <c r="D132" s="84" t="s">
        <v>2445</v>
      </c>
      <c r="E132" s="83" t="s">
        <v>2446</v>
      </c>
      <c r="F132" s="81" t="n">
        <v>73</v>
      </c>
      <c r="G132" s="81" t="s">
        <v>334</v>
      </c>
    </row>
    <row r="133" customFormat="false" ht="33.75" hidden="false" customHeight="true" outlineLevel="0" collapsed="false">
      <c r="A133" s="81" t="n">
        <v>107</v>
      </c>
      <c r="B133" s="82" t="s">
        <v>2447</v>
      </c>
      <c r="C133" s="83" t="s">
        <v>2448</v>
      </c>
      <c r="D133" s="84" t="s">
        <v>2449</v>
      </c>
      <c r="E133" s="83" t="s">
        <v>2450</v>
      </c>
      <c r="F133" s="81" t="n">
        <v>74</v>
      </c>
      <c r="G133" s="81" t="s">
        <v>334</v>
      </c>
    </row>
    <row r="134" customFormat="false" ht="33.75" hidden="false" customHeight="true" outlineLevel="0" collapsed="false">
      <c r="A134" s="81" t="n">
        <v>108</v>
      </c>
      <c r="B134" s="82" t="s">
        <v>2451</v>
      </c>
      <c r="C134" s="83" t="s">
        <v>2452</v>
      </c>
      <c r="D134" s="84" t="s">
        <v>2453</v>
      </c>
      <c r="E134" s="83" t="s">
        <v>2454</v>
      </c>
      <c r="F134" s="81" t="n">
        <v>74</v>
      </c>
      <c r="G134" s="81" t="s">
        <v>334</v>
      </c>
    </row>
    <row r="135" customFormat="false" ht="24" hidden="false" customHeight="true" outlineLevel="0" collapsed="false">
      <c r="A135" s="9" t="s">
        <v>2455</v>
      </c>
      <c r="B135" s="9"/>
      <c r="C135" s="9"/>
      <c r="D135" s="9"/>
      <c r="E135" s="9"/>
      <c r="F135" s="9"/>
      <c r="G135" s="9"/>
    </row>
    <row r="136" customFormat="false" ht="33.75" hidden="false" customHeight="true" outlineLevel="0" collapsed="false">
      <c r="A136" s="81" t="n">
        <v>109</v>
      </c>
      <c r="B136" s="85" t="s">
        <v>2456</v>
      </c>
      <c r="C136" s="83" t="s">
        <v>2457</v>
      </c>
      <c r="D136" s="84" t="s">
        <v>2458</v>
      </c>
      <c r="E136" s="83" t="s">
        <v>2459</v>
      </c>
      <c r="F136" s="81" t="n">
        <v>75</v>
      </c>
      <c r="G136" s="81" t="s">
        <v>334</v>
      </c>
    </row>
    <row r="137" customFormat="false" ht="33.75" hidden="false" customHeight="true" outlineLevel="0" collapsed="false">
      <c r="A137" s="81" t="n">
        <v>110</v>
      </c>
      <c r="B137" s="82" t="s">
        <v>2460</v>
      </c>
      <c r="C137" s="83" t="s">
        <v>2461</v>
      </c>
      <c r="D137" s="84" t="s">
        <v>2462</v>
      </c>
      <c r="E137" s="83" t="s">
        <v>2463</v>
      </c>
      <c r="F137" s="81" t="n">
        <v>75</v>
      </c>
      <c r="G137" s="81" t="s">
        <v>334</v>
      </c>
    </row>
    <row r="138" customFormat="false" ht="33.75" hidden="false" customHeight="true" outlineLevel="0" collapsed="false">
      <c r="A138" s="81" t="n">
        <v>111</v>
      </c>
      <c r="B138" s="85" t="s">
        <v>2464</v>
      </c>
      <c r="C138" s="87" t="s">
        <v>2465</v>
      </c>
      <c r="D138" s="84" t="s">
        <v>2466</v>
      </c>
      <c r="E138" s="83" t="s">
        <v>2467</v>
      </c>
      <c r="F138" s="81" t="n">
        <v>76</v>
      </c>
      <c r="G138" s="81" t="s">
        <v>334</v>
      </c>
    </row>
    <row r="139" customFormat="false" ht="33.75" hidden="false" customHeight="true" outlineLevel="0" collapsed="false">
      <c r="A139" s="81" t="n">
        <v>112</v>
      </c>
      <c r="B139" s="85" t="s">
        <v>2468</v>
      </c>
      <c r="C139" s="83" t="s">
        <v>2469</v>
      </c>
      <c r="D139" s="84" t="s">
        <v>2470</v>
      </c>
      <c r="E139" s="83" t="s">
        <v>2471</v>
      </c>
      <c r="F139" s="81" t="n">
        <v>76</v>
      </c>
      <c r="G139" s="81" t="s">
        <v>334</v>
      </c>
    </row>
  </sheetData>
  <mergeCells count="26">
    <mergeCell ref="A1:G1"/>
    <mergeCell ref="A3:G3"/>
    <mergeCell ref="A9:G9"/>
    <mergeCell ref="A15:G15"/>
    <mergeCell ref="A21:G21"/>
    <mergeCell ref="A28:G28"/>
    <mergeCell ref="A34:G34"/>
    <mergeCell ref="A40:G40"/>
    <mergeCell ref="A46:G46"/>
    <mergeCell ref="A52:G52"/>
    <mergeCell ref="A58:G58"/>
    <mergeCell ref="A63:G63"/>
    <mergeCell ref="A69:G69"/>
    <mergeCell ref="A74:G74"/>
    <mergeCell ref="A79:G79"/>
    <mergeCell ref="A84:G84"/>
    <mergeCell ref="A89:G89"/>
    <mergeCell ref="A95:G95"/>
    <mergeCell ref="A101:G101"/>
    <mergeCell ref="A107:G107"/>
    <mergeCell ref="A112:G112"/>
    <mergeCell ref="A117:G117"/>
    <mergeCell ref="A122:G122"/>
    <mergeCell ref="A126:G126"/>
    <mergeCell ref="A130:G130"/>
    <mergeCell ref="A135:G135"/>
  </mergeCells>
  <conditionalFormatting sqref="A3:G139">
    <cfRule type="expression" priority="2" aboveAverage="0" equalAverage="0" bottom="0" percent="0" rank="0" text="" dxfId="8">
      <formula>$G3="Xong"</formula>
    </cfRule>
    <cfRule type="expression" priority="3" aboveAverage="0" equalAverage="0" bottom="0" percent="0" rank="0" text="" dxfId="9">
      <formula>$G3="Đang học"</formula>
    </cfRule>
  </conditionalFormatting>
  <dataValidations count="1">
    <dataValidation allowBlank="true" errorStyle="stop" operator="between" showDropDown="false" showErrorMessage="false" showInputMessage="false" sqref="G3:G139" type="list">
      <formula1>"Chưa học,Đang học,Xong"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H3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6"/>
    <col collapsed="false" customWidth="true" hidden="false" outlineLevel="0" max="4" min="4" style="0" width="28"/>
    <col collapsed="false" customWidth="true" hidden="false" outlineLevel="0" max="5" min="5" style="0" width="74"/>
    <col collapsed="false" customWidth="true" hidden="false" outlineLevel="0" max="6" min="6" style="0" width="10"/>
    <col collapsed="false" customWidth="true" hidden="false" outlineLevel="0" max="7" min="7" style="0" width="12"/>
    <col collapsed="false" customWidth="true" hidden="false" outlineLevel="0" max="8" min="8" style="0" width="28"/>
  </cols>
  <sheetData>
    <row r="1" customFormat="false" ht="31.5" hidden="false" customHeight="true" outlineLevel="0" collapsed="false">
      <c r="A1" s="15" t="s">
        <v>2472</v>
      </c>
      <c r="B1" s="15"/>
      <c r="C1" s="15"/>
      <c r="D1" s="15"/>
      <c r="E1" s="15"/>
      <c r="F1" s="15"/>
      <c r="G1" s="15"/>
      <c r="H1" s="15"/>
    </row>
    <row r="2" customFormat="false" ht="30" hidden="false" customHeight="true" outlineLevel="0" collapsed="false">
      <c r="A2" s="72" t="s">
        <v>2473</v>
      </c>
      <c r="B2" s="72"/>
      <c r="C2" s="72"/>
      <c r="D2" s="72"/>
      <c r="E2" s="72"/>
      <c r="F2" s="72"/>
      <c r="G2" s="72"/>
      <c r="H2" s="72"/>
    </row>
    <row r="3" customFormat="false" ht="30" hidden="false" customHeight="true" outlineLevel="0" collapsed="false">
      <c r="A3" s="16" t="s">
        <v>778</v>
      </c>
      <c r="B3" s="16" t="s">
        <v>2474</v>
      </c>
      <c r="C3" s="16" t="s">
        <v>80</v>
      </c>
      <c r="D3" s="16" t="s">
        <v>2475</v>
      </c>
      <c r="E3" s="16" t="s">
        <v>2476</v>
      </c>
      <c r="F3" s="16" t="s">
        <v>782</v>
      </c>
      <c r="G3" s="16" t="s">
        <v>330</v>
      </c>
      <c r="H3" s="16" t="s">
        <v>2477</v>
      </c>
    </row>
    <row r="4" customFormat="false" ht="24" hidden="false" customHeight="true" outlineLevel="0" collapsed="false">
      <c r="A4" s="9" t="s">
        <v>2478</v>
      </c>
      <c r="B4" s="9"/>
      <c r="C4" s="9"/>
      <c r="D4" s="9"/>
      <c r="E4" s="9"/>
      <c r="F4" s="9"/>
      <c r="G4" s="9"/>
      <c r="H4" s="9"/>
    </row>
    <row r="5" customFormat="false" ht="30" hidden="false" customHeight="true" outlineLevel="0" collapsed="false">
      <c r="A5" s="81" t="n">
        <v>1</v>
      </c>
      <c r="B5" s="85" t="s">
        <v>2479</v>
      </c>
      <c r="C5" s="88" t="s">
        <v>2480</v>
      </c>
      <c r="D5" s="83" t="s">
        <v>2481</v>
      </c>
      <c r="E5" s="83" t="s">
        <v>2482</v>
      </c>
      <c r="F5" s="81" t="n">
        <v>15</v>
      </c>
      <c r="G5" s="81" t="s">
        <v>334</v>
      </c>
      <c r="H5" s="83"/>
    </row>
    <row r="6" customFormat="false" ht="30" hidden="false" customHeight="true" outlineLevel="0" collapsed="false">
      <c r="A6" s="81" t="n">
        <v>2</v>
      </c>
      <c r="B6" s="85" t="s">
        <v>2483</v>
      </c>
      <c r="C6" s="88"/>
      <c r="D6" s="83" t="s">
        <v>2484</v>
      </c>
      <c r="E6" s="83" t="s">
        <v>2485</v>
      </c>
      <c r="F6" s="81" t="n">
        <v>15</v>
      </c>
      <c r="G6" s="81" t="s">
        <v>334</v>
      </c>
      <c r="H6" s="83"/>
    </row>
    <row r="7" customFormat="false" ht="30" hidden="false" customHeight="true" outlineLevel="0" collapsed="false">
      <c r="A7" s="81" t="n">
        <v>3</v>
      </c>
      <c r="B7" s="85" t="s">
        <v>2486</v>
      </c>
      <c r="C7" s="88" t="s">
        <v>2487</v>
      </c>
      <c r="D7" s="83" t="s">
        <v>2488</v>
      </c>
      <c r="E7" s="83" t="s">
        <v>2489</v>
      </c>
      <c r="F7" s="81" t="n">
        <v>15</v>
      </c>
      <c r="G7" s="81" t="s">
        <v>334</v>
      </c>
      <c r="H7" s="83"/>
    </row>
    <row r="8" customFormat="false" ht="30" hidden="false" customHeight="true" outlineLevel="0" collapsed="false">
      <c r="A8" s="81" t="n">
        <v>4</v>
      </c>
      <c r="B8" s="85" t="s">
        <v>2490</v>
      </c>
      <c r="C8" s="88" t="s">
        <v>2491</v>
      </c>
      <c r="D8" s="83" t="s">
        <v>2492</v>
      </c>
      <c r="E8" s="83" t="s">
        <v>2493</v>
      </c>
      <c r="F8" s="81" t="n">
        <v>15</v>
      </c>
      <c r="G8" s="81" t="s">
        <v>334</v>
      </c>
      <c r="H8" s="83"/>
    </row>
    <row r="9" customFormat="false" ht="30" hidden="false" customHeight="true" outlineLevel="0" collapsed="false">
      <c r="A9" s="81" t="n">
        <v>5</v>
      </c>
      <c r="B9" s="85" t="s">
        <v>2494</v>
      </c>
      <c r="C9" s="88" t="s">
        <v>2495</v>
      </c>
      <c r="D9" s="83" t="s">
        <v>2496</v>
      </c>
      <c r="E9" s="83" t="s">
        <v>2497</v>
      </c>
      <c r="F9" s="81" t="n">
        <v>15</v>
      </c>
      <c r="G9" s="81" t="s">
        <v>334</v>
      </c>
      <c r="H9" s="83"/>
    </row>
    <row r="10" customFormat="false" ht="30" hidden="false" customHeight="true" outlineLevel="0" collapsed="false">
      <c r="A10" s="81" t="n">
        <v>6</v>
      </c>
      <c r="B10" s="85" t="s">
        <v>2498</v>
      </c>
      <c r="C10" s="88" t="s">
        <v>2499</v>
      </c>
      <c r="D10" s="83" t="s">
        <v>2500</v>
      </c>
      <c r="E10" s="83" t="s">
        <v>2501</v>
      </c>
      <c r="F10" s="81" t="n">
        <v>15</v>
      </c>
      <c r="G10" s="81" t="s">
        <v>334</v>
      </c>
      <c r="H10" s="83"/>
    </row>
    <row r="11" customFormat="false" ht="30" hidden="false" customHeight="true" outlineLevel="0" collapsed="false">
      <c r="A11" s="81" t="n">
        <v>7</v>
      </c>
      <c r="B11" s="85" t="s">
        <v>2502</v>
      </c>
      <c r="C11" s="88" t="s">
        <v>2503</v>
      </c>
      <c r="D11" s="83" t="s">
        <v>2504</v>
      </c>
      <c r="E11" s="83" t="s">
        <v>2505</v>
      </c>
      <c r="F11" s="81" t="n">
        <v>15</v>
      </c>
      <c r="G11" s="81" t="s">
        <v>334</v>
      </c>
      <c r="H11" s="83"/>
    </row>
    <row r="12" customFormat="false" ht="30" hidden="false" customHeight="true" outlineLevel="0" collapsed="false">
      <c r="A12" s="81" t="n">
        <v>8</v>
      </c>
      <c r="B12" s="85" t="s">
        <v>2506</v>
      </c>
      <c r="C12" s="88" t="s">
        <v>2507</v>
      </c>
      <c r="D12" s="83" t="s">
        <v>2508</v>
      </c>
      <c r="E12" s="83" t="s">
        <v>2509</v>
      </c>
      <c r="F12" s="81" t="n">
        <v>16</v>
      </c>
      <c r="G12" s="81" t="s">
        <v>334</v>
      </c>
      <c r="H12" s="83"/>
    </row>
    <row r="13" customFormat="false" ht="30" hidden="false" customHeight="true" outlineLevel="0" collapsed="false">
      <c r="A13" s="81" t="n">
        <v>9</v>
      </c>
      <c r="B13" s="85" t="s">
        <v>2510</v>
      </c>
      <c r="C13" s="88" t="s">
        <v>2511</v>
      </c>
      <c r="D13" s="83" t="s">
        <v>2512</v>
      </c>
      <c r="E13" s="83" t="s">
        <v>2513</v>
      </c>
      <c r="F13" s="81" t="n">
        <v>16</v>
      </c>
      <c r="G13" s="81" t="s">
        <v>334</v>
      </c>
      <c r="H13" s="83"/>
    </row>
    <row r="14" customFormat="false" ht="30" hidden="false" customHeight="true" outlineLevel="0" collapsed="false">
      <c r="A14" s="81" t="n">
        <v>10</v>
      </c>
      <c r="B14" s="85" t="s">
        <v>2514</v>
      </c>
      <c r="C14" s="88"/>
      <c r="D14" s="83" t="s">
        <v>2515</v>
      </c>
      <c r="E14" s="83" t="s">
        <v>2516</v>
      </c>
      <c r="F14" s="81" t="n">
        <v>16</v>
      </c>
      <c r="G14" s="81" t="s">
        <v>334</v>
      </c>
      <c r="H14" s="83"/>
    </row>
    <row r="15" customFormat="false" ht="30" hidden="false" customHeight="true" outlineLevel="0" collapsed="false">
      <c r="A15" s="81" t="n">
        <v>11</v>
      </c>
      <c r="B15" s="85" t="s">
        <v>2517</v>
      </c>
      <c r="C15" s="88"/>
      <c r="D15" s="83" t="s">
        <v>2518</v>
      </c>
      <c r="E15" s="83" t="s">
        <v>2519</v>
      </c>
      <c r="F15" s="81" t="n">
        <v>16</v>
      </c>
      <c r="G15" s="81" t="s">
        <v>334</v>
      </c>
      <c r="H15" s="83"/>
    </row>
    <row r="16" customFormat="false" ht="30" hidden="false" customHeight="true" outlineLevel="0" collapsed="false">
      <c r="A16" s="81" t="n">
        <v>12</v>
      </c>
      <c r="B16" s="85" t="s">
        <v>2520</v>
      </c>
      <c r="C16" s="88" t="s">
        <v>2521</v>
      </c>
      <c r="D16" s="83" t="s">
        <v>2522</v>
      </c>
      <c r="E16" s="87" t="s">
        <v>2523</v>
      </c>
      <c r="F16" s="81" t="n">
        <v>16</v>
      </c>
      <c r="G16" s="81" t="s">
        <v>334</v>
      </c>
      <c r="H16" s="83"/>
    </row>
    <row r="17" customFormat="false" ht="30" hidden="false" customHeight="true" outlineLevel="0" collapsed="false">
      <c r="A17" s="81" t="n">
        <v>13</v>
      </c>
      <c r="B17" s="85" t="s">
        <v>2524</v>
      </c>
      <c r="C17" s="88"/>
      <c r="D17" s="83" t="s">
        <v>2525</v>
      </c>
      <c r="E17" s="83" t="s">
        <v>2526</v>
      </c>
      <c r="F17" s="81" t="n">
        <v>16</v>
      </c>
      <c r="G17" s="81" t="s">
        <v>334</v>
      </c>
      <c r="H17" s="83"/>
    </row>
    <row r="18" customFormat="false" ht="30" hidden="false" customHeight="true" outlineLevel="0" collapsed="false">
      <c r="A18" s="81" t="n">
        <v>14</v>
      </c>
      <c r="B18" s="85" t="s">
        <v>2527</v>
      </c>
      <c r="C18" s="88"/>
      <c r="D18" s="83" t="s">
        <v>2528</v>
      </c>
      <c r="E18" s="83" t="s">
        <v>2529</v>
      </c>
      <c r="F18" s="81" t="n">
        <v>16</v>
      </c>
      <c r="G18" s="81" t="s">
        <v>334</v>
      </c>
      <c r="H18" s="83"/>
    </row>
    <row r="19" customFormat="false" ht="24" hidden="false" customHeight="true" outlineLevel="0" collapsed="false">
      <c r="A19" s="9" t="s">
        <v>2530</v>
      </c>
      <c r="B19" s="9"/>
      <c r="C19" s="9"/>
      <c r="D19" s="9"/>
      <c r="E19" s="9"/>
      <c r="F19" s="9"/>
      <c r="G19" s="9"/>
      <c r="H19" s="9"/>
    </row>
    <row r="20" customFormat="false" ht="30" hidden="false" customHeight="true" outlineLevel="0" collapsed="false">
      <c r="A20" s="81" t="n">
        <v>15</v>
      </c>
      <c r="B20" s="85" t="s">
        <v>2531</v>
      </c>
      <c r="C20" s="88" t="s">
        <v>1406</v>
      </c>
      <c r="D20" s="83" t="s">
        <v>2532</v>
      </c>
      <c r="E20" s="87" t="s">
        <v>2533</v>
      </c>
      <c r="F20" s="81" t="n">
        <v>17</v>
      </c>
      <c r="G20" s="81" t="s">
        <v>334</v>
      </c>
      <c r="H20" s="83"/>
    </row>
    <row r="21" customFormat="false" ht="30" hidden="false" customHeight="true" outlineLevel="0" collapsed="false">
      <c r="A21" s="81" t="n">
        <v>16</v>
      </c>
      <c r="B21" s="85" t="s">
        <v>2534</v>
      </c>
      <c r="C21" s="88" t="s">
        <v>2535</v>
      </c>
      <c r="D21" s="83" t="s">
        <v>2536</v>
      </c>
      <c r="E21" s="83" t="s">
        <v>2537</v>
      </c>
      <c r="F21" s="81" t="n">
        <v>17</v>
      </c>
      <c r="G21" s="81" t="s">
        <v>334</v>
      </c>
      <c r="H21" s="83"/>
    </row>
    <row r="22" customFormat="false" ht="30" hidden="false" customHeight="true" outlineLevel="0" collapsed="false">
      <c r="A22" s="81" t="n">
        <v>17</v>
      </c>
      <c r="B22" s="85" t="s">
        <v>2538</v>
      </c>
      <c r="C22" s="88" t="s">
        <v>2539</v>
      </c>
      <c r="D22" s="83" t="s">
        <v>2540</v>
      </c>
      <c r="E22" s="83" t="s">
        <v>2541</v>
      </c>
      <c r="F22" s="81" t="n">
        <v>17</v>
      </c>
      <c r="G22" s="81" t="s">
        <v>334</v>
      </c>
      <c r="H22" s="83"/>
    </row>
    <row r="23" customFormat="false" ht="30" hidden="false" customHeight="true" outlineLevel="0" collapsed="false">
      <c r="A23" s="81" t="n">
        <v>18</v>
      </c>
      <c r="B23" s="85" t="s">
        <v>2542</v>
      </c>
      <c r="C23" s="88" t="s">
        <v>2543</v>
      </c>
      <c r="D23" s="83" t="s">
        <v>2544</v>
      </c>
      <c r="E23" s="83" t="s">
        <v>2545</v>
      </c>
      <c r="F23" s="81" t="n">
        <v>17</v>
      </c>
      <c r="G23" s="81" t="s">
        <v>334</v>
      </c>
      <c r="H23" s="83"/>
    </row>
    <row r="24" customFormat="false" ht="30" hidden="false" customHeight="true" outlineLevel="0" collapsed="false">
      <c r="A24" s="81" t="n">
        <v>19</v>
      </c>
      <c r="B24" s="85" t="s">
        <v>2546</v>
      </c>
      <c r="C24" s="88" t="s">
        <v>2547</v>
      </c>
      <c r="D24" s="83" t="s">
        <v>2548</v>
      </c>
      <c r="E24" s="83" t="s">
        <v>2549</v>
      </c>
      <c r="F24" s="81" t="n">
        <v>17</v>
      </c>
      <c r="G24" s="81" t="s">
        <v>334</v>
      </c>
      <c r="H24" s="83"/>
    </row>
    <row r="25" customFormat="false" ht="30" hidden="false" customHeight="true" outlineLevel="0" collapsed="false">
      <c r="A25" s="81" t="n">
        <v>20</v>
      </c>
      <c r="B25" s="85" t="s">
        <v>2550</v>
      </c>
      <c r="C25" s="88" t="s">
        <v>2551</v>
      </c>
      <c r="D25" s="83" t="s">
        <v>2552</v>
      </c>
      <c r="E25" s="83" t="s">
        <v>2553</v>
      </c>
      <c r="F25" s="81" t="n">
        <v>17</v>
      </c>
      <c r="G25" s="81" t="s">
        <v>334</v>
      </c>
      <c r="H25" s="83"/>
    </row>
    <row r="26" customFormat="false" ht="30" hidden="false" customHeight="true" outlineLevel="0" collapsed="false">
      <c r="A26" s="81" t="n">
        <v>21</v>
      </c>
      <c r="B26" s="85" t="s">
        <v>2554</v>
      </c>
      <c r="C26" s="88" t="s">
        <v>2555</v>
      </c>
      <c r="D26" s="83" t="s">
        <v>2556</v>
      </c>
      <c r="E26" s="83" t="s">
        <v>2557</v>
      </c>
      <c r="F26" s="81" t="n">
        <v>17</v>
      </c>
      <c r="G26" s="81" t="s">
        <v>334</v>
      </c>
      <c r="H26" s="83"/>
    </row>
    <row r="27" customFormat="false" ht="30" hidden="false" customHeight="true" outlineLevel="0" collapsed="false">
      <c r="A27" s="81" t="n">
        <v>22</v>
      </c>
      <c r="B27" s="85" t="s">
        <v>2558</v>
      </c>
      <c r="C27" s="88" t="s">
        <v>2559</v>
      </c>
      <c r="D27" s="83" t="s">
        <v>2560</v>
      </c>
      <c r="E27" s="83" t="s">
        <v>2561</v>
      </c>
      <c r="F27" s="81" t="n">
        <v>18</v>
      </c>
      <c r="G27" s="81" t="s">
        <v>334</v>
      </c>
      <c r="H27" s="83"/>
    </row>
    <row r="28" customFormat="false" ht="30" hidden="false" customHeight="true" outlineLevel="0" collapsed="false">
      <c r="A28" s="81" t="n">
        <v>23</v>
      </c>
      <c r="B28" s="85" t="s">
        <v>2562</v>
      </c>
      <c r="C28" s="88" t="s">
        <v>2563</v>
      </c>
      <c r="D28" s="83" t="s">
        <v>2564</v>
      </c>
      <c r="E28" s="83" t="s">
        <v>2565</v>
      </c>
      <c r="F28" s="81" t="n">
        <v>18</v>
      </c>
      <c r="G28" s="81" t="s">
        <v>334</v>
      </c>
      <c r="H28" s="83"/>
    </row>
    <row r="29" customFormat="false" ht="30" hidden="false" customHeight="true" outlineLevel="0" collapsed="false">
      <c r="A29" s="81" t="n">
        <v>24</v>
      </c>
      <c r="B29" s="85" t="s">
        <v>2566</v>
      </c>
      <c r="C29" s="88"/>
      <c r="D29" s="83" t="s">
        <v>2567</v>
      </c>
      <c r="E29" s="83" t="s">
        <v>2568</v>
      </c>
      <c r="F29" s="81" t="n">
        <v>18</v>
      </c>
      <c r="G29" s="81" t="s">
        <v>334</v>
      </c>
      <c r="H29" s="83"/>
    </row>
    <row r="30" customFormat="false" ht="30" hidden="false" customHeight="true" outlineLevel="0" collapsed="false">
      <c r="A30" s="81" t="n">
        <v>25</v>
      </c>
      <c r="B30" s="85" t="s">
        <v>2569</v>
      </c>
      <c r="C30" s="88"/>
      <c r="D30" s="83" t="s">
        <v>2570</v>
      </c>
      <c r="E30" s="83" t="s">
        <v>2571</v>
      </c>
      <c r="F30" s="81" t="n">
        <v>18</v>
      </c>
      <c r="G30" s="81" t="s">
        <v>334</v>
      </c>
      <c r="H30" s="83"/>
    </row>
    <row r="31" customFormat="false" ht="30" hidden="false" customHeight="true" outlineLevel="0" collapsed="false">
      <c r="A31" s="81" t="n">
        <v>26</v>
      </c>
      <c r="B31" s="85" t="s">
        <v>2572</v>
      </c>
      <c r="C31" s="88"/>
      <c r="D31" s="83" t="s">
        <v>2573</v>
      </c>
      <c r="E31" s="83" t="s">
        <v>2574</v>
      </c>
      <c r="F31" s="81" t="n">
        <v>18</v>
      </c>
      <c r="G31" s="81" t="s">
        <v>334</v>
      </c>
      <c r="H31" s="83"/>
    </row>
    <row r="32" customFormat="false" ht="30" hidden="false" customHeight="true" outlineLevel="0" collapsed="false">
      <c r="A32" s="81" t="n">
        <v>27</v>
      </c>
      <c r="B32" s="85" t="s">
        <v>2575</v>
      </c>
      <c r="C32" s="88" t="s">
        <v>2576</v>
      </c>
      <c r="D32" s="83" t="s">
        <v>2577</v>
      </c>
      <c r="E32" s="83" t="s">
        <v>2578</v>
      </c>
      <c r="F32" s="81" t="n">
        <v>18</v>
      </c>
      <c r="G32" s="81" t="s">
        <v>334</v>
      </c>
      <c r="H32" s="83"/>
    </row>
    <row r="33" customFormat="false" ht="30" hidden="false" customHeight="true" outlineLevel="0" collapsed="false">
      <c r="A33" s="81" t="n">
        <v>28</v>
      </c>
      <c r="B33" s="85" t="s">
        <v>2579</v>
      </c>
      <c r="C33" s="88"/>
      <c r="D33" s="83" t="s">
        <v>2580</v>
      </c>
      <c r="E33" s="83" t="s">
        <v>2581</v>
      </c>
      <c r="F33" s="81" t="n">
        <v>18</v>
      </c>
      <c r="G33" s="81" t="s">
        <v>334</v>
      </c>
      <c r="H33" s="83"/>
    </row>
    <row r="34" customFormat="false" ht="24" hidden="false" customHeight="true" outlineLevel="0" collapsed="false">
      <c r="A34" s="9" t="s">
        <v>2582</v>
      </c>
      <c r="B34" s="9"/>
      <c r="C34" s="9"/>
      <c r="D34" s="9"/>
      <c r="E34" s="9"/>
      <c r="F34" s="9"/>
      <c r="G34" s="9"/>
      <c r="H34" s="9"/>
    </row>
    <row r="35" customFormat="false" ht="30" hidden="false" customHeight="true" outlineLevel="0" collapsed="false">
      <c r="A35" s="81" t="n">
        <v>29</v>
      </c>
      <c r="B35" s="85" t="s">
        <v>2583</v>
      </c>
      <c r="C35" s="88" t="s">
        <v>2584</v>
      </c>
      <c r="D35" s="83" t="s">
        <v>2585</v>
      </c>
      <c r="E35" s="83" t="s">
        <v>2586</v>
      </c>
      <c r="F35" s="81" t="n">
        <v>19</v>
      </c>
      <c r="G35" s="81" t="s">
        <v>334</v>
      </c>
      <c r="H35" s="83"/>
    </row>
    <row r="36" customFormat="false" ht="30" hidden="false" customHeight="true" outlineLevel="0" collapsed="false">
      <c r="A36" s="81" t="n">
        <v>30</v>
      </c>
      <c r="B36" s="85" t="s">
        <v>2587</v>
      </c>
      <c r="C36" s="88" t="s">
        <v>2588</v>
      </c>
      <c r="D36" s="83" t="s">
        <v>2589</v>
      </c>
      <c r="E36" s="83" t="s">
        <v>2590</v>
      </c>
      <c r="F36" s="81" t="n">
        <v>19</v>
      </c>
      <c r="G36" s="81" t="s">
        <v>334</v>
      </c>
      <c r="H36" s="83"/>
    </row>
    <row r="37" customFormat="false" ht="30" hidden="false" customHeight="true" outlineLevel="0" collapsed="false">
      <c r="A37" s="81" t="n">
        <v>31</v>
      </c>
      <c r="B37" s="85" t="s">
        <v>2591</v>
      </c>
      <c r="C37" s="88" t="s">
        <v>2592</v>
      </c>
      <c r="D37" s="83" t="s">
        <v>2593</v>
      </c>
      <c r="E37" s="83" t="s">
        <v>2594</v>
      </c>
      <c r="F37" s="81" t="n">
        <v>19</v>
      </c>
      <c r="G37" s="81" t="s">
        <v>334</v>
      </c>
      <c r="H37" s="83"/>
    </row>
    <row r="38" customFormat="false" ht="30" hidden="false" customHeight="true" outlineLevel="0" collapsed="false">
      <c r="A38" s="81" t="n">
        <v>32</v>
      </c>
      <c r="B38" s="85" t="s">
        <v>2595</v>
      </c>
      <c r="C38" s="88" t="s">
        <v>2596</v>
      </c>
      <c r="D38" s="83" t="s">
        <v>2597</v>
      </c>
      <c r="E38" s="83" t="s">
        <v>2598</v>
      </c>
      <c r="F38" s="81" t="n">
        <v>19</v>
      </c>
      <c r="G38" s="81" t="s">
        <v>334</v>
      </c>
      <c r="H38" s="83"/>
    </row>
    <row r="39" customFormat="false" ht="30" hidden="false" customHeight="true" outlineLevel="0" collapsed="false">
      <c r="A39" s="81" t="n">
        <v>33</v>
      </c>
      <c r="B39" s="85" t="s">
        <v>2599</v>
      </c>
      <c r="C39" s="88" t="s">
        <v>2600</v>
      </c>
      <c r="D39" s="83" t="s">
        <v>2601</v>
      </c>
      <c r="E39" s="83" t="s">
        <v>2602</v>
      </c>
      <c r="F39" s="81" t="n">
        <v>19</v>
      </c>
      <c r="G39" s="81" t="s">
        <v>334</v>
      </c>
      <c r="H39" s="83"/>
    </row>
    <row r="40" customFormat="false" ht="30" hidden="false" customHeight="true" outlineLevel="0" collapsed="false">
      <c r="A40" s="81" t="n">
        <v>34</v>
      </c>
      <c r="B40" s="85" t="s">
        <v>2603</v>
      </c>
      <c r="C40" s="88" t="s">
        <v>2604</v>
      </c>
      <c r="D40" s="83" t="s">
        <v>2605</v>
      </c>
      <c r="E40" s="87" t="s">
        <v>2606</v>
      </c>
      <c r="F40" s="81" t="n">
        <v>19</v>
      </c>
      <c r="G40" s="81" t="s">
        <v>334</v>
      </c>
      <c r="H40" s="83"/>
    </row>
    <row r="41" customFormat="false" ht="30" hidden="false" customHeight="true" outlineLevel="0" collapsed="false">
      <c r="A41" s="81" t="n">
        <v>35</v>
      </c>
      <c r="B41" s="85" t="s">
        <v>2607</v>
      </c>
      <c r="C41" s="88" t="s">
        <v>2608</v>
      </c>
      <c r="D41" s="83" t="s">
        <v>2609</v>
      </c>
      <c r="E41" s="83" t="s">
        <v>2610</v>
      </c>
      <c r="F41" s="81" t="n">
        <v>19</v>
      </c>
      <c r="G41" s="81" t="s">
        <v>334</v>
      </c>
      <c r="H41" s="83"/>
    </row>
    <row r="42" customFormat="false" ht="30" hidden="false" customHeight="true" outlineLevel="0" collapsed="false">
      <c r="A42" s="81" t="n">
        <v>36</v>
      </c>
      <c r="B42" s="85" t="s">
        <v>2611</v>
      </c>
      <c r="C42" s="88"/>
      <c r="D42" s="83" t="s">
        <v>2612</v>
      </c>
      <c r="E42" s="83" t="s">
        <v>2613</v>
      </c>
      <c r="F42" s="81" t="n">
        <v>20</v>
      </c>
      <c r="G42" s="81" t="s">
        <v>334</v>
      </c>
      <c r="H42" s="83"/>
    </row>
    <row r="43" customFormat="false" ht="30" hidden="false" customHeight="true" outlineLevel="0" collapsed="false">
      <c r="A43" s="81" t="n">
        <v>37</v>
      </c>
      <c r="B43" s="85" t="s">
        <v>1362</v>
      </c>
      <c r="C43" s="88" t="s">
        <v>1358</v>
      </c>
      <c r="D43" s="83" t="s">
        <v>1360</v>
      </c>
      <c r="E43" s="83" t="s">
        <v>2614</v>
      </c>
      <c r="F43" s="81" t="n">
        <v>20</v>
      </c>
      <c r="G43" s="81" t="s">
        <v>334</v>
      </c>
      <c r="H43" s="83"/>
    </row>
    <row r="44" customFormat="false" ht="30" hidden="false" customHeight="true" outlineLevel="0" collapsed="false">
      <c r="A44" s="81" t="n">
        <v>38</v>
      </c>
      <c r="B44" s="85" t="s">
        <v>2615</v>
      </c>
      <c r="C44" s="88" t="s">
        <v>2616</v>
      </c>
      <c r="D44" s="83" t="s">
        <v>2617</v>
      </c>
      <c r="E44" s="83" t="s">
        <v>2618</v>
      </c>
      <c r="F44" s="81" t="n">
        <v>20</v>
      </c>
      <c r="G44" s="81" t="s">
        <v>334</v>
      </c>
      <c r="H44" s="83"/>
    </row>
    <row r="45" customFormat="false" ht="30" hidden="false" customHeight="true" outlineLevel="0" collapsed="false">
      <c r="A45" s="81" t="n">
        <v>39</v>
      </c>
      <c r="B45" s="85" t="s">
        <v>2619</v>
      </c>
      <c r="C45" s="88" t="s">
        <v>2620</v>
      </c>
      <c r="D45" s="83" t="s">
        <v>2621</v>
      </c>
      <c r="E45" s="83" t="s">
        <v>2622</v>
      </c>
      <c r="F45" s="81" t="n">
        <v>20</v>
      </c>
      <c r="G45" s="81" t="s">
        <v>334</v>
      </c>
      <c r="H45" s="83"/>
    </row>
    <row r="46" customFormat="false" ht="30" hidden="false" customHeight="true" outlineLevel="0" collapsed="false">
      <c r="A46" s="81" t="n">
        <v>40</v>
      </c>
      <c r="B46" s="85" t="s">
        <v>2623</v>
      </c>
      <c r="C46" s="88" t="s">
        <v>1597</v>
      </c>
      <c r="D46" s="83" t="s">
        <v>2624</v>
      </c>
      <c r="E46" s="83" t="s">
        <v>2625</v>
      </c>
      <c r="F46" s="81" t="n">
        <v>20</v>
      </c>
      <c r="G46" s="81" t="s">
        <v>334</v>
      </c>
      <c r="H46" s="83"/>
    </row>
    <row r="47" customFormat="false" ht="30" hidden="false" customHeight="true" outlineLevel="0" collapsed="false">
      <c r="A47" s="81" t="n">
        <v>41</v>
      </c>
      <c r="B47" s="85" t="s">
        <v>2626</v>
      </c>
      <c r="C47" s="88"/>
      <c r="D47" s="83" t="s">
        <v>2627</v>
      </c>
      <c r="E47" s="83" t="s">
        <v>2628</v>
      </c>
      <c r="F47" s="81" t="n">
        <v>20</v>
      </c>
      <c r="G47" s="81" t="s">
        <v>334</v>
      </c>
      <c r="H47" s="83"/>
    </row>
    <row r="48" customFormat="false" ht="30" hidden="false" customHeight="true" outlineLevel="0" collapsed="false">
      <c r="A48" s="81" t="n">
        <v>42</v>
      </c>
      <c r="B48" s="85" t="s">
        <v>2629</v>
      </c>
      <c r="C48" s="88" t="s">
        <v>2630</v>
      </c>
      <c r="D48" s="83" t="s">
        <v>2631</v>
      </c>
      <c r="E48" s="83" t="s">
        <v>2632</v>
      </c>
      <c r="F48" s="81" t="n">
        <v>20</v>
      </c>
      <c r="G48" s="81" t="s">
        <v>334</v>
      </c>
      <c r="H48" s="83"/>
    </row>
    <row r="49" customFormat="false" ht="24" hidden="false" customHeight="true" outlineLevel="0" collapsed="false">
      <c r="A49" s="9" t="s">
        <v>2633</v>
      </c>
      <c r="B49" s="9"/>
      <c r="C49" s="9"/>
      <c r="D49" s="9"/>
      <c r="E49" s="9"/>
      <c r="F49" s="9"/>
      <c r="G49" s="9"/>
      <c r="H49" s="9"/>
    </row>
    <row r="50" customFormat="false" ht="30" hidden="false" customHeight="true" outlineLevel="0" collapsed="false">
      <c r="A50" s="81" t="n">
        <v>43</v>
      </c>
      <c r="B50" s="85" t="s">
        <v>2634</v>
      </c>
      <c r="C50" s="88" t="s">
        <v>2635</v>
      </c>
      <c r="D50" s="83" t="s">
        <v>2636</v>
      </c>
      <c r="E50" s="87" t="s">
        <v>2637</v>
      </c>
      <c r="F50" s="81" t="n">
        <v>22</v>
      </c>
      <c r="G50" s="81" t="s">
        <v>334</v>
      </c>
      <c r="H50" s="83"/>
    </row>
    <row r="51" customFormat="false" ht="30" hidden="false" customHeight="true" outlineLevel="0" collapsed="false">
      <c r="A51" s="81" t="n">
        <v>44</v>
      </c>
      <c r="B51" s="85" t="s">
        <v>2638</v>
      </c>
      <c r="C51" s="88" t="s">
        <v>2639</v>
      </c>
      <c r="D51" s="83" t="s">
        <v>2640</v>
      </c>
      <c r="E51" s="87" t="s">
        <v>2641</v>
      </c>
      <c r="F51" s="81" t="n">
        <v>22</v>
      </c>
      <c r="G51" s="81" t="s">
        <v>334</v>
      </c>
      <c r="H51" s="83"/>
    </row>
    <row r="52" customFormat="false" ht="30" hidden="false" customHeight="true" outlineLevel="0" collapsed="false">
      <c r="A52" s="81" t="n">
        <v>45</v>
      </c>
      <c r="B52" s="85" t="s">
        <v>2642</v>
      </c>
      <c r="C52" s="88" t="s">
        <v>2643</v>
      </c>
      <c r="D52" s="83" t="s">
        <v>2644</v>
      </c>
      <c r="E52" s="87" t="s">
        <v>2645</v>
      </c>
      <c r="F52" s="81" t="n">
        <v>22</v>
      </c>
      <c r="G52" s="81" t="s">
        <v>334</v>
      </c>
      <c r="H52" s="83"/>
    </row>
    <row r="53" customFormat="false" ht="30" hidden="false" customHeight="true" outlineLevel="0" collapsed="false">
      <c r="A53" s="81" t="n">
        <v>46</v>
      </c>
      <c r="B53" s="85" t="s">
        <v>2646</v>
      </c>
      <c r="C53" s="88" t="s">
        <v>2647</v>
      </c>
      <c r="D53" s="83" t="s">
        <v>1957</v>
      </c>
      <c r="E53" s="87" t="s">
        <v>2648</v>
      </c>
      <c r="F53" s="81" t="n">
        <v>22</v>
      </c>
      <c r="G53" s="81" t="s">
        <v>334</v>
      </c>
      <c r="H53" s="83"/>
    </row>
    <row r="54" customFormat="false" ht="30" hidden="false" customHeight="true" outlineLevel="0" collapsed="false">
      <c r="A54" s="81" t="n">
        <v>47</v>
      </c>
      <c r="B54" s="85" t="s">
        <v>2649</v>
      </c>
      <c r="C54" s="88" t="s">
        <v>2650</v>
      </c>
      <c r="D54" s="83" t="s">
        <v>2651</v>
      </c>
      <c r="E54" s="83" t="s">
        <v>2652</v>
      </c>
      <c r="F54" s="81" t="n">
        <v>22</v>
      </c>
      <c r="G54" s="81" t="s">
        <v>334</v>
      </c>
      <c r="H54" s="83"/>
    </row>
    <row r="55" customFormat="false" ht="30" hidden="false" customHeight="true" outlineLevel="0" collapsed="false">
      <c r="A55" s="81" t="n">
        <v>48</v>
      </c>
      <c r="B55" s="85" t="s">
        <v>2653</v>
      </c>
      <c r="C55" s="88" t="s">
        <v>2654</v>
      </c>
      <c r="D55" s="83" t="s">
        <v>2655</v>
      </c>
      <c r="E55" s="87" t="s">
        <v>2656</v>
      </c>
      <c r="F55" s="81" t="n">
        <v>22</v>
      </c>
      <c r="G55" s="81" t="s">
        <v>334</v>
      </c>
      <c r="H55" s="83"/>
    </row>
    <row r="56" customFormat="false" ht="30" hidden="false" customHeight="true" outlineLevel="0" collapsed="false">
      <c r="A56" s="81" t="n">
        <v>49</v>
      </c>
      <c r="B56" s="85" t="s">
        <v>2657</v>
      </c>
      <c r="C56" s="88" t="s">
        <v>2658</v>
      </c>
      <c r="D56" s="83" t="s">
        <v>2659</v>
      </c>
      <c r="E56" s="87" t="s">
        <v>2660</v>
      </c>
      <c r="F56" s="81" t="n">
        <v>22</v>
      </c>
      <c r="G56" s="81" t="s">
        <v>334</v>
      </c>
      <c r="H56" s="83"/>
    </row>
    <row r="57" customFormat="false" ht="30" hidden="false" customHeight="true" outlineLevel="0" collapsed="false">
      <c r="A57" s="81" t="n">
        <v>50</v>
      </c>
      <c r="B57" s="85" t="s">
        <v>2661</v>
      </c>
      <c r="C57" s="88" t="s">
        <v>2662</v>
      </c>
      <c r="D57" s="83" t="s">
        <v>2663</v>
      </c>
      <c r="E57" s="87" t="s">
        <v>2664</v>
      </c>
      <c r="F57" s="81" t="n">
        <v>23</v>
      </c>
      <c r="G57" s="81" t="s">
        <v>334</v>
      </c>
      <c r="H57" s="83"/>
    </row>
    <row r="58" customFormat="false" ht="30" hidden="false" customHeight="true" outlineLevel="0" collapsed="false">
      <c r="A58" s="81" t="n">
        <v>51</v>
      </c>
      <c r="B58" s="85" t="s">
        <v>2665</v>
      </c>
      <c r="C58" s="88" t="s">
        <v>2666</v>
      </c>
      <c r="D58" s="83" t="s">
        <v>2667</v>
      </c>
      <c r="E58" s="87" t="s">
        <v>2668</v>
      </c>
      <c r="F58" s="81" t="n">
        <v>23</v>
      </c>
      <c r="G58" s="81" t="s">
        <v>334</v>
      </c>
      <c r="H58" s="83"/>
    </row>
    <row r="59" customFormat="false" ht="30" hidden="false" customHeight="true" outlineLevel="0" collapsed="false">
      <c r="A59" s="81" t="n">
        <v>52</v>
      </c>
      <c r="B59" s="85" t="s">
        <v>2669</v>
      </c>
      <c r="C59" s="88" t="s">
        <v>2670</v>
      </c>
      <c r="D59" s="83" t="s">
        <v>2671</v>
      </c>
      <c r="E59" s="83" t="s">
        <v>2672</v>
      </c>
      <c r="F59" s="81" t="n">
        <v>23</v>
      </c>
      <c r="G59" s="81" t="s">
        <v>334</v>
      </c>
      <c r="H59" s="83"/>
    </row>
    <row r="60" customFormat="false" ht="30" hidden="false" customHeight="true" outlineLevel="0" collapsed="false">
      <c r="A60" s="81" t="n">
        <v>53</v>
      </c>
      <c r="B60" s="85" t="s">
        <v>2673</v>
      </c>
      <c r="C60" s="88" t="s">
        <v>2674</v>
      </c>
      <c r="D60" s="83" t="s">
        <v>2675</v>
      </c>
      <c r="E60" s="83" t="s">
        <v>2676</v>
      </c>
      <c r="F60" s="81" t="n">
        <v>23</v>
      </c>
      <c r="G60" s="81" t="s">
        <v>334</v>
      </c>
      <c r="H60" s="83"/>
    </row>
    <row r="61" customFormat="false" ht="30" hidden="false" customHeight="true" outlineLevel="0" collapsed="false">
      <c r="A61" s="81" t="n">
        <v>54</v>
      </c>
      <c r="B61" s="85" t="s">
        <v>2677</v>
      </c>
      <c r="C61" s="88" t="s">
        <v>2678</v>
      </c>
      <c r="D61" s="83" t="s">
        <v>2679</v>
      </c>
      <c r="E61" s="83" t="s">
        <v>2680</v>
      </c>
      <c r="F61" s="81" t="n">
        <v>23</v>
      </c>
      <c r="G61" s="81" t="s">
        <v>334</v>
      </c>
      <c r="H61" s="83"/>
    </row>
    <row r="62" customFormat="false" ht="30" hidden="false" customHeight="true" outlineLevel="0" collapsed="false">
      <c r="A62" s="81" t="n">
        <v>55</v>
      </c>
      <c r="B62" s="85" t="s">
        <v>2681</v>
      </c>
      <c r="C62" s="88" t="s">
        <v>2682</v>
      </c>
      <c r="D62" s="83" t="s">
        <v>2683</v>
      </c>
      <c r="E62" s="83" t="s">
        <v>2684</v>
      </c>
      <c r="F62" s="81" t="n">
        <v>23</v>
      </c>
      <c r="G62" s="81" t="s">
        <v>334</v>
      </c>
      <c r="H62" s="83"/>
    </row>
    <row r="63" customFormat="false" ht="30" hidden="false" customHeight="true" outlineLevel="0" collapsed="false">
      <c r="A63" s="81" t="n">
        <v>56</v>
      </c>
      <c r="B63" s="85" t="s">
        <v>2685</v>
      </c>
      <c r="C63" s="88" t="s">
        <v>2686</v>
      </c>
      <c r="D63" s="83" t="s">
        <v>2687</v>
      </c>
      <c r="E63" s="83" t="s">
        <v>2688</v>
      </c>
      <c r="F63" s="81" t="n">
        <v>23</v>
      </c>
      <c r="G63" s="81" t="s">
        <v>334</v>
      </c>
      <c r="H63" s="83"/>
    </row>
    <row r="64" customFormat="false" ht="24" hidden="false" customHeight="true" outlineLevel="0" collapsed="false">
      <c r="A64" s="9" t="s">
        <v>2689</v>
      </c>
      <c r="B64" s="9"/>
      <c r="C64" s="9"/>
      <c r="D64" s="9"/>
      <c r="E64" s="9"/>
      <c r="F64" s="9"/>
      <c r="G64" s="9"/>
      <c r="H64" s="9"/>
    </row>
    <row r="65" customFormat="false" ht="30" hidden="false" customHeight="true" outlineLevel="0" collapsed="false">
      <c r="A65" s="81" t="n">
        <v>57</v>
      </c>
      <c r="B65" s="85" t="s">
        <v>2690</v>
      </c>
      <c r="C65" s="88" t="s">
        <v>2691</v>
      </c>
      <c r="D65" s="83" t="s">
        <v>1451</v>
      </c>
      <c r="E65" s="87" t="s">
        <v>2692</v>
      </c>
      <c r="F65" s="81" t="n">
        <v>24</v>
      </c>
      <c r="G65" s="81" t="s">
        <v>334</v>
      </c>
      <c r="H65" s="83"/>
    </row>
    <row r="66" customFormat="false" ht="30" hidden="false" customHeight="true" outlineLevel="0" collapsed="false">
      <c r="A66" s="81" t="n">
        <v>58</v>
      </c>
      <c r="B66" s="85" t="s">
        <v>2693</v>
      </c>
      <c r="C66" s="88" t="s">
        <v>2694</v>
      </c>
      <c r="D66" s="83" t="s">
        <v>2695</v>
      </c>
      <c r="E66" s="87" t="s">
        <v>2696</v>
      </c>
      <c r="F66" s="81" t="n">
        <v>24</v>
      </c>
      <c r="G66" s="81" t="s">
        <v>334</v>
      </c>
      <c r="H66" s="83"/>
    </row>
    <row r="67" customFormat="false" ht="30" hidden="false" customHeight="true" outlineLevel="0" collapsed="false">
      <c r="A67" s="81" t="n">
        <v>59</v>
      </c>
      <c r="B67" s="85" t="s">
        <v>2697</v>
      </c>
      <c r="C67" s="88" t="s">
        <v>2698</v>
      </c>
      <c r="D67" s="83" t="s">
        <v>2699</v>
      </c>
      <c r="E67" s="87" t="s">
        <v>2700</v>
      </c>
      <c r="F67" s="81" t="n">
        <v>24</v>
      </c>
      <c r="G67" s="81" t="s">
        <v>334</v>
      </c>
      <c r="H67" s="83"/>
    </row>
    <row r="68" customFormat="false" ht="30" hidden="false" customHeight="true" outlineLevel="0" collapsed="false">
      <c r="A68" s="81" t="n">
        <v>60</v>
      </c>
      <c r="B68" s="85" t="s">
        <v>2701</v>
      </c>
      <c r="C68" s="88" t="s">
        <v>2702</v>
      </c>
      <c r="D68" s="83" t="s">
        <v>2703</v>
      </c>
      <c r="E68" s="83" t="s">
        <v>2704</v>
      </c>
      <c r="F68" s="81" t="n">
        <v>24</v>
      </c>
      <c r="G68" s="81" t="s">
        <v>334</v>
      </c>
      <c r="H68" s="83"/>
    </row>
    <row r="69" customFormat="false" ht="30" hidden="false" customHeight="true" outlineLevel="0" collapsed="false">
      <c r="A69" s="81" t="n">
        <v>61</v>
      </c>
      <c r="B69" s="85" t="s">
        <v>2705</v>
      </c>
      <c r="C69" s="88" t="s">
        <v>2706</v>
      </c>
      <c r="D69" s="83" t="s">
        <v>2707</v>
      </c>
      <c r="E69" s="83" t="s">
        <v>2708</v>
      </c>
      <c r="F69" s="81" t="n">
        <v>24</v>
      </c>
      <c r="G69" s="81" t="s">
        <v>334</v>
      </c>
      <c r="H69" s="83"/>
    </row>
    <row r="70" customFormat="false" ht="30" hidden="false" customHeight="true" outlineLevel="0" collapsed="false">
      <c r="A70" s="81" t="n">
        <v>62</v>
      </c>
      <c r="B70" s="85" t="s">
        <v>2709</v>
      </c>
      <c r="C70" s="88" t="s">
        <v>2710</v>
      </c>
      <c r="D70" s="83" t="s">
        <v>2711</v>
      </c>
      <c r="E70" s="83" t="s">
        <v>2712</v>
      </c>
      <c r="F70" s="81" t="n">
        <v>24</v>
      </c>
      <c r="G70" s="81" t="s">
        <v>334</v>
      </c>
      <c r="H70" s="83"/>
    </row>
    <row r="71" customFormat="false" ht="30" hidden="false" customHeight="true" outlineLevel="0" collapsed="false">
      <c r="A71" s="81" t="n">
        <v>63</v>
      </c>
      <c r="B71" s="85" t="s">
        <v>2713</v>
      </c>
      <c r="C71" s="88" t="s">
        <v>2714</v>
      </c>
      <c r="D71" s="83" t="s">
        <v>2715</v>
      </c>
      <c r="E71" s="83" t="s">
        <v>2716</v>
      </c>
      <c r="F71" s="81" t="n">
        <v>24</v>
      </c>
      <c r="G71" s="81" t="s">
        <v>334</v>
      </c>
      <c r="H71" s="83"/>
    </row>
    <row r="72" customFormat="false" ht="30" hidden="false" customHeight="true" outlineLevel="0" collapsed="false">
      <c r="A72" s="81" t="n">
        <v>64</v>
      </c>
      <c r="B72" s="85" t="s">
        <v>2717</v>
      </c>
      <c r="C72" s="88" t="s">
        <v>2718</v>
      </c>
      <c r="D72" s="83" t="s">
        <v>2719</v>
      </c>
      <c r="E72" s="83" t="s">
        <v>2720</v>
      </c>
      <c r="F72" s="81" t="n">
        <v>25</v>
      </c>
      <c r="G72" s="81" t="s">
        <v>334</v>
      </c>
      <c r="H72" s="83"/>
    </row>
    <row r="73" customFormat="false" ht="30" hidden="false" customHeight="true" outlineLevel="0" collapsed="false">
      <c r="A73" s="81" t="n">
        <v>65</v>
      </c>
      <c r="B73" s="85" t="s">
        <v>2721</v>
      </c>
      <c r="C73" s="88" t="s">
        <v>2722</v>
      </c>
      <c r="D73" s="83" t="s">
        <v>2723</v>
      </c>
      <c r="E73" s="87" t="s">
        <v>2724</v>
      </c>
      <c r="F73" s="81" t="n">
        <v>25</v>
      </c>
      <c r="G73" s="81" t="s">
        <v>334</v>
      </c>
      <c r="H73" s="83"/>
    </row>
    <row r="74" customFormat="false" ht="30" hidden="false" customHeight="true" outlineLevel="0" collapsed="false">
      <c r="A74" s="81" t="n">
        <v>66</v>
      </c>
      <c r="B74" s="85" t="s">
        <v>1377</v>
      </c>
      <c r="C74" s="88" t="s">
        <v>1374</v>
      </c>
      <c r="D74" s="83" t="s">
        <v>1150</v>
      </c>
      <c r="E74" s="83" t="s">
        <v>2725</v>
      </c>
      <c r="F74" s="81" t="n">
        <v>25</v>
      </c>
      <c r="G74" s="81" t="s">
        <v>334</v>
      </c>
      <c r="H74" s="83"/>
    </row>
    <row r="75" customFormat="false" ht="30" hidden="false" customHeight="true" outlineLevel="0" collapsed="false">
      <c r="A75" s="81" t="n">
        <v>67</v>
      </c>
      <c r="B75" s="85" t="s">
        <v>2726</v>
      </c>
      <c r="C75" s="88" t="s">
        <v>2727</v>
      </c>
      <c r="D75" s="83" t="s">
        <v>1944</v>
      </c>
      <c r="E75" s="87" t="s">
        <v>2728</v>
      </c>
      <c r="F75" s="81" t="n">
        <v>25</v>
      </c>
      <c r="G75" s="81" t="s">
        <v>334</v>
      </c>
      <c r="H75" s="83"/>
    </row>
    <row r="76" customFormat="false" ht="30" hidden="false" customHeight="true" outlineLevel="0" collapsed="false">
      <c r="A76" s="81" t="n">
        <v>68</v>
      </c>
      <c r="B76" s="85" t="s">
        <v>2729</v>
      </c>
      <c r="C76" s="88" t="s">
        <v>2730</v>
      </c>
      <c r="D76" s="83" t="s">
        <v>2731</v>
      </c>
      <c r="E76" s="87" t="s">
        <v>2732</v>
      </c>
      <c r="F76" s="81" t="n">
        <v>25</v>
      </c>
      <c r="G76" s="81" t="s">
        <v>334</v>
      </c>
      <c r="H76" s="83"/>
    </row>
    <row r="77" customFormat="false" ht="30" hidden="false" customHeight="true" outlineLevel="0" collapsed="false">
      <c r="A77" s="81" t="n">
        <v>69</v>
      </c>
      <c r="B77" s="85" t="s">
        <v>2733</v>
      </c>
      <c r="C77" s="88" t="s">
        <v>2734</v>
      </c>
      <c r="D77" s="83" t="s">
        <v>2735</v>
      </c>
      <c r="E77" s="87" t="s">
        <v>2736</v>
      </c>
      <c r="F77" s="81" t="n">
        <v>25</v>
      </c>
      <c r="G77" s="81" t="s">
        <v>334</v>
      </c>
      <c r="H77" s="83"/>
    </row>
    <row r="78" customFormat="false" ht="30" hidden="false" customHeight="true" outlineLevel="0" collapsed="false">
      <c r="A78" s="81" t="n">
        <v>70</v>
      </c>
      <c r="B78" s="85" t="s">
        <v>2737</v>
      </c>
      <c r="C78" s="88" t="s">
        <v>2738</v>
      </c>
      <c r="D78" s="83" t="s">
        <v>2739</v>
      </c>
      <c r="E78" s="83" t="s">
        <v>2740</v>
      </c>
      <c r="F78" s="81" t="n">
        <v>25</v>
      </c>
      <c r="G78" s="81" t="s">
        <v>334</v>
      </c>
      <c r="H78" s="83"/>
    </row>
    <row r="79" customFormat="false" ht="24" hidden="false" customHeight="true" outlineLevel="0" collapsed="false">
      <c r="A79" s="9" t="s">
        <v>2741</v>
      </c>
      <c r="B79" s="9"/>
      <c r="C79" s="9"/>
      <c r="D79" s="9"/>
      <c r="E79" s="9"/>
      <c r="F79" s="9"/>
      <c r="G79" s="9"/>
      <c r="H79" s="9"/>
    </row>
    <row r="80" customFormat="false" ht="30" hidden="false" customHeight="true" outlineLevel="0" collapsed="false">
      <c r="A80" s="81" t="n">
        <v>71</v>
      </c>
      <c r="B80" s="85" t="s">
        <v>2742</v>
      </c>
      <c r="C80" s="88" t="s">
        <v>2743</v>
      </c>
      <c r="D80" s="83" t="s">
        <v>1836</v>
      </c>
      <c r="E80" s="87" t="s">
        <v>2744</v>
      </c>
      <c r="F80" s="81" t="n">
        <v>26</v>
      </c>
      <c r="G80" s="81" t="s">
        <v>334</v>
      </c>
      <c r="H80" s="83"/>
    </row>
    <row r="81" customFormat="false" ht="30" hidden="false" customHeight="true" outlineLevel="0" collapsed="false">
      <c r="A81" s="81" t="n">
        <v>72</v>
      </c>
      <c r="B81" s="85" t="s">
        <v>2745</v>
      </c>
      <c r="C81" s="88" t="s">
        <v>2746</v>
      </c>
      <c r="D81" s="83" t="s">
        <v>1979</v>
      </c>
      <c r="E81" s="87" t="s">
        <v>2747</v>
      </c>
      <c r="F81" s="81" t="n">
        <v>26</v>
      </c>
      <c r="G81" s="81" t="s">
        <v>334</v>
      </c>
      <c r="H81" s="83"/>
    </row>
    <row r="82" customFormat="false" ht="30" hidden="false" customHeight="true" outlineLevel="0" collapsed="false">
      <c r="A82" s="81" t="n">
        <v>73</v>
      </c>
      <c r="B82" s="85" t="s">
        <v>2748</v>
      </c>
      <c r="C82" s="88" t="s">
        <v>2749</v>
      </c>
      <c r="D82" s="83" t="s">
        <v>2750</v>
      </c>
      <c r="E82" s="87" t="s">
        <v>2751</v>
      </c>
      <c r="F82" s="81" t="n">
        <v>26</v>
      </c>
      <c r="G82" s="81" t="s">
        <v>334</v>
      </c>
      <c r="H82" s="83"/>
    </row>
    <row r="83" customFormat="false" ht="30" hidden="false" customHeight="true" outlineLevel="0" collapsed="false">
      <c r="A83" s="81" t="n">
        <v>74</v>
      </c>
      <c r="B83" s="85" t="s">
        <v>2752</v>
      </c>
      <c r="C83" s="88" t="s">
        <v>2753</v>
      </c>
      <c r="D83" s="83" t="s">
        <v>2754</v>
      </c>
      <c r="E83" s="87" t="s">
        <v>2755</v>
      </c>
      <c r="F83" s="81" t="n">
        <v>26</v>
      </c>
      <c r="G83" s="81" t="s">
        <v>334</v>
      </c>
      <c r="H83" s="83"/>
    </row>
    <row r="84" customFormat="false" ht="30" hidden="false" customHeight="true" outlineLevel="0" collapsed="false">
      <c r="A84" s="81" t="n">
        <v>75</v>
      </c>
      <c r="B84" s="85" t="s">
        <v>2756</v>
      </c>
      <c r="C84" s="88" t="s">
        <v>2757</v>
      </c>
      <c r="D84" s="83" t="s">
        <v>1829</v>
      </c>
      <c r="E84" s="87" t="s">
        <v>2758</v>
      </c>
      <c r="F84" s="81" t="n">
        <v>26</v>
      </c>
      <c r="G84" s="81" t="s">
        <v>334</v>
      </c>
      <c r="H84" s="83"/>
    </row>
    <row r="85" customFormat="false" ht="30" hidden="false" customHeight="true" outlineLevel="0" collapsed="false">
      <c r="A85" s="81" t="n">
        <v>76</v>
      </c>
      <c r="B85" s="85" t="s">
        <v>2759</v>
      </c>
      <c r="C85" s="88" t="s">
        <v>2760</v>
      </c>
      <c r="D85" s="83" t="s">
        <v>121</v>
      </c>
      <c r="E85" s="87" t="s">
        <v>2761</v>
      </c>
      <c r="F85" s="81" t="n">
        <v>26</v>
      </c>
      <c r="G85" s="81" t="s">
        <v>334</v>
      </c>
      <c r="H85" s="83"/>
    </row>
    <row r="86" customFormat="false" ht="30" hidden="false" customHeight="true" outlineLevel="0" collapsed="false">
      <c r="A86" s="81" t="n">
        <v>77</v>
      </c>
      <c r="B86" s="85" t="s">
        <v>2762</v>
      </c>
      <c r="C86" s="88" t="s">
        <v>2763</v>
      </c>
      <c r="D86" s="83" t="s">
        <v>2764</v>
      </c>
      <c r="E86" s="87" t="s">
        <v>2765</v>
      </c>
      <c r="F86" s="81" t="n">
        <v>26</v>
      </c>
      <c r="G86" s="81" t="s">
        <v>334</v>
      </c>
      <c r="H86" s="83"/>
    </row>
    <row r="87" customFormat="false" ht="30" hidden="false" customHeight="true" outlineLevel="0" collapsed="false">
      <c r="A87" s="81" t="n">
        <v>78</v>
      </c>
      <c r="B87" s="85" t="s">
        <v>2766</v>
      </c>
      <c r="C87" s="88" t="s">
        <v>2767</v>
      </c>
      <c r="D87" s="83" t="s">
        <v>1902</v>
      </c>
      <c r="E87" s="87" t="s">
        <v>2768</v>
      </c>
      <c r="F87" s="81" t="n">
        <v>27</v>
      </c>
      <c r="G87" s="81" t="s">
        <v>334</v>
      </c>
      <c r="H87" s="83"/>
    </row>
    <row r="88" customFormat="false" ht="30" hidden="false" customHeight="true" outlineLevel="0" collapsed="false">
      <c r="A88" s="81" t="n">
        <v>79</v>
      </c>
      <c r="B88" s="85" t="s">
        <v>2769</v>
      </c>
      <c r="C88" s="88"/>
      <c r="D88" s="83" t="s">
        <v>2770</v>
      </c>
      <c r="E88" s="83" t="s">
        <v>2771</v>
      </c>
      <c r="F88" s="81" t="n">
        <v>27</v>
      </c>
      <c r="G88" s="81" t="s">
        <v>334</v>
      </c>
      <c r="H88" s="83"/>
    </row>
    <row r="89" customFormat="false" ht="30" hidden="false" customHeight="true" outlineLevel="0" collapsed="false">
      <c r="A89" s="81" t="n">
        <v>80</v>
      </c>
      <c r="B89" s="85" t="s">
        <v>2772</v>
      </c>
      <c r="C89" s="88" t="s">
        <v>2773</v>
      </c>
      <c r="D89" s="83" t="s">
        <v>2774</v>
      </c>
      <c r="E89" s="87" t="s">
        <v>2775</v>
      </c>
      <c r="F89" s="81" t="n">
        <v>27</v>
      </c>
      <c r="G89" s="81" t="s">
        <v>334</v>
      </c>
      <c r="H89" s="83"/>
    </row>
    <row r="90" customFormat="false" ht="30" hidden="false" customHeight="true" outlineLevel="0" collapsed="false">
      <c r="A90" s="81" t="n">
        <v>81</v>
      </c>
      <c r="B90" s="85" t="s">
        <v>2776</v>
      </c>
      <c r="C90" s="88" t="s">
        <v>2777</v>
      </c>
      <c r="D90" s="83" t="s">
        <v>2778</v>
      </c>
      <c r="E90" s="87" t="s">
        <v>2779</v>
      </c>
      <c r="F90" s="81" t="n">
        <v>27</v>
      </c>
      <c r="G90" s="81" t="s">
        <v>334</v>
      </c>
      <c r="H90" s="83"/>
    </row>
    <row r="91" customFormat="false" ht="30" hidden="false" customHeight="true" outlineLevel="0" collapsed="false">
      <c r="A91" s="81" t="n">
        <v>82</v>
      </c>
      <c r="B91" s="85" t="s">
        <v>2780</v>
      </c>
      <c r="C91" s="88" t="s">
        <v>2781</v>
      </c>
      <c r="D91" s="83" t="s">
        <v>2782</v>
      </c>
      <c r="E91" s="83" t="s">
        <v>2783</v>
      </c>
      <c r="F91" s="81" t="n">
        <v>27</v>
      </c>
      <c r="G91" s="81" t="s">
        <v>334</v>
      </c>
      <c r="H91" s="83"/>
    </row>
    <row r="92" customFormat="false" ht="30" hidden="false" customHeight="true" outlineLevel="0" collapsed="false">
      <c r="A92" s="81" t="n">
        <v>83</v>
      </c>
      <c r="B92" s="85" t="s">
        <v>2784</v>
      </c>
      <c r="C92" s="88" t="s">
        <v>2785</v>
      </c>
      <c r="D92" s="83" t="s">
        <v>2786</v>
      </c>
      <c r="E92" s="83" t="s">
        <v>2787</v>
      </c>
      <c r="F92" s="81" t="n">
        <v>27</v>
      </c>
      <c r="G92" s="81" t="s">
        <v>334</v>
      </c>
      <c r="H92" s="83"/>
    </row>
    <row r="93" customFormat="false" ht="30" hidden="false" customHeight="true" outlineLevel="0" collapsed="false">
      <c r="A93" s="81" t="n">
        <v>84</v>
      </c>
      <c r="B93" s="85" t="s">
        <v>1986</v>
      </c>
      <c r="C93" s="88" t="s">
        <v>193</v>
      </c>
      <c r="D93" s="83" t="s">
        <v>1985</v>
      </c>
      <c r="E93" s="83" t="s">
        <v>2788</v>
      </c>
      <c r="F93" s="81" t="n">
        <v>27</v>
      </c>
      <c r="G93" s="81" t="s">
        <v>334</v>
      </c>
      <c r="H93" s="83"/>
    </row>
    <row r="94" customFormat="false" ht="24" hidden="false" customHeight="true" outlineLevel="0" collapsed="false">
      <c r="A94" s="9" t="s">
        <v>2789</v>
      </c>
      <c r="B94" s="9"/>
      <c r="C94" s="9"/>
      <c r="D94" s="9"/>
      <c r="E94" s="9"/>
      <c r="F94" s="9"/>
      <c r="G94" s="9"/>
      <c r="H94" s="9"/>
    </row>
    <row r="95" customFormat="false" ht="30" hidden="false" customHeight="true" outlineLevel="0" collapsed="false">
      <c r="A95" s="81" t="n">
        <v>85</v>
      </c>
      <c r="B95" s="85" t="s">
        <v>2790</v>
      </c>
      <c r="C95" s="88"/>
      <c r="D95" s="83" t="s">
        <v>2791</v>
      </c>
      <c r="E95" s="83" t="s">
        <v>2792</v>
      </c>
      <c r="F95" s="81" t="n">
        <v>29</v>
      </c>
      <c r="G95" s="81" t="s">
        <v>334</v>
      </c>
      <c r="H95" s="83"/>
    </row>
    <row r="96" customFormat="false" ht="30" hidden="false" customHeight="true" outlineLevel="0" collapsed="false">
      <c r="A96" s="81" t="n">
        <v>86</v>
      </c>
      <c r="B96" s="85" t="s">
        <v>2793</v>
      </c>
      <c r="C96" s="88"/>
      <c r="D96" s="83" t="s">
        <v>2794</v>
      </c>
      <c r="E96" s="83" t="s">
        <v>2795</v>
      </c>
      <c r="F96" s="81" t="n">
        <v>29</v>
      </c>
      <c r="G96" s="81" t="s">
        <v>334</v>
      </c>
      <c r="H96" s="83"/>
    </row>
    <row r="97" customFormat="false" ht="30" hidden="false" customHeight="true" outlineLevel="0" collapsed="false">
      <c r="A97" s="81" t="n">
        <v>87</v>
      </c>
      <c r="B97" s="85" t="s">
        <v>2796</v>
      </c>
      <c r="C97" s="88" t="s">
        <v>2797</v>
      </c>
      <c r="D97" s="83" t="s">
        <v>2798</v>
      </c>
      <c r="E97" s="87" t="s">
        <v>2799</v>
      </c>
      <c r="F97" s="81" t="n">
        <v>29</v>
      </c>
      <c r="G97" s="81" t="s">
        <v>334</v>
      </c>
      <c r="H97" s="83"/>
    </row>
    <row r="98" customFormat="false" ht="30" hidden="false" customHeight="true" outlineLevel="0" collapsed="false">
      <c r="A98" s="81" t="n">
        <v>88</v>
      </c>
      <c r="B98" s="85" t="s">
        <v>2800</v>
      </c>
      <c r="C98" s="88" t="s">
        <v>2801</v>
      </c>
      <c r="D98" s="83" t="s">
        <v>2802</v>
      </c>
      <c r="E98" s="87" t="s">
        <v>2803</v>
      </c>
      <c r="F98" s="81" t="n">
        <v>29</v>
      </c>
      <c r="G98" s="81" t="s">
        <v>334</v>
      </c>
      <c r="H98" s="83"/>
    </row>
    <row r="99" customFormat="false" ht="30" hidden="false" customHeight="true" outlineLevel="0" collapsed="false">
      <c r="A99" s="81" t="n">
        <v>89</v>
      </c>
      <c r="B99" s="85" t="s">
        <v>2804</v>
      </c>
      <c r="C99" s="88" t="s">
        <v>2805</v>
      </c>
      <c r="D99" s="83" t="s">
        <v>2806</v>
      </c>
      <c r="E99" s="87" t="s">
        <v>2807</v>
      </c>
      <c r="F99" s="81" t="n">
        <v>29</v>
      </c>
      <c r="G99" s="81" t="s">
        <v>334</v>
      </c>
      <c r="H99" s="83"/>
    </row>
    <row r="100" customFormat="false" ht="30" hidden="false" customHeight="true" outlineLevel="0" collapsed="false">
      <c r="A100" s="81" t="n">
        <v>90</v>
      </c>
      <c r="B100" s="85" t="s">
        <v>2808</v>
      </c>
      <c r="C100" s="88" t="s">
        <v>2809</v>
      </c>
      <c r="D100" s="83" t="s">
        <v>2810</v>
      </c>
      <c r="E100" s="87" t="s">
        <v>2811</v>
      </c>
      <c r="F100" s="81" t="n">
        <v>29</v>
      </c>
      <c r="G100" s="81" t="s">
        <v>334</v>
      </c>
      <c r="H100" s="83"/>
    </row>
    <row r="101" customFormat="false" ht="30" hidden="false" customHeight="true" outlineLevel="0" collapsed="false">
      <c r="A101" s="81" t="n">
        <v>91</v>
      </c>
      <c r="B101" s="85" t="s">
        <v>2812</v>
      </c>
      <c r="C101" s="88"/>
      <c r="D101" s="83" t="s">
        <v>2813</v>
      </c>
      <c r="E101" s="87" t="s">
        <v>2814</v>
      </c>
      <c r="F101" s="81" t="n">
        <v>29</v>
      </c>
      <c r="G101" s="81" t="s">
        <v>334</v>
      </c>
      <c r="H101" s="83"/>
    </row>
    <row r="102" customFormat="false" ht="30" hidden="false" customHeight="true" outlineLevel="0" collapsed="false">
      <c r="A102" s="81" t="n">
        <v>92</v>
      </c>
      <c r="B102" s="85" t="s">
        <v>856</v>
      </c>
      <c r="C102" s="88" t="s">
        <v>1578</v>
      </c>
      <c r="D102" s="83" t="s">
        <v>1580</v>
      </c>
      <c r="E102" s="83" t="s">
        <v>2815</v>
      </c>
      <c r="F102" s="81" t="n">
        <v>30</v>
      </c>
      <c r="G102" s="81" t="s">
        <v>334</v>
      </c>
      <c r="H102" s="83"/>
    </row>
    <row r="103" customFormat="false" ht="30" hidden="false" customHeight="true" outlineLevel="0" collapsed="false">
      <c r="A103" s="81" t="n">
        <v>93</v>
      </c>
      <c r="B103" s="85" t="s">
        <v>2816</v>
      </c>
      <c r="C103" s="88" t="s">
        <v>2817</v>
      </c>
      <c r="D103" s="83" t="s">
        <v>2818</v>
      </c>
      <c r="E103" s="83" t="s">
        <v>2819</v>
      </c>
      <c r="F103" s="81" t="n">
        <v>30</v>
      </c>
      <c r="G103" s="81" t="s">
        <v>334</v>
      </c>
      <c r="H103" s="83"/>
    </row>
    <row r="104" customFormat="false" ht="30" hidden="false" customHeight="true" outlineLevel="0" collapsed="false">
      <c r="A104" s="81" t="n">
        <v>94</v>
      </c>
      <c r="B104" s="85" t="s">
        <v>2820</v>
      </c>
      <c r="C104" s="88"/>
      <c r="D104" s="83" t="s">
        <v>2821</v>
      </c>
      <c r="E104" s="83" t="s">
        <v>2822</v>
      </c>
      <c r="F104" s="81" t="n">
        <v>30</v>
      </c>
      <c r="G104" s="81" t="s">
        <v>334</v>
      </c>
      <c r="H104" s="83"/>
    </row>
    <row r="105" customFormat="false" ht="30" hidden="false" customHeight="true" outlineLevel="0" collapsed="false">
      <c r="A105" s="81" t="n">
        <v>95</v>
      </c>
      <c r="B105" s="85" t="s">
        <v>2823</v>
      </c>
      <c r="C105" s="88" t="s">
        <v>2824</v>
      </c>
      <c r="D105" s="83" t="s">
        <v>2825</v>
      </c>
      <c r="E105" s="87" t="s">
        <v>2826</v>
      </c>
      <c r="F105" s="81" t="n">
        <v>30</v>
      </c>
      <c r="G105" s="81" t="s">
        <v>334</v>
      </c>
      <c r="H105" s="83"/>
    </row>
    <row r="106" customFormat="false" ht="30" hidden="false" customHeight="true" outlineLevel="0" collapsed="false">
      <c r="A106" s="81" t="n">
        <v>96</v>
      </c>
      <c r="B106" s="85" t="s">
        <v>1927</v>
      </c>
      <c r="C106" s="88" t="s">
        <v>1924</v>
      </c>
      <c r="D106" s="83" t="s">
        <v>1926</v>
      </c>
      <c r="E106" s="87" t="s">
        <v>2827</v>
      </c>
      <c r="F106" s="81" t="n">
        <v>30</v>
      </c>
      <c r="G106" s="81" t="s">
        <v>334</v>
      </c>
      <c r="H106" s="83"/>
    </row>
    <row r="107" customFormat="false" ht="30" hidden="false" customHeight="true" outlineLevel="0" collapsed="false">
      <c r="A107" s="81" t="n">
        <v>97</v>
      </c>
      <c r="B107" s="85" t="s">
        <v>2828</v>
      </c>
      <c r="C107" s="88"/>
      <c r="D107" s="83" t="s">
        <v>2829</v>
      </c>
      <c r="E107" s="83" t="s">
        <v>2830</v>
      </c>
      <c r="F107" s="81" t="n">
        <v>30</v>
      </c>
      <c r="G107" s="81" t="s">
        <v>334</v>
      </c>
      <c r="H107" s="83"/>
    </row>
    <row r="108" customFormat="false" ht="30" hidden="false" customHeight="true" outlineLevel="0" collapsed="false">
      <c r="A108" s="81" t="n">
        <v>98</v>
      </c>
      <c r="B108" s="85" t="s">
        <v>2831</v>
      </c>
      <c r="C108" s="88" t="s">
        <v>2832</v>
      </c>
      <c r="D108" s="83" t="s">
        <v>2833</v>
      </c>
      <c r="E108" s="83" t="s">
        <v>2834</v>
      </c>
      <c r="F108" s="81" t="n">
        <v>30</v>
      </c>
      <c r="G108" s="81" t="s">
        <v>334</v>
      </c>
      <c r="H108" s="83"/>
    </row>
    <row r="109" customFormat="false" ht="24" hidden="false" customHeight="true" outlineLevel="0" collapsed="false">
      <c r="A109" s="9" t="s">
        <v>2835</v>
      </c>
      <c r="B109" s="9"/>
      <c r="C109" s="9"/>
      <c r="D109" s="9"/>
      <c r="E109" s="9"/>
      <c r="F109" s="9"/>
      <c r="G109" s="9"/>
      <c r="H109" s="9"/>
    </row>
    <row r="110" customFormat="false" ht="30" hidden="false" customHeight="true" outlineLevel="0" collapsed="false">
      <c r="A110" s="81" t="n">
        <v>99</v>
      </c>
      <c r="B110" s="85" t="s">
        <v>2836</v>
      </c>
      <c r="C110" s="88" t="s">
        <v>2837</v>
      </c>
      <c r="D110" s="83" t="s">
        <v>2838</v>
      </c>
      <c r="E110" s="87" t="s">
        <v>2839</v>
      </c>
      <c r="F110" s="81" t="n">
        <v>31</v>
      </c>
      <c r="G110" s="81" t="s">
        <v>334</v>
      </c>
      <c r="H110" s="83"/>
    </row>
    <row r="111" customFormat="false" ht="30" hidden="false" customHeight="true" outlineLevel="0" collapsed="false">
      <c r="A111" s="81" t="n">
        <v>100</v>
      </c>
      <c r="B111" s="85" t="s">
        <v>2840</v>
      </c>
      <c r="C111" s="88" t="s">
        <v>2841</v>
      </c>
      <c r="D111" s="83" t="s">
        <v>1661</v>
      </c>
      <c r="E111" s="87" t="s">
        <v>2842</v>
      </c>
      <c r="F111" s="81" t="n">
        <v>31</v>
      </c>
      <c r="G111" s="81" t="s">
        <v>334</v>
      </c>
      <c r="H111" s="83"/>
    </row>
    <row r="112" customFormat="false" ht="30" hidden="false" customHeight="true" outlineLevel="0" collapsed="false">
      <c r="A112" s="81" t="n">
        <v>101</v>
      </c>
      <c r="B112" s="85" t="s">
        <v>2843</v>
      </c>
      <c r="C112" s="88" t="s">
        <v>2844</v>
      </c>
      <c r="D112" s="83" t="s">
        <v>1547</v>
      </c>
      <c r="E112" s="87" t="s">
        <v>2845</v>
      </c>
      <c r="F112" s="81" t="n">
        <v>31</v>
      </c>
      <c r="G112" s="81" t="s">
        <v>334</v>
      </c>
      <c r="H112" s="83"/>
    </row>
    <row r="113" customFormat="false" ht="30" hidden="false" customHeight="true" outlineLevel="0" collapsed="false">
      <c r="A113" s="81" t="n">
        <v>102</v>
      </c>
      <c r="B113" s="85" t="s">
        <v>2846</v>
      </c>
      <c r="C113" s="88" t="s">
        <v>2847</v>
      </c>
      <c r="D113" s="83" t="s">
        <v>1892</v>
      </c>
      <c r="E113" s="87" t="s">
        <v>2848</v>
      </c>
      <c r="F113" s="81" t="n">
        <v>31</v>
      </c>
      <c r="G113" s="81" t="s">
        <v>334</v>
      </c>
      <c r="H113" s="83"/>
    </row>
    <row r="114" customFormat="false" ht="30" hidden="false" customHeight="true" outlineLevel="0" collapsed="false">
      <c r="A114" s="81" t="n">
        <v>103</v>
      </c>
      <c r="B114" s="85" t="s">
        <v>2849</v>
      </c>
      <c r="C114" s="88" t="s">
        <v>2850</v>
      </c>
      <c r="D114" s="83" t="s">
        <v>1592</v>
      </c>
      <c r="E114" s="87" t="s">
        <v>2851</v>
      </c>
      <c r="F114" s="81" t="n">
        <v>31</v>
      </c>
      <c r="G114" s="81" t="s">
        <v>334</v>
      </c>
      <c r="H114" s="83"/>
    </row>
    <row r="115" customFormat="false" ht="30" hidden="false" customHeight="true" outlineLevel="0" collapsed="false">
      <c r="A115" s="81" t="n">
        <v>104</v>
      </c>
      <c r="B115" s="85" t="s">
        <v>2852</v>
      </c>
      <c r="C115" s="88" t="s">
        <v>2853</v>
      </c>
      <c r="D115" s="83" t="s">
        <v>2854</v>
      </c>
      <c r="E115" s="87" t="s">
        <v>2855</v>
      </c>
      <c r="F115" s="81" t="n">
        <v>31</v>
      </c>
      <c r="G115" s="81" t="s">
        <v>334</v>
      </c>
      <c r="H115" s="83"/>
    </row>
    <row r="116" customFormat="false" ht="30" hidden="false" customHeight="true" outlineLevel="0" collapsed="false">
      <c r="A116" s="81" t="n">
        <v>105</v>
      </c>
      <c r="B116" s="85" t="s">
        <v>2856</v>
      </c>
      <c r="C116" s="88" t="s">
        <v>2857</v>
      </c>
      <c r="D116" s="83" t="s">
        <v>2858</v>
      </c>
      <c r="E116" s="83" t="s">
        <v>2859</v>
      </c>
      <c r="F116" s="81" t="n">
        <v>31</v>
      </c>
      <c r="G116" s="81" t="s">
        <v>334</v>
      </c>
      <c r="H116" s="83"/>
    </row>
    <row r="117" customFormat="false" ht="30" hidden="false" customHeight="true" outlineLevel="0" collapsed="false">
      <c r="A117" s="81" t="n">
        <v>106</v>
      </c>
      <c r="B117" s="85" t="s">
        <v>2860</v>
      </c>
      <c r="C117" s="88" t="s">
        <v>2861</v>
      </c>
      <c r="D117" s="83" t="s">
        <v>2862</v>
      </c>
      <c r="E117" s="87" t="s">
        <v>2863</v>
      </c>
      <c r="F117" s="81" t="n">
        <v>32</v>
      </c>
      <c r="G117" s="81" t="s">
        <v>334</v>
      </c>
      <c r="H117" s="83"/>
    </row>
    <row r="118" customFormat="false" ht="30" hidden="false" customHeight="true" outlineLevel="0" collapsed="false">
      <c r="A118" s="81" t="n">
        <v>107</v>
      </c>
      <c r="B118" s="85" t="s">
        <v>2864</v>
      </c>
      <c r="C118" s="88" t="s">
        <v>2865</v>
      </c>
      <c r="D118" s="83" t="s">
        <v>2866</v>
      </c>
      <c r="E118" s="87" t="s">
        <v>2867</v>
      </c>
      <c r="F118" s="81" t="n">
        <v>32</v>
      </c>
      <c r="G118" s="81" t="s">
        <v>334</v>
      </c>
      <c r="H118" s="83"/>
    </row>
    <row r="119" customFormat="false" ht="30" hidden="false" customHeight="true" outlineLevel="0" collapsed="false">
      <c r="A119" s="81" t="n">
        <v>108</v>
      </c>
      <c r="B119" s="85" t="s">
        <v>2868</v>
      </c>
      <c r="C119" s="88"/>
      <c r="D119" s="83" t="s">
        <v>2869</v>
      </c>
      <c r="E119" s="83" t="s">
        <v>2870</v>
      </c>
      <c r="F119" s="81" t="n">
        <v>32</v>
      </c>
      <c r="G119" s="81" t="s">
        <v>334</v>
      </c>
      <c r="H119" s="83"/>
    </row>
    <row r="120" customFormat="false" ht="30" hidden="false" customHeight="true" outlineLevel="0" collapsed="false">
      <c r="A120" s="81" t="n">
        <v>109</v>
      </c>
      <c r="B120" s="85" t="s">
        <v>2871</v>
      </c>
      <c r="C120" s="88" t="s">
        <v>2872</v>
      </c>
      <c r="D120" s="83" t="s">
        <v>2873</v>
      </c>
      <c r="E120" s="83" t="s">
        <v>2874</v>
      </c>
      <c r="F120" s="81" t="n">
        <v>32</v>
      </c>
      <c r="G120" s="81" t="s">
        <v>334</v>
      </c>
      <c r="H120" s="83"/>
    </row>
    <row r="121" customFormat="false" ht="30" hidden="false" customHeight="true" outlineLevel="0" collapsed="false">
      <c r="A121" s="81" t="n">
        <v>110</v>
      </c>
      <c r="B121" s="85" t="s">
        <v>2875</v>
      </c>
      <c r="C121" s="88" t="s">
        <v>2876</v>
      </c>
      <c r="D121" s="83" t="s">
        <v>2877</v>
      </c>
      <c r="E121" s="83" t="s">
        <v>2878</v>
      </c>
      <c r="F121" s="81" t="n">
        <v>32</v>
      </c>
      <c r="G121" s="81" t="s">
        <v>334</v>
      </c>
      <c r="H121" s="83"/>
    </row>
    <row r="122" customFormat="false" ht="30" hidden="false" customHeight="true" outlineLevel="0" collapsed="false">
      <c r="A122" s="81" t="n">
        <v>111</v>
      </c>
      <c r="B122" s="85" t="s">
        <v>2879</v>
      </c>
      <c r="C122" s="88" t="s">
        <v>2880</v>
      </c>
      <c r="D122" s="83" t="s">
        <v>2881</v>
      </c>
      <c r="E122" s="83" t="s">
        <v>2882</v>
      </c>
      <c r="F122" s="81" t="n">
        <v>32</v>
      </c>
      <c r="G122" s="81" t="s">
        <v>334</v>
      </c>
      <c r="H122" s="83"/>
    </row>
    <row r="123" customFormat="false" ht="30" hidden="false" customHeight="true" outlineLevel="0" collapsed="false">
      <c r="A123" s="81" t="n">
        <v>112</v>
      </c>
      <c r="B123" s="85" t="s">
        <v>2883</v>
      </c>
      <c r="C123" s="88" t="s">
        <v>2884</v>
      </c>
      <c r="D123" s="83" t="s">
        <v>2885</v>
      </c>
      <c r="E123" s="83" t="s">
        <v>2886</v>
      </c>
      <c r="F123" s="81" t="n">
        <v>32</v>
      </c>
      <c r="G123" s="81" t="s">
        <v>334</v>
      </c>
      <c r="H123" s="83"/>
    </row>
    <row r="124" customFormat="false" ht="24" hidden="false" customHeight="true" outlineLevel="0" collapsed="false">
      <c r="A124" s="9" t="s">
        <v>2887</v>
      </c>
      <c r="B124" s="9"/>
      <c r="C124" s="9"/>
      <c r="D124" s="9"/>
      <c r="E124" s="9"/>
      <c r="F124" s="9"/>
      <c r="G124" s="9"/>
      <c r="H124" s="9"/>
    </row>
    <row r="125" customFormat="false" ht="30" hidden="false" customHeight="true" outlineLevel="0" collapsed="false">
      <c r="A125" s="81" t="n">
        <v>113</v>
      </c>
      <c r="B125" s="85" t="s">
        <v>2888</v>
      </c>
      <c r="C125" s="88" t="s">
        <v>2889</v>
      </c>
      <c r="D125" s="83" t="s">
        <v>2890</v>
      </c>
      <c r="E125" s="87" t="s">
        <v>2891</v>
      </c>
      <c r="F125" s="81" t="n">
        <v>33</v>
      </c>
      <c r="G125" s="81" t="s">
        <v>334</v>
      </c>
      <c r="H125" s="83"/>
    </row>
    <row r="126" customFormat="false" ht="30" hidden="false" customHeight="true" outlineLevel="0" collapsed="false">
      <c r="A126" s="81" t="n">
        <v>114</v>
      </c>
      <c r="B126" s="85" t="s">
        <v>2892</v>
      </c>
      <c r="C126" s="88" t="s">
        <v>2893</v>
      </c>
      <c r="D126" s="83" t="s">
        <v>2894</v>
      </c>
      <c r="E126" s="87" t="s">
        <v>2895</v>
      </c>
      <c r="F126" s="81" t="n">
        <v>33</v>
      </c>
      <c r="G126" s="81" t="s">
        <v>334</v>
      </c>
      <c r="H126" s="83"/>
    </row>
    <row r="127" customFormat="false" ht="30" hidden="false" customHeight="true" outlineLevel="0" collapsed="false">
      <c r="A127" s="81" t="n">
        <v>115</v>
      </c>
      <c r="B127" s="85" t="s">
        <v>2896</v>
      </c>
      <c r="C127" s="88" t="s">
        <v>2897</v>
      </c>
      <c r="D127" s="83" t="s">
        <v>2898</v>
      </c>
      <c r="E127" s="83" t="s">
        <v>2899</v>
      </c>
      <c r="F127" s="81" t="n">
        <v>33</v>
      </c>
      <c r="G127" s="81" t="s">
        <v>334</v>
      </c>
      <c r="H127" s="83"/>
    </row>
    <row r="128" customFormat="false" ht="30" hidden="false" customHeight="true" outlineLevel="0" collapsed="false">
      <c r="A128" s="81" t="n">
        <v>116</v>
      </c>
      <c r="B128" s="85" t="s">
        <v>2900</v>
      </c>
      <c r="C128" s="88" t="s">
        <v>2901</v>
      </c>
      <c r="D128" s="83" t="s">
        <v>2902</v>
      </c>
      <c r="E128" s="83" t="s">
        <v>2903</v>
      </c>
      <c r="F128" s="81" t="n">
        <v>33</v>
      </c>
      <c r="G128" s="81" t="s">
        <v>334</v>
      </c>
      <c r="H128" s="83"/>
    </row>
    <row r="129" customFormat="false" ht="30" hidden="false" customHeight="true" outlineLevel="0" collapsed="false">
      <c r="A129" s="81" t="n">
        <v>117</v>
      </c>
      <c r="B129" s="85" t="s">
        <v>2904</v>
      </c>
      <c r="C129" s="88" t="s">
        <v>2905</v>
      </c>
      <c r="D129" s="83" t="s">
        <v>2906</v>
      </c>
      <c r="E129" s="87" t="s">
        <v>2907</v>
      </c>
      <c r="F129" s="81" t="n">
        <v>33</v>
      </c>
      <c r="G129" s="81" t="s">
        <v>334</v>
      </c>
      <c r="H129" s="83"/>
    </row>
    <row r="130" customFormat="false" ht="30" hidden="false" customHeight="true" outlineLevel="0" collapsed="false">
      <c r="A130" s="81" t="n">
        <v>118</v>
      </c>
      <c r="B130" s="85" t="s">
        <v>2908</v>
      </c>
      <c r="C130" s="88"/>
      <c r="D130" s="83" t="s">
        <v>2909</v>
      </c>
      <c r="E130" s="83" t="s">
        <v>2910</v>
      </c>
      <c r="F130" s="81" t="n">
        <v>33</v>
      </c>
      <c r="G130" s="81" t="s">
        <v>334</v>
      </c>
      <c r="H130" s="83"/>
    </row>
    <row r="131" customFormat="false" ht="30" hidden="false" customHeight="true" outlineLevel="0" collapsed="false">
      <c r="A131" s="81" t="n">
        <v>119</v>
      </c>
      <c r="B131" s="85" t="s">
        <v>2911</v>
      </c>
      <c r="C131" s="88" t="s">
        <v>2912</v>
      </c>
      <c r="D131" s="83" t="s">
        <v>2913</v>
      </c>
      <c r="E131" s="83" t="s">
        <v>2914</v>
      </c>
      <c r="F131" s="81" t="n">
        <v>33</v>
      </c>
      <c r="G131" s="81" t="s">
        <v>334</v>
      </c>
      <c r="H131" s="83"/>
    </row>
    <row r="132" customFormat="false" ht="30" hidden="false" customHeight="true" outlineLevel="0" collapsed="false">
      <c r="A132" s="81" t="n">
        <v>120</v>
      </c>
      <c r="B132" s="85" t="s">
        <v>2915</v>
      </c>
      <c r="C132" s="88" t="s">
        <v>2916</v>
      </c>
      <c r="D132" s="83" t="s">
        <v>2917</v>
      </c>
      <c r="E132" s="83" t="s">
        <v>2918</v>
      </c>
      <c r="F132" s="81" t="n">
        <v>34</v>
      </c>
      <c r="G132" s="81" t="s">
        <v>334</v>
      </c>
      <c r="H132" s="83"/>
    </row>
    <row r="133" customFormat="false" ht="30" hidden="false" customHeight="true" outlineLevel="0" collapsed="false">
      <c r="A133" s="81" t="n">
        <v>121</v>
      </c>
      <c r="B133" s="85" t="s">
        <v>2919</v>
      </c>
      <c r="C133" s="88" t="s">
        <v>2920</v>
      </c>
      <c r="D133" s="83" t="s">
        <v>2921</v>
      </c>
      <c r="E133" s="83" t="s">
        <v>2922</v>
      </c>
      <c r="F133" s="81" t="n">
        <v>34</v>
      </c>
      <c r="G133" s="81" t="s">
        <v>334</v>
      </c>
      <c r="H133" s="83"/>
    </row>
    <row r="134" customFormat="false" ht="30" hidden="false" customHeight="true" outlineLevel="0" collapsed="false">
      <c r="A134" s="81" t="n">
        <v>122</v>
      </c>
      <c r="B134" s="85" t="s">
        <v>2923</v>
      </c>
      <c r="C134" s="88"/>
      <c r="D134" s="83" t="s">
        <v>2924</v>
      </c>
      <c r="E134" s="83" t="s">
        <v>2925</v>
      </c>
      <c r="F134" s="81" t="n">
        <v>34</v>
      </c>
      <c r="G134" s="81" t="s">
        <v>334</v>
      </c>
      <c r="H134" s="83"/>
    </row>
    <row r="135" customFormat="false" ht="30" hidden="false" customHeight="true" outlineLevel="0" collapsed="false">
      <c r="A135" s="81" t="n">
        <v>123</v>
      </c>
      <c r="B135" s="85" t="s">
        <v>2926</v>
      </c>
      <c r="C135" s="88"/>
      <c r="D135" s="83" t="s">
        <v>2927</v>
      </c>
      <c r="E135" s="87" t="s">
        <v>2928</v>
      </c>
      <c r="F135" s="81" t="n">
        <v>34</v>
      </c>
      <c r="G135" s="81" t="s">
        <v>334</v>
      </c>
      <c r="H135" s="83"/>
    </row>
    <row r="136" customFormat="false" ht="30" hidden="false" customHeight="true" outlineLevel="0" collapsed="false">
      <c r="A136" s="81" t="n">
        <v>124</v>
      </c>
      <c r="B136" s="85" t="s">
        <v>2929</v>
      </c>
      <c r="C136" s="88"/>
      <c r="D136" s="83" t="s">
        <v>2930</v>
      </c>
      <c r="E136" s="83" t="s">
        <v>2931</v>
      </c>
      <c r="F136" s="81" t="n">
        <v>34</v>
      </c>
      <c r="G136" s="81" t="s">
        <v>334</v>
      </c>
      <c r="H136" s="83"/>
    </row>
    <row r="137" customFormat="false" ht="30" hidden="false" customHeight="true" outlineLevel="0" collapsed="false">
      <c r="A137" s="81" t="n">
        <v>125</v>
      </c>
      <c r="B137" s="85" t="s">
        <v>2932</v>
      </c>
      <c r="C137" s="88" t="s">
        <v>2933</v>
      </c>
      <c r="D137" s="83" t="s">
        <v>2934</v>
      </c>
      <c r="E137" s="83" t="s">
        <v>2935</v>
      </c>
      <c r="F137" s="81" t="n">
        <v>34</v>
      </c>
      <c r="G137" s="81" t="s">
        <v>334</v>
      </c>
      <c r="H137" s="83"/>
    </row>
    <row r="138" customFormat="false" ht="30" hidden="false" customHeight="true" outlineLevel="0" collapsed="false">
      <c r="A138" s="81" t="n">
        <v>126</v>
      </c>
      <c r="B138" s="85" t="s">
        <v>2936</v>
      </c>
      <c r="C138" s="88"/>
      <c r="D138" s="83" t="s">
        <v>2937</v>
      </c>
      <c r="E138" s="83" t="s">
        <v>2938</v>
      </c>
      <c r="F138" s="81" t="n">
        <v>34</v>
      </c>
      <c r="G138" s="81" t="s">
        <v>334</v>
      </c>
      <c r="H138" s="83"/>
    </row>
    <row r="139" customFormat="false" ht="24" hidden="false" customHeight="true" outlineLevel="0" collapsed="false">
      <c r="A139" s="9" t="s">
        <v>2939</v>
      </c>
      <c r="B139" s="9"/>
      <c r="C139" s="9"/>
      <c r="D139" s="9"/>
      <c r="E139" s="9"/>
      <c r="F139" s="9"/>
      <c r="G139" s="9"/>
      <c r="H139" s="9"/>
    </row>
    <row r="140" customFormat="false" ht="30" hidden="false" customHeight="true" outlineLevel="0" collapsed="false">
      <c r="A140" s="81" t="n">
        <v>127</v>
      </c>
      <c r="B140" s="85" t="s">
        <v>2940</v>
      </c>
      <c r="C140" s="88"/>
      <c r="D140" s="83" t="s">
        <v>2941</v>
      </c>
      <c r="E140" s="83" t="s">
        <v>2942</v>
      </c>
      <c r="F140" s="81" t="n">
        <v>36</v>
      </c>
      <c r="G140" s="81" t="s">
        <v>334</v>
      </c>
      <c r="H140" s="83"/>
    </row>
    <row r="141" customFormat="false" ht="30" hidden="false" customHeight="true" outlineLevel="0" collapsed="false">
      <c r="A141" s="81" t="n">
        <v>128</v>
      </c>
      <c r="B141" s="85" t="s">
        <v>2943</v>
      </c>
      <c r="C141" s="88" t="s">
        <v>1518</v>
      </c>
      <c r="D141" s="83" t="s">
        <v>2944</v>
      </c>
      <c r="E141" s="87" t="s">
        <v>2945</v>
      </c>
      <c r="F141" s="81" t="n">
        <v>36</v>
      </c>
      <c r="G141" s="81" t="s">
        <v>334</v>
      </c>
      <c r="H141" s="83"/>
    </row>
    <row r="142" customFormat="false" ht="30" hidden="false" customHeight="true" outlineLevel="0" collapsed="false">
      <c r="A142" s="81" t="n">
        <v>129</v>
      </c>
      <c r="B142" s="85" t="s">
        <v>2946</v>
      </c>
      <c r="C142" s="88" t="s">
        <v>1640</v>
      </c>
      <c r="D142" s="83" t="s">
        <v>2947</v>
      </c>
      <c r="E142" s="87" t="s">
        <v>2948</v>
      </c>
      <c r="F142" s="81" t="n">
        <v>36</v>
      </c>
      <c r="G142" s="81" t="s">
        <v>334</v>
      </c>
      <c r="H142" s="83"/>
    </row>
    <row r="143" customFormat="false" ht="30" hidden="false" customHeight="true" outlineLevel="0" collapsed="false">
      <c r="A143" s="81" t="n">
        <v>130</v>
      </c>
      <c r="B143" s="85" t="s">
        <v>1495</v>
      </c>
      <c r="C143" s="88" t="s">
        <v>1491</v>
      </c>
      <c r="D143" s="83" t="s">
        <v>2949</v>
      </c>
      <c r="E143" s="87" t="s">
        <v>2950</v>
      </c>
      <c r="F143" s="81" t="n">
        <v>36</v>
      </c>
      <c r="G143" s="81" t="s">
        <v>334</v>
      </c>
      <c r="H143" s="83"/>
    </row>
    <row r="144" customFormat="false" ht="30" hidden="false" customHeight="true" outlineLevel="0" collapsed="false">
      <c r="A144" s="81" t="n">
        <v>131</v>
      </c>
      <c r="B144" s="85" t="s">
        <v>2951</v>
      </c>
      <c r="C144" s="88" t="s">
        <v>2952</v>
      </c>
      <c r="D144" s="83" t="s">
        <v>2953</v>
      </c>
      <c r="E144" s="87" t="s">
        <v>2954</v>
      </c>
      <c r="F144" s="81" t="n">
        <v>36</v>
      </c>
      <c r="G144" s="81" t="s">
        <v>334</v>
      </c>
      <c r="H144" s="83"/>
    </row>
    <row r="145" customFormat="false" ht="30" hidden="false" customHeight="true" outlineLevel="0" collapsed="false">
      <c r="A145" s="81" t="n">
        <v>132</v>
      </c>
      <c r="B145" s="85" t="s">
        <v>1418</v>
      </c>
      <c r="C145" s="88" t="s">
        <v>1414</v>
      </c>
      <c r="D145" s="83" t="s">
        <v>2955</v>
      </c>
      <c r="E145" s="87" t="s">
        <v>2956</v>
      </c>
      <c r="F145" s="81" t="n">
        <v>36</v>
      </c>
      <c r="G145" s="81" t="s">
        <v>334</v>
      </c>
      <c r="H145" s="83"/>
    </row>
    <row r="146" customFormat="false" ht="30" hidden="false" customHeight="true" outlineLevel="0" collapsed="false">
      <c r="A146" s="81" t="n">
        <v>133</v>
      </c>
      <c r="B146" s="85" t="s">
        <v>2957</v>
      </c>
      <c r="C146" s="88" t="s">
        <v>1612</v>
      </c>
      <c r="D146" s="83" t="s">
        <v>1614</v>
      </c>
      <c r="E146" s="87" t="s">
        <v>2958</v>
      </c>
      <c r="F146" s="81" t="n">
        <v>36</v>
      </c>
      <c r="G146" s="81" t="s">
        <v>334</v>
      </c>
      <c r="H146" s="83"/>
    </row>
    <row r="147" customFormat="false" ht="30" hidden="false" customHeight="true" outlineLevel="0" collapsed="false">
      <c r="A147" s="81" t="n">
        <v>134</v>
      </c>
      <c r="B147" s="85" t="s">
        <v>2959</v>
      </c>
      <c r="C147" s="88" t="s">
        <v>2960</v>
      </c>
      <c r="D147" s="83" t="s">
        <v>2961</v>
      </c>
      <c r="E147" s="87" t="s">
        <v>2962</v>
      </c>
      <c r="F147" s="81" t="n">
        <v>37</v>
      </c>
      <c r="G147" s="81" t="s">
        <v>334</v>
      </c>
      <c r="H147" s="83"/>
    </row>
    <row r="148" customFormat="false" ht="30" hidden="false" customHeight="true" outlineLevel="0" collapsed="false">
      <c r="A148" s="81" t="n">
        <v>135</v>
      </c>
      <c r="B148" s="85" t="s">
        <v>2963</v>
      </c>
      <c r="C148" s="88" t="s">
        <v>2964</v>
      </c>
      <c r="D148" s="83" t="s">
        <v>2965</v>
      </c>
      <c r="E148" s="87" t="s">
        <v>2966</v>
      </c>
      <c r="F148" s="81" t="n">
        <v>37</v>
      </c>
      <c r="G148" s="81" t="s">
        <v>334</v>
      </c>
      <c r="H148" s="83"/>
    </row>
    <row r="149" customFormat="false" ht="30" hidden="false" customHeight="true" outlineLevel="0" collapsed="false">
      <c r="A149" s="81" t="n">
        <v>136</v>
      </c>
      <c r="B149" s="85" t="s">
        <v>2967</v>
      </c>
      <c r="C149" s="88" t="s">
        <v>1510</v>
      </c>
      <c r="D149" s="83" t="s">
        <v>2968</v>
      </c>
      <c r="E149" s="87" t="s">
        <v>2969</v>
      </c>
      <c r="F149" s="81" t="n">
        <v>37</v>
      </c>
      <c r="G149" s="81" t="s">
        <v>334</v>
      </c>
      <c r="H149" s="83"/>
    </row>
    <row r="150" customFormat="false" ht="30" hidden="false" customHeight="true" outlineLevel="0" collapsed="false">
      <c r="A150" s="81" t="n">
        <v>137</v>
      </c>
      <c r="B150" s="85" t="s">
        <v>2970</v>
      </c>
      <c r="C150" s="88" t="s">
        <v>2620</v>
      </c>
      <c r="D150" s="83" t="s">
        <v>2971</v>
      </c>
      <c r="E150" s="87" t="s">
        <v>2972</v>
      </c>
      <c r="F150" s="81" t="n">
        <v>37</v>
      </c>
      <c r="G150" s="81" t="s">
        <v>334</v>
      </c>
      <c r="H150" s="83"/>
    </row>
    <row r="151" customFormat="false" ht="30" hidden="false" customHeight="true" outlineLevel="0" collapsed="false">
      <c r="A151" s="81" t="n">
        <v>138</v>
      </c>
      <c r="B151" s="85" t="s">
        <v>2973</v>
      </c>
      <c r="C151" s="88" t="s">
        <v>2974</v>
      </c>
      <c r="D151" s="83" t="s">
        <v>2975</v>
      </c>
      <c r="E151" s="83" t="s">
        <v>2976</v>
      </c>
      <c r="F151" s="81" t="n">
        <v>37</v>
      </c>
      <c r="G151" s="81" t="s">
        <v>334</v>
      </c>
      <c r="H151" s="83"/>
    </row>
    <row r="152" customFormat="false" ht="30" hidden="false" customHeight="true" outlineLevel="0" collapsed="false">
      <c r="A152" s="81" t="n">
        <v>139</v>
      </c>
      <c r="B152" s="85" t="s">
        <v>2977</v>
      </c>
      <c r="C152" s="88" t="s">
        <v>2978</v>
      </c>
      <c r="D152" s="83" t="s">
        <v>2979</v>
      </c>
      <c r="E152" s="87" t="s">
        <v>2980</v>
      </c>
      <c r="F152" s="81" t="n">
        <v>37</v>
      </c>
      <c r="G152" s="81" t="s">
        <v>334</v>
      </c>
      <c r="H152" s="83"/>
    </row>
    <row r="153" customFormat="false" ht="30" hidden="false" customHeight="true" outlineLevel="0" collapsed="false">
      <c r="A153" s="81" t="n">
        <v>140</v>
      </c>
      <c r="B153" s="85" t="s">
        <v>2981</v>
      </c>
      <c r="C153" s="88"/>
      <c r="D153" s="83" t="s">
        <v>2982</v>
      </c>
      <c r="E153" s="83" t="s">
        <v>2983</v>
      </c>
      <c r="F153" s="81" t="n">
        <v>37</v>
      </c>
      <c r="G153" s="81" t="s">
        <v>334</v>
      </c>
      <c r="H153" s="83"/>
    </row>
    <row r="154" customFormat="false" ht="24" hidden="false" customHeight="true" outlineLevel="0" collapsed="false">
      <c r="A154" s="9" t="s">
        <v>2984</v>
      </c>
      <c r="B154" s="9"/>
      <c r="C154" s="9"/>
      <c r="D154" s="9"/>
      <c r="E154" s="9"/>
      <c r="F154" s="9"/>
      <c r="G154" s="9"/>
      <c r="H154" s="9"/>
    </row>
    <row r="155" customFormat="false" ht="30" hidden="false" customHeight="true" outlineLevel="0" collapsed="false">
      <c r="A155" s="81" t="n">
        <v>141</v>
      </c>
      <c r="B155" s="85" t="s">
        <v>2985</v>
      </c>
      <c r="C155" s="88" t="s">
        <v>2986</v>
      </c>
      <c r="D155" s="83" t="s">
        <v>2987</v>
      </c>
      <c r="E155" s="87" t="s">
        <v>2988</v>
      </c>
      <c r="F155" s="81" t="n">
        <v>38</v>
      </c>
      <c r="G155" s="81" t="s">
        <v>334</v>
      </c>
      <c r="H155" s="83"/>
    </row>
    <row r="156" customFormat="false" ht="30" hidden="false" customHeight="true" outlineLevel="0" collapsed="false">
      <c r="A156" s="81" t="n">
        <v>142</v>
      </c>
      <c r="B156" s="85" t="s">
        <v>2989</v>
      </c>
      <c r="C156" s="88" t="s">
        <v>2990</v>
      </c>
      <c r="D156" s="83" t="s">
        <v>2991</v>
      </c>
      <c r="E156" s="83" t="s">
        <v>2992</v>
      </c>
      <c r="F156" s="81" t="n">
        <v>38</v>
      </c>
      <c r="G156" s="81" t="s">
        <v>334</v>
      </c>
      <c r="H156" s="83"/>
    </row>
    <row r="157" customFormat="false" ht="30" hidden="false" customHeight="true" outlineLevel="0" collapsed="false">
      <c r="A157" s="81" t="n">
        <v>143</v>
      </c>
      <c r="B157" s="85" t="s">
        <v>2993</v>
      </c>
      <c r="C157" s="88" t="s">
        <v>2994</v>
      </c>
      <c r="D157" s="83" t="s">
        <v>2995</v>
      </c>
      <c r="E157" s="83" t="s">
        <v>2996</v>
      </c>
      <c r="F157" s="81" t="n">
        <v>38</v>
      </c>
      <c r="G157" s="81" t="s">
        <v>334</v>
      </c>
      <c r="H157" s="83"/>
    </row>
    <row r="158" customFormat="false" ht="30" hidden="false" customHeight="true" outlineLevel="0" collapsed="false">
      <c r="A158" s="81" t="n">
        <v>144</v>
      </c>
      <c r="B158" s="85" t="s">
        <v>2997</v>
      </c>
      <c r="C158" s="88" t="s">
        <v>2998</v>
      </c>
      <c r="D158" s="83" t="s">
        <v>2999</v>
      </c>
      <c r="E158" s="87" t="s">
        <v>3000</v>
      </c>
      <c r="F158" s="81" t="n">
        <v>38</v>
      </c>
      <c r="G158" s="81" t="s">
        <v>334</v>
      </c>
      <c r="H158" s="83"/>
    </row>
    <row r="159" customFormat="false" ht="30" hidden="false" customHeight="true" outlineLevel="0" collapsed="false">
      <c r="A159" s="81" t="n">
        <v>145</v>
      </c>
      <c r="B159" s="85" t="s">
        <v>3001</v>
      </c>
      <c r="C159" s="88" t="s">
        <v>3002</v>
      </c>
      <c r="D159" s="83" t="s">
        <v>3003</v>
      </c>
      <c r="E159" s="87" t="s">
        <v>3004</v>
      </c>
      <c r="F159" s="81" t="n">
        <v>38</v>
      </c>
      <c r="G159" s="81" t="s">
        <v>334</v>
      </c>
      <c r="H159" s="83"/>
    </row>
    <row r="160" customFormat="false" ht="30" hidden="false" customHeight="true" outlineLevel="0" collapsed="false">
      <c r="A160" s="81" t="n">
        <v>146</v>
      </c>
      <c r="B160" s="85" t="s">
        <v>3005</v>
      </c>
      <c r="C160" s="88" t="s">
        <v>3006</v>
      </c>
      <c r="D160" s="83" t="s">
        <v>3007</v>
      </c>
      <c r="E160" s="83" t="s">
        <v>3008</v>
      </c>
      <c r="F160" s="81" t="n">
        <v>38</v>
      </c>
      <c r="G160" s="81" t="s">
        <v>334</v>
      </c>
      <c r="H160" s="83"/>
    </row>
    <row r="161" customFormat="false" ht="30" hidden="false" customHeight="true" outlineLevel="0" collapsed="false">
      <c r="A161" s="81" t="n">
        <v>147</v>
      </c>
      <c r="B161" s="85" t="s">
        <v>3009</v>
      </c>
      <c r="C161" s="88" t="s">
        <v>3010</v>
      </c>
      <c r="D161" s="83" t="s">
        <v>3011</v>
      </c>
      <c r="E161" s="87" t="s">
        <v>3012</v>
      </c>
      <c r="F161" s="81" t="n">
        <v>38</v>
      </c>
      <c r="G161" s="81" t="s">
        <v>334</v>
      </c>
      <c r="H161" s="83"/>
    </row>
    <row r="162" customFormat="false" ht="30" hidden="false" customHeight="true" outlineLevel="0" collapsed="false">
      <c r="A162" s="81" t="n">
        <v>148</v>
      </c>
      <c r="B162" s="85" t="s">
        <v>3013</v>
      </c>
      <c r="C162" s="88" t="s">
        <v>3014</v>
      </c>
      <c r="D162" s="83" t="s">
        <v>3015</v>
      </c>
      <c r="E162" s="87" t="s">
        <v>3016</v>
      </c>
      <c r="F162" s="81" t="n">
        <v>39</v>
      </c>
      <c r="G162" s="81" t="s">
        <v>334</v>
      </c>
      <c r="H162" s="83"/>
    </row>
    <row r="163" customFormat="false" ht="30" hidden="false" customHeight="true" outlineLevel="0" collapsed="false">
      <c r="A163" s="81" t="n">
        <v>149</v>
      </c>
      <c r="B163" s="85" t="s">
        <v>3017</v>
      </c>
      <c r="C163" s="88" t="s">
        <v>3018</v>
      </c>
      <c r="D163" s="83" t="s">
        <v>3019</v>
      </c>
      <c r="E163" s="83" t="s">
        <v>3020</v>
      </c>
      <c r="F163" s="81" t="n">
        <v>39</v>
      </c>
      <c r="G163" s="81" t="s">
        <v>334</v>
      </c>
      <c r="H163" s="83"/>
    </row>
    <row r="164" customFormat="false" ht="30" hidden="false" customHeight="true" outlineLevel="0" collapsed="false">
      <c r="A164" s="81" t="n">
        <v>150</v>
      </c>
      <c r="B164" s="85" t="s">
        <v>3021</v>
      </c>
      <c r="C164" s="88" t="s">
        <v>3022</v>
      </c>
      <c r="D164" s="83" t="s">
        <v>3023</v>
      </c>
      <c r="E164" s="87" t="s">
        <v>3024</v>
      </c>
      <c r="F164" s="81" t="n">
        <v>39</v>
      </c>
      <c r="G164" s="81" t="s">
        <v>334</v>
      </c>
      <c r="H164" s="83"/>
    </row>
    <row r="165" customFormat="false" ht="30" hidden="false" customHeight="true" outlineLevel="0" collapsed="false">
      <c r="A165" s="81" t="n">
        <v>151</v>
      </c>
      <c r="B165" s="85" t="s">
        <v>3025</v>
      </c>
      <c r="C165" s="88" t="s">
        <v>3026</v>
      </c>
      <c r="D165" s="83" t="s">
        <v>3027</v>
      </c>
      <c r="E165" s="83" t="s">
        <v>3028</v>
      </c>
      <c r="F165" s="81" t="n">
        <v>39</v>
      </c>
      <c r="G165" s="81" t="s">
        <v>334</v>
      </c>
      <c r="H165" s="83"/>
    </row>
    <row r="166" customFormat="false" ht="30" hidden="false" customHeight="true" outlineLevel="0" collapsed="false">
      <c r="A166" s="81" t="n">
        <v>152</v>
      </c>
      <c r="B166" s="85" t="s">
        <v>3029</v>
      </c>
      <c r="C166" s="88"/>
      <c r="D166" s="83" t="s">
        <v>3030</v>
      </c>
      <c r="E166" s="83" t="s">
        <v>3031</v>
      </c>
      <c r="F166" s="81" t="n">
        <v>39</v>
      </c>
      <c r="G166" s="81" t="s">
        <v>334</v>
      </c>
      <c r="H166" s="83"/>
    </row>
    <row r="167" customFormat="false" ht="30" hidden="false" customHeight="true" outlineLevel="0" collapsed="false">
      <c r="A167" s="81" t="n">
        <v>153</v>
      </c>
      <c r="B167" s="85" t="s">
        <v>3032</v>
      </c>
      <c r="C167" s="88"/>
      <c r="D167" s="83" t="s">
        <v>3033</v>
      </c>
      <c r="E167" s="83" t="s">
        <v>3034</v>
      </c>
      <c r="F167" s="81" t="n">
        <v>39</v>
      </c>
      <c r="G167" s="81" t="s">
        <v>334</v>
      </c>
      <c r="H167" s="83"/>
    </row>
    <row r="168" customFormat="false" ht="30" hidden="false" customHeight="true" outlineLevel="0" collapsed="false">
      <c r="A168" s="81" t="n">
        <v>154</v>
      </c>
      <c r="B168" s="85" t="s">
        <v>3035</v>
      </c>
      <c r="C168" s="88"/>
      <c r="D168" s="83" t="s">
        <v>3036</v>
      </c>
      <c r="E168" s="87" t="s">
        <v>3037</v>
      </c>
      <c r="F168" s="81" t="n">
        <v>39</v>
      </c>
      <c r="G168" s="81" t="s">
        <v>334</v>
      </c>
      <c r="H168" s="83"/>
    </row>
    <row r="169" customFormat="false" ht="24" hidden="false" customHeight="true" outlineLevel="0" collapsed="false">
      <c r="A169" s="9" t="s">
        <v>3038</v>
      </c>
      <c r="B169" s="9"/>
      <c r="C169" s="9"/>
      <c r="D169" s="9"/>
      <c r="E169" s="9"/>
      <c r="F169" s="9"/>
      <c r="G169" s="9"/>
      <c r="H169" s="9"/>
    </row>
    <row r="170" customFormat="false" ht="30" hidden="false" customHeight="true" outlineLevel="0" collapsed="false">
      <c r="A170" s="81" t="n">
        <v>155</v>
      </c>
      <c r="B170" s="85" t="s">
        <v>3039</v>
      </c>
      <c r="C170" s="88" t="s">
        <v>3040</v>
      </c>
      <c r="D170" s="83" t="s">
        <v>3041</v>
      </c>
      <c r="E170" s="87" t="s">
        <v>3042</v>
      </c>
      <c r="F170" s="81" t="n">
        <v>40</v>
      </c>
      <c r="G170" s="81" t="s">
        <v>334</v>
      </c>
      <c r="H170" s="83"/>
    </row>
    <row r="171" customFormat="false" ht="30" hidden="false" customHeight="true" outlineLevel="0" collapsed="false">
      <c r="A171" s="81" t="n">
        <v>156</v>
      </c>
      <c r="B171" s="85" t="s">
        <v>3043</v>
      </c>
      <c r="C171" s="88" t="s">
        <v>3044</v>
      </c>
      <c r="D171" s="83" t="s">
        <v>3045</v>
      </c>
      <c r="E171" s="87" t="s">
        <v>3046</v>
      </c>
      <c r="F171" s="81" t="n">
        <v>40</v>
      </c>
      <c r="G171" s="81" t="s">
        <v>334</v>
      </c>
      <c r="H171" s="83"/>
    </row>
    <row r="172" customFormat="false" ht="30" hidden="false" customHeight="true" outlineLevel="0" collapsed="false">
      <c r="A172" s="81" t="n">
        <v>157</v>
      </c>
      <c r="B172" s="85" t="s">
        <v>3047</v>
      </c>
      <c r="C172" s="88" t="s">
        <v>3048</v>
      </c>
      <c r="D172" s="83" t="s">
        <v>3049</v>
      </c>
      <c r="E172" s="87" t="s">
        <v>3050</v>
      </c>
      <c r="F172" s="81" t="n">
        <v>40</v>
      </c>
      <c r="G172" s="81" t="s">
        <v>334</v>
      </c>
      <c r="H172" s="83"/>
    </row>
    <row r="173" customFormat="false" ht="30" hidden="false" customHeight="true" outlineLevel="0" collapsed="false">
      <c r="A173" s="81" t="n">
        <v>158</v>
      </c>
      <c r="B173" s="85" t="s">
        <v>3051</v>
      </c>
      <c r="C173" s="88" t="s">
        <v>3052</v>
      </c>
      <c r="D173" s="83" t="s">
        <v>3053</v>
      </c>
      <c r="E173" s="87" t="s">
        <v>3054</v>
      </c>
      <c r="F173" s="81" t="n">
        <v>40</v>
      </c>
      <c r="G173" s="81" t="s">
        <v>334</v>
      </c>
      <c r="H173" s="83"/>
    </row>
    <row r="174" customFormat="false" ht="30" hidden="false" customHeight="true" outlineLevel="0" collapsed="false">
      <c r="A174" s="81" t="n">
        <v>159</v>
      </c>
      <c r="B174" s="85" t="s">
        <v>3055</v>
      </c>
      <c r="C174" s="88" t="s">
        <v>3056</v>
      </c>
      <c r="D174" s="83" t="s">
        <v>3057</v>
      </c>
      <c r="E174" s="83" t="s">
        <v>3058</v>
      </c>
      <c r="F174" s="81" t="n">
        <v>40</v>
      </c>
      <c r="G174" s="81" t="s">
        <v>334</v>
      </c>
      <c r="H174" s="83"/>
    </row>
    <row r="175" customFormat="false" ht="30" hidden="false" customHeight="true" outlineLevel="0" collapsed="false">
      <c r="A175" s="81" t="n">
        <v>160</v>
      </c>
      <c r="B175" s="85" t="s">
        <v>1975</v>
      </c>
      <c r="C175" s="88" t="s">
        <v>196</v>
      </c>
      <c r="D175" s="83" t="s">
        <v>1974</v>
      </c>
      <c r="E175" s="87" t="s">
        <v>3059</v>
      </c>
      <c r="F175" s="81" t="n">
        <v>40</v>
      </c>
      <c r="G175" s="81" t="s">
        <v>334</v>
      </c>
      <c r="H175" s="83"/>
    </row>
    <row r="176" customFormat="false" ht="30" hidden="false" customHeight="true" outlineLevel="0" collapsed="false">
      <c r="A176" s="81" t="n">
        <v>161</v>
      </c>
      <c r="B176" s="85" t="s">
        <v>3060</v>
      </c>
      <c r="C176" s="88" t="s">
        <v>3061</v>
      </c>
      <c r="D176" s="83" t="s">
        <v>3062</v>
      </c>
      <c r="E176" s="87" t="s">
        <v>3063</v>
      </c>
      <c r="F176" s="81" t="n">
        <v>40</v>
      </c>
      <c r="G176" s="81" t="s">
        <v>334</v>
      </c>
      <c r="H176" s="83"/>
    </row>
    <row r="177" customFormat="false" ht="30" hidden="false" customHeight="true" outlineLevel="0" collapsed="false">
      <c r="A177" s="81" t="n">
        <v>162</v>
      </c>
      <c r="B177" s="85" t="s">
        <v>3064</v>
      </c>
      <c r="C177" s="88" t="s">
        <v>3065</v>
      </c>
      <c r="D177" s="83" t="s">
        <v>3066</v>
      </c>
      <c r="E177" s="87" t="s">
        <v>3067</v>
      </c>
      <c r="F177" s="81" t="n">
        <v>41</v>
      </c>
      <c r="G177" s="81" t="s">
        <v>334</v>
      </c>
      <c r="H177" s="83"/>
    </row>
    <row r="178" customFormat="false" ht="30" hidden="false" customHeight="true" outlineLevel="0" collapsed="false">
      <c r="A178" s="81" t="n">
        <v>163</v>
      </c>
      <c r="B178" s="85" t="s">
        <v>3068</v>
      </c>
      <c r="C178" s="88" t="s">
        <v>3069</v>
      </c>
      <c r="D178" s="83" t="s">
        <v>3070</v>
      </c>
      <c r="E178" s="87" t="s">
        <v>3071</v>
      </c>
      <c r="F178" s="81" t="n">
        <v>41</v>
      </c>
      <c r="G178" s="81" t="s">
        <v>334</v>
      </c>
      <c r="H178" s="83"/>
    </row>
    <row r="179" customFormat="false" ht="30" hidden="false" customHeight="true" outlineLevel="0" collapsed="false">
      <c r="A179" s="81" t="n">
        <v>164</v>
      </c>
      <c r="B179" s="85" t="s">
        <v>3072</v>
      </c>
      <c r="C179" s="88" t="s">
        <v>3073</v>
      </c>
      <c r="D179" s="83" t="s">
        <v>3074</v>
      </c>
      <c r="E179" s="83" t="s">
        <v>3075</v>
      </c>
      <c r="F179" s="81" t="n">
        <v>41</v>
      </c>
      <c r="G179" s="81" t="s">
        <v>334</v>
      </c>
      <c r="H179" s="83"/>
    </row>
    <row r="180" customFormat="false" ht="30" hidden="false" customHeight="true" outlineLevel="0" collapsed="false">
      <c r="A180" s="81" t="n">
        <v>165</v>
      </c>
      <c r="B180" s="85" t="s">
        <v>3076</v>
      </c>
      <c r="C180" s="88"/>
      <c r="D180" s="83" t="s">
        <v>3077</v>
      </c>
      <c r="E180" s="83" t="s">
        <v>3078</v>
      </c>
      <c r="F180" s="81" t="n">
        <v>41</v>
      </c>
      <c r="G180" s="81" t="s">
        <v>334</v>
      </c>
      <c r="H180" s="83"/>
    </row>
    <row r="181" customFormat="false" ht="30" hidden="false" customHeight="true" outlineLevel="0" collapsed="false">
      <c r="A181" s="81" t="n">
        <v>166</v>
      </c>
      <c r="B181" s="85" t="s">
        <v>3079</v>
      </c>
      <c r="C181" s="88" t="s">
        <v>3080</v>
      </c>
      <c r="D181" s="83" t="s">
        <v>3081</v>
      </c>
      <c r="E181" s="83" t="s">
        <v>3082</v>
      </c>
      <c r="F181" s="81" t="n">
        <v>41</v>
      </c>
      <c r="G181" s="81" t="s">
        <v>334</v>
      </c>
      <c r="H181" s="83"/>
    </row>
    <row r="182" customFormat="false" ht="30" hidden="false" customHeight="true" outlineLevel="0" collapsed="false">
      <c r="A182" s="81" t="n">
        <v>167</v>
      </c>
      <c r="B182" s="85" t="s">
        <v>3083</v>
      </c>
      <c r="C182" s="88" t="s">
        <v>3084</v>
      </c>
      <c r="D182" s="83" t="s">
        <v>3085</v>
      </c>
      <c r="E182" s="87" t="s">
        <v>3086</v>
      </c>
      <c r="F182" s="81" t="n">
        <v>41</v>
      </c>
      <c r="G182" s="81" t="s">
        <v>334</v>
      </c>
      <c r="H182" s="83"/>
    </row>
    <row r="183" customFormat="false" ht="30" hidden="false" customHeight="true" outlineLevel="0" collapsed="false">
      <c r="A183" s="81" t="n">
        <v>168</v>
      </c>
      <c r="B183" s="85" t="s">
        <v>3087</v>
      </c>
      <c r="C183" s="88" t="s">
        <v>3088</v>
      </c>
      <c r="D183" s="83" t="s">
        <v>3089</v>
      </c>
      <c r="E183" s="87" t="s">
        <v>3090</v>
      </c>
      <c r="F183" s="81" t="n">
        <v>41</v>
      </c>
      <c r="G183" s="81" t="s">
        <v>334</v>
      </c>
      <c r="H183" s="83"/>
    </row>
    <row r="184" customFormat="false" ht="24" hidden="false" customHeight="true" outlineLevel="0" collapsed="false">
      <c r="A184" s="9" t="s">
        <v>3091</v>
      </c>
      <c r="B184" s="9"/>
      <c r="C184" s="9"/>
      <c r="D184" s="9"/>
      <c r="E184" s="9"/>
      <c r="F184" s="9"/>
      <c r="G184" s="9"/>
      <c r="H184" s="9"/>
    </row>
    <row r="185" customFormat="false" ht="30" hidden="false" customHeight="true" outlineLevel="0" collapsed="false">
      <c r="A185" s="81" t="n">
        <v>169</v>
      </c>
      <c r="B185" s="85" t="s">
        <v>3092</v>
      </c>
      <c r="C185" s="88"/>
      <c r="D185" s="83" t="s">
        <v>3093</v>
      </c>
      <c r="E185" s="83" t="s">
        <v>3094</v>
      </c>
      <c r="F185" s="81" t="n">
        <v>43</v>
      </c>
      <c r="G185" s="81" t="s">
        <v>334</v>
      </c>
      <c r="H185" s="83"/>
    </row>
    <row r="186" customFormat="false" ht="30" hidden="false" customHeight="true" outlineLevel="0" collapsed="false">
      <c r="A186" s="81" t="n">
        <v>170</v>
      </c>
      <c r="B186" s="85" t="s">
        <v>3095</v>
      </c>
      <c r="C186" s="88"/>
      <c r="D186" s="83" t="s">
        <v>3096</v>
      </c>
      <c r="E186" s="83" t="s">
        <v>3097</v>
      </c>
      <c r="F186" s="81" t="n">
        <v>43</v>
      </c>
      <c r="G186" s="81" t="s">
        <v>334</v>
      </c>
      <c r="H186" s="83"/>
    </row>
    <row r="187" customFormat="false" ht="30" hidden="false" customHeight="true" outlineLevel="0" collapsed="false">
      <c r="A187" s="81" t="n">
        <v>171</v>
      </c>
      <c r="B187" s="85" t="s">
        <v>3098</v>
      </c>
      <c r="C187" s="88" t="s">
        <v>3099</v>
      </c>
      <c r="D187" s="83" t="s">
        <v>3100</v>
      </c>
      <c r="E187" s="83" t="s">
        <v>3101</v>
      </c>
      <c r="F187" s="81" t="n">
        <v>43</v>
      </c>
      <c r="G187" s="81" t="s">
        <v>334</v>
      </c>
      <c r="H187" s="83"/>
    </row>
    <row r="188" customFormat="false" ht="30" hidden="false" customHeight="true" outlineLevel="0" collapsed="false">
      <c r="A188" s="81" t="n">
        <v>172</v>
      </c>
      <c r="B188" s="85" t="s">
        <v>3102</v>
      </c>
      <c r="C188" s="88" t="s">
        <v>3103</v>
      </c>
      <c r="D188" s="83" t="s">
        <v>3104</v>
      </c>
      <c r="E188" s="83" t="s">
        <v>3105</v>
      </c>
      <c r="F188" s="81" t="n">
        <v>43</v>
      </c>
      <c r="G188" s="81" t="s">
        <v>334</v>
      </c>
      <c r="H188" s="83"/>
    </row>
    <row r="189" customFormat="false" ht="30" hidden="false" customHeight="true" outlineLevel="0" collapsed="false">
      <c r="A189" s="81" t="n">
        <v>173</v>
      </c>
      <c r="B189" s="85" t="s">
        <v>3106</v>
      </c>
      <c r="C189" s="88" t="s">
        <v>3107</v>
      </c>
      <c r="D189" s="83" t="s">
        <v>3108</v>
      </c>
      <c r="E189" s="83" t="s">
        <v>3109</v>
      </c>
      <c r="F189" s="81" t="n">
        <v>43</v>
      </c>
      <c r="G189" s="81" t="s">
        <v>334</v>
      </c>
      <c r="H189" s="83"/>
    </row>
    <row r="190" customFormat="false" ht="30" hidden="false" customHeight="true" outlineLevel="0" collapsed="false">
      <c r="A190" s="81" t="n">
        <v>174</v>
      </c>
      <c r="B190" s="85" t="s">
        <v>3110</v>
      </c>
      <c r="C190" s="88" t="s">
        <v>3111</v>
      </c>
      <c r="D190" s="83" t="s">
        <v>3112</v>
      </c>
      <c r="E190" s="83" t="s">
        <v>3113</v>
      </c>
      <c r="F190" s="81" t="n">
        <v>43</v>
      </c>
      <c r="G190" s="81" t="s">
        <v>334</v>
      </c>
      <c r="H190" s="83"/>
    </row>
    <row r="191" customFormat="false" ht="30" hidden="false" customHeight="true" outlineLevel="0" collapsed="false">
      <c r="A191" s="81" t="n">
        <v>175</v>
      </c>
      <c r="B191" s="85" t="s">
        <v>3114</v>
      </c>
      <c r="C191" s="88" t="s">
        <v>3115</v>
      </c>
      <c r="D191" s="83" t="s">
        <v>3116</v>
      </c>
      <c r="E191" s="87" t="s">
        <v>3117</v>
      </c>
      <c r="F191" s="81" t="n">
        <v>43</v>
      </c>
      <c r="G191" s="81" t="s">
        <v>334</v>
      </c>
      <c r="H191" s="83"/>
    </row>
    <row r="192" customFormat="false" ht="30" hidden="false" customHeight="true" outlineLevel="0" collapsed="false">
      <c r="A192" s="81" t="n">
        <v>176</v>
      </c>
      <c r="B192" s="85" t="s">
        <v>3118</v>
      </c>
      <c r="C192" s="88" t="s">
        <v>3119</v>
      </c>
      <c r="D192" s="83" t="s">
        <v>3112</v>
      </c>
      <c r="E192" s="83" t="s">
        <v>3120</v>
      </c>
      <c r="F192" s="81" t="n">
        <v>44</v>
      </c>
      <c r="G192" s="81" t="s">
        <v>334</v>
      </c>
      <c r="H192" s="83"/>
    </row>
    <row r="193" customFormat="false" ht="30" hidden="false" customHeight="true" outlineLevel="0" collapsed="false">
      <c r="A193" s="81" t="n">
        <v>177</v>
      </c>
      <c r="B193" s="85" t="s">
        <v>3121</v>
      </c>
      <c r="C193" s="88"/>
      <c r="D193" s="83" t="s">
        <v>3122</v>
      </c>
      <c r="E193" s="87" t="s">
        <v>3123</v>
      </c>
      <c r="F193" s="81" t="n">
        <v>44</v>
      </c>
      <c r="G193" s="81" t="s">
        <v>334</v>
      </c>
      <c r="H193" s="83"/>
    </row>
    <row r="194" customFormat="false" ht="30" hidden="false" customHeight="true" outlineLevel="0" collapsed="false">
      <c r="A194" s="81" t="n">
        <v>178</v>
      </c>
      <c r="B194" s="85" t="s">
        <v>3124</v>
      </c>
      <c r="C194" s="88"/>
      <c r="D194" s="83" t="s">
        <v>3125</v>
      </c>
      <c r="E194" s="87" t="s">
        <v>3126</v>
      </c>
      <c r="F194" s="81" t="n">
        <v>44</v>
      </c>
      <c r="G194" s="81" t="s">
        <v>334</v>
      </c>
      <c r="H194" s="83"/>
    </row>
    <row r="195" customFormat="false" ht="30" hidden="false" customHeight="true" outlineLevel="0" collapsed="false">
      <c r="A195" s="81" t="n">
        <v>179</v>
      </c>
      <c r="B195" s="85" t="s">
        <v>3127</v>
      </c>
      <c r="C195" s="88"/>
      <c r="D195" s="83" t="s">
        <v>3128</v>
      </c>
      <c r="E195" s="83" t="s">
        <v>3129</v>
      </c>
      <c r="F195" s="81" t="n">
        <v>44</v>
      </c>
      <c r="G195" s="81" t="s">
        <v>334</v>
      </c>
      <c r="H195" s="83"/>
    </row>
    <row r="196" customFormat="false" ht="30" hidden="false" customHeight="true" outlineLevel="0" collapsed="false">
      <c r="A196" s="81" t="n">
        <v>180</v>
      </c>
      <c r="B196" s="85" t="s">
        <v>3130</v>
      </c>
      <c r="C196" s="88" t="s">
        <v>3131</v>
      </c>
      <c r="D196" s="83" t="s">
        <v>3132</v>
      </c>
      <c r="E196" s="83" t="s">
        <v>3133</v>
      </c>
      <c r="F196" s="81" t="n">
        <v>44</v>
      </c>
      <c r="G196" s="81" t="s">
        <v>334</v>
      </c>
      <c r="H196" s="83"/>
    </row>
    <row r="197" customFormat="false" ht="30" hidden="false" customHeight="true" outlineLevel="0" collapsed="false">
      <c r="A197" s="81" t="n">
        <v>181</v>
      </c>
      <c r="B197" s="85" t="s">
        <v>3134</v>
      </c>
      <c r="C197" s="88" t="s">
        <v>3135</v>
      </c>
      <c r="D197" s="83" t="s">
        <v>3136</v>
      </c>
      <c r="E197" s="83" t="s">
        <v>3137</v>
      </c>
      <c r="F197" s="81" t="n">
        <v>44</v>
      </c>
      <c r="G197" s="81" t="s">
        <v>334</v>
      </c>
      <c r="H197" s="83"/>
    </row>
    <row r="198" customFormat="false" ht="30" hidden="false" customHeight="true" outlineLevel="0" collapsed="false">
      <c r="A198" s="81" t="n">
        <v>182</v>
      </c>
      <c r="B198" s="85" t="s">
        <v>3138</v>
      </c>
      <c r="C198" s="88"/>
      <c r="D198" s="83" t="s">
        <v>3139</v>
      </c>
      <c r="E198" s="83" t="s">
        <v>3140</v>
      </c>
      <c r="F198" s="81" t="n">
        <v>44</v>
      </c>
      <c r="G198" s="81" t="s">
        <v>334</v>
      </c>
      <c r="H198" s="83"/>
    </row>
    <row r="199" customFormat="false" ht="24" hidden="false" customHeight="true" outlineLevel="0" collapsed="false">
      <c r="A199" s="9" t="s">
        <v>3141</v>
      </c>
      <c r="B199" s="9"/>
      <c r="C199" s="9"/>
      <c r="D199" s="9"/>
      <c r="E199" s="9"/>
      <c r="F199" s="9"/>
      <c r="G199" s="9"/>
      <c r="H199" s="9"/>
    </row>
    <row r="200" customFormat="false" ht="30" hidden="false" customHeight="true" outlineLevel="0" collapsed="false">
      <c r="A200" s="81" t="n">
        <v>183</v>
      </c>
      <c r="B200" s="85" t="s">
        <v>3142</v>
      </c>
      <c r="C200" s="88"/>
      <c r="D200" s="83" t="s">
        <v>3143</v>
      </c>
      <c r="E200" s="83" t="s">
        <v>3144</v>
      </c>
      <c r="F200" s="81" t="n">
        <v>45</v>
      </c>
      <c r="G200" s="81" t="s">
        <v>334</v>
      </c>
      <c r="H200" s="83"/>
    </row>
    <row r="201" customFormat="false" ht="30" hidden="false" customHeight="true" outlineLevel="0" collapsed="false">
      <c r="A201" s="81" t="n">
        <v>184</v>
      </c>
      <c r="B201" s="85" t="s">
        <v>3145</v>
      </c>
      <c r="C201" s="88" t="s">
        <v>3146</v>
      </c>
      <c r="D201" s="83" t="s">
        <v>3147</v>
      </c>
      <c r="E201" s="87" t="s">
        <v>3148</v>
      </c>
      <c r="F201" s="81" t="n">
        <v>45</v>
      </c>
      <c r="G201" s="81" t="s">
        <v>334</v>
      </c>
      <c r="H201" s="83"/>
    </row>
    <row r="202" customFormat="false" ht="30" hidden="false" customHeight="true" outlineLevel="0" collapsed="false">
      <c r="A202" s="81" t="n">
        <v>185</v>
      </c>
      <c r="B202" s="85" t="s">
        <v>3149</v>
      </c>
      <c r="C202" s="88" t="s">
        <v>3150</v>
      </c>
      <c r="D202" s="83" t="s">
        <v>3151</v>
      </c>
      <c r="E202" s="87" t="s">
        <v>3152</v>
      </c>
      <c r="F202" s="81" t="n">
        <v>45</v>
      </c>
      <c r="G202" s="81" t="s">
        <v>334</v>
      </c>
      <c r="H202" s="83"/>
    </row>
    <row r="203" customFormat="false" ht="30" hidden="false" customHeight="true" outlineLevel="0" collapsed="false">
      <c r="A203" s="81" t="n">
        <v>186</v>
      </c>
      <c r="B203" s="85" t="s">
        <v>3153</v>
      </c>
      <c r="C203" s="88" t="s">
        <v>3154</v>
      </c>
      <c r="D203" s="83" t="s">
        <v>3155</v>
      </c>
      <c r="E203" s="87" t="s">
        <v>3156</v>
      </c>
      <c r="F203" s="81" t="n">
        <v>45</v>
      </c>
      <c r="G203" s="81" t="s">
        <v>334</v>
      </c>
      <c r="H203" s="83"/>
    </row>
    <row r="204" customFormat="false" ht="30" hidden="false" customHeight="true" outlineLevel="0" collapsed="false">
      <c r="A204" s="81" t="n">
        <v>187</v>
      </c>
      <c r="B204" s="85" t="s">
        <v>3157</v>
      </c>
      <c r="C204" s="88" t="s">
        <v>3158</v>
      </c>
      <c r="D204" s="83" t="s">
        <v>3159</v>
      </c>
      <c r="E204" s="87" t="s">
        <v>3160</v>
      </c>
      <c r="F204" s="81" t="n">
        <v>45</v>
      </c>
      <c r="G204" s="81" t="s">
        <v>334</v>
      </c>
      <c r="H204" s="83"/>
    </row>
    <row r="205" customFormat="false" ht="30" hidden="false" customHeight="true" outlineLevel="0" collapsed="false">
      <c r="A205" s="81" t="n">
        <v>188</v>
      </c>
      <c r="B205" s="85" t="s">
        <v>3161</v>
      </c>
      <c r="C205" s="88" t="s">
        <v>3162</v>
      </c>
      <c r="D205" s="83" t="s">
        <v>3163</v>
      </c>
      <c r="E205" s="87" t="s">
        <v>3164</v>
      </c>
      <c r="F205" s="81" t="n">
        <v>46</v>
      </c>
      <c r="G205" s="81" t="s">
        <v>334</v>
      </c>
      <c r="H205" s="83"/>
    </row>
    <row r="206" customFormat="false" ht="30" hidden="false" customHeight="true" outlineLevel="0" collapsed="false">
      <c r="A206" s="81" t="n">
        <v>189</v>
      </c>
      <c r="B206" s="85" t="s">
        <v>3165</v>
      </c>
      <c r="C206" s="88" t="s">
        <v>3166</v>
      </c>
      <c r="D206" s="83" t="s">
        <v>3167</v>
      </c>
      <c r="E206" s="87" t="s">
        <v>3168</v>
      </c>
      <c r="F206" s="81" t="n">
        <v>46</v>
      </c>
      <c r="G206" s="81" t="s">
        <v>334</v>
      </c>
      <c r="H206" s="83"/>
    </row>
    <row r="207" customFormat="false" ht="30" hidden="false" customHeight="true" outlineLevel="0" collapsed="false">
      <c r="A207" s="81" t="n">
        <v>190</v>
      </c>
      <c r="B207" s="85" t="s">
        <v>3169</v>
      </c>
      <c r="C207" s="88" t="s">
        <v>3170</v>
      </c>
      <c r="D207" s="83" t="s">
        <v>3171</v>
      </c>
      <c r="E207" s="87" t="s">
        <v>3172</v>
      </c>
      <c r="F207" s="81" t="n">
        <v>46</v>
      </c>
      <c r="G207" s="81" t="s">
        <v>334</v>
      </c>
      <c r="H207" s="83"/>
    </row>
    <row r="208" customFormat="false" ht="30" hidden="false" customHeight="true" outlineLevel="0" collapsed="false">
      <c r="A208" s="81" t="n">
        <v>191</v>
      </c>
      <c r="B208" s="85" t="s">
        <v>3173</v>
      </c>
      <c r="C208" s="88" t="s">
        <v>3174</v>
      </c>
      <c r="D208" s="83" t="s">
        <v>3175</v>
      </c>
      <c r="E208" s="87" t="s">
        <v>3176</v>
      </c>
      <c r="F208" s="81" t="n">
        <v>46</v>
      </c>
      <c r="G208" s="81" t="s">
        <v>334</v>
      </c>
      <c r="H208" s="83"/>
    </row>
    <row r="209" customFormat="false" ht="30" hidden="false" customHeight="true" outlineLevel="0" collapsed="false">
      <c r="A209" s="81" t="n">
        <v>192</v>
      </c>
      <c r="B209" s="85" t="s">
        <v>3177</v>
      </c>
      <c r="C209" s="88" t="s">
        <v>3178</v>
      </c>
      <c r="D209" s="83" t="s">
        <v>3179</v>
      </c>
      <c r="E209" s="83" t="s">
        <v>3180</v>
      </c>
      <c r="F209" s="81" t="n">
        <v>46</v>
      </c>
      <c r="G209" s="81" t="s">
        <v>334</v>
      </c>
      <c r="H209" s="83"/>
    </row>
    <row r="210" customFormat="false" ht="30" hidden="false" customHeight="true" outlineLevel="0" collapsed="false">
      <c r="A210" s="81" t="n">
        <v>193</v>
      </c>
      <c r="B210" s="85" t="s">
        <v>3181</v>
      </c>
      <c r="C210" s="88" t="s">
        <v>3182</v>
      </c>
      <c r="D210" s="83" t="s">
        <v>3183</v>
      </c>
      <c r="E210" s="87" t="s">
        <v>3184</v>
      </c>
      <c r="F210" s="81" t="n">
        <v>47</v>
      </c>
      <c r="G210" s="81" t="s">
        <v>334</v>
      </c>
      <c r="H210" s="83"/>
    </row>
    <row r="211" customFormat="false" ht="30" hidden="false" customHeight="true" outlineLevel="0" collapsed="false">
      <c r="A211" s="81" t="n">
        <v>194</v>
      </c>
      <c r="B211" s="85" t="s">
        <v>3185</v>
      </c>
      <c r="C211" s="88" t="s">
        <v>3186</v>
      </c>
      <c r="D211" s="83" t="s">
        <v>3187</v>
      </c>
      <c r="E211" s="87" t="s">
        <v>3188</v>
      </c>
      <c r="F211" s="81" t="n">
        <v>47</v>
      </c>
      <c r="G211" s="81" t="s">
        <v>334</v>
      </c>
      <c r="H211" s="83"/>
    </row>
    <row r="212" customFormat="false" ht="30" hidden="false" customHeight="true" outlineLevel="0" collapsed="false">
      <c r="A212" s="81" t="n">
        <v>195</v>
      </c>
      <c r="B212" s="85" t="s">
        <v>3189</v>
      </c>
      <c r="C212" s="88"/>
      <c r="D212" s="83" t="s">
        <v>3190</v>
      </c>
      <c r="E212" s="87" t="s">
        <v>3191</v>
      </c>
      <c r="F212" s="81" t="n">
        <v>47</v>
      </c>
      <c r="G212" s="81" t="s">
        <v>334</v>
      </c>
      <c r="H212" s="83"/>
    </row>
    <row r="213" customFormat="false" ht="30" hidden="false" customHeight="true" outlineLevel="0" collapsed="false">
      <c r="A213" s="81" t="n">
        <v>196</v>
      </c>
      <c r="B213" s="85" t="s">
        <v>3192</v>
      </c>
      <c r="C213" s="88"/>
      <c r="D213" s="83" t="s">
        <v>3193</v>
      </c>
      <c r="E213" s="87" t="s">
        <v>3194</v>
      </c>
      <c r="F213" s="81" t="n">
        <v>47</v>
      </c>
      <c r="G213" s="81" t="s">
        <v>334</v>
      </c>
      <c r="H213" s="83"/>
    </row>
    <row r="214" customFormat="false" ht="24" hidden="false" customHeight="true" outlineLevel="0" collapsed="false">
      <c r="A214" s="9" t="s">
        <v>3195</v>
      </c>
      <c r="B214" s="9"/>
      <c r="C214" s="9"/>
      <c r="D214" s="9"/>
      <c r="E214" s="9"/>
      <c r="F214" s="9"/>
      <c r="G214" s="9"/>
      <c r="H214" s="9"/>
    </row>
    <row r="215" customFormat="false" ht="30" hidden="false" customHeight="true" outlineLevel="0" collapsed="false">
      <c r="A215" s="81" t="n">
        <v>197</v>
      </c>
      <c r="B215" s="85" t="s">
        <v>3196</v>
      </c>
      <c r="C215" s="88" t="s">
        <v>3197</v>
      </c>
      <c r="D215" s="83" t="s">
        <v>3198</v>
      </c>
      <c r="E215" s="87" t="s">
        <v>3199</v>
      </c>
      <c r="F215" s="81" t="n">
        <v>48</v>
      </c>
      <c r="G215" s="81" t="s">
        <v>334</v>
      </c>
      <c r="H215" s="83"/>
    </row>
    <row r="216" customFormat="false" ht="30" hidden="false" customHeight="true" outlineLevel="0" collapsed="false">
      <c r="A216" s="81" t="n">
        <v>198</v>
      </c>
      <c r="B216" s="85" t="s">
        <v>3200</v>
      </c>
      <c r="C216" s="88" t="s">
        <v>3201</v>
      </c>
      <c r="D216" s="83" t="s">
        <v>3202</v>
      </c>
      <c r="E216" s="87" t="s">
        <v>3203</v>
      </c>
      <c r="F216" s="81" t="n">
        <v>48</v>
      </c>
      <c r="G216" s="81" t="s">
        <v>334</v>
      </c>
      <c r="H216" s="83"/>
    </row>
    <row r="217" customFormat="false" ht="30" hidden="false" customHeight="true" outlineLevel="0" collapsed="false">
      <c r="A217" s="81" t="n">
        <v>199</v>
      </c>
      <c r="B217" s="85" t="s">
        <v>3204</v>
      </c>
      <c r="C217" s="88" t="s">
        <v>3205</v>
      </c>
      <c r="D217" s="83" t="s">
        <v>3206</v>
      </c>
      <c r="E217" s="87" t="s">
        <v>3207</v>
      </c>
      <c r="F217" s="81" t="n">
        <v>48</v>
      </c>
      <c r="G217" s="81" t="s">
        <v>334</v>
      </c>
      <c r="H217" s="83"/>
    </row>
    <row r="218" customFormat="false" ht="30" hidden="false" customHeight="true" outlineLevel="0" collapsed="false">
      <c r="A218" s="81" t="n">
        <v>200</v>
      </c>
      <c r="B218" s="85" t="s">
        <v>3208</v>
      </c>
      <c r="C218" s="88" t="s">
        <v>3209</v>
      </c>
      <c r="D218" s="83" t="s">
        <v>3210</v>
      </c>
      <c r="E218" s="87" t="s">
        <v>3211</v>
      </c>
      <c r="F218" s="81" t="n">
        <v>48</v>
      </c>
      <c r="G218" s="81" t="s">
        <v>334</v>
      </c>
      <c r="H218" s="83"/>
    </row>
    <row r="219" customFormat="false" ht="30" hidden="false" customHeight="true" outlineLevel="0" collapsed="false">
      <c r="A219" s="81" t="n">
        <v>201</v>
      </c>
      <c r="B219" s="85" t="s">
        <v>3212</v>
      </c>
      <c r="C219" s="88" t="s">
        <v>3213</v>
      </c>
      <c r="D219" s="83" t="s">
        <v>3214</v>
      </c>
      <c r="E219" s="87" t="s">
        <v>3215</v>
      </c>
      <c r="F219" s="81" t="n">
        <v>48</v>
      </c>
      <c r="G219" s="81" t="s">
        <v>334</v>
      </c>
      <c r="H219" s="83"/>
    </row>
    <row r="220" customFormat="false" ht="30" hidden="false" customHeight="true" outlineLevel="0" collapsed="false">
      <c r="A220" s="81" t="n">
        <v>202</v>
      </c>
      <c r="B220" s="85" t="s">
        <v>3216</v>
      </c>
      <c r="C220" s="88" t="s">
        <v>3217</v>
      </c>
      <c r="D220" s="83" t="s">
        <v>3206</v>
      </c>
      <c r="E220" s="83" t="s">
        <v>3218</v>
      </c>
      <c r="F220" s="81" t="n">
        <v>48</v>
      </c>
      <c r="G220" s="81" t="s">
        <v>334</v>
      </c>
      <c r="H220" s="83"/>
    </row>
    <row r="221" customFormat="false" ht="30" hidden="false" customHeight="true" outlineLevel="0" collapsed="false">
      <c r="A221" s="81" t="n">
        <v>203</v>
      </c>
      <c r="B221" s="85" t="s">
        <v>3219</v>
      </c>
      <c r="C221" s="88" t="s">
        <v>3220</v>
      </c>
      <c r="D221" s="83" t="s">
        <v>3221</v>
      </c>
      <c r="E221" s="83" t="s">
        <v>3222</v>
      </c>
      <c r="F221" s="81" t="n">
        <v>48</v>
      </c>
      <c r="G221" s="81" t="s">
        <v>334</v>
      </c>
      <c r="H221" s="83"/>
    </row>
    <row r="222" customFormat="false" ht="30" hidden="false" customHeight="true" outlineLevel="0" collapsed="false">
      <c r="A222" s="81" t="n">
        <v>204</v>
      </c>
      <c r="B222" s="85" t="s">
        <v>3223</v>
      </c>
      <c r="C222" s="88" t="s">
        <v>3224</v>
      </c>
      <c r="D222" s="83" t="s">
        <v>3225</v>
      </c>
      <c r="E222" s="83" t="s">
        <v>3226</v>
      </c>
      <c r="F222" s="81" t="n">
        <v>50</v>
      </c>
      <c r="G222" s="81" t="s">
        <v>334</v>
      </c>
      <c r="H222" s="83"/>
    </row>
    <row r="223" customFormat="false" ht="30" hidden="false" customHeight="true" outlineLevel="0" collapsed="false">
      <c r="A223" s="81" t="n">
        <v>205</v>
      </c>
      <c r="B223" s="85" t="s">
        <v>3227</v>
      </c>
      <c r="C223" s="88" t="s">
        <v>3228</v>
      </c>
      <c r="D223" s="83" t="s">
        <v>3229</v>
      </c>
      <c r="E223" s="83" t="s">
        <v>3230</v>
      </c>
      <c r="F223" s="81" t="n">
        <v>50</v>
      </c>
      <c r="G223" s="81" t="s">
        <v>334</v>
      </c>
      <c r="H223" s="83"/>
    </row>
    <row r="224" customFormat="false" ht="30" hidden="false" customHeight="true" outlineLevel="0" collapsed="false">
      <c r="A224" s="81" t="n">
        <v>206</v>
      </c>
      <c r="B224" s="85" t="s">
        <v>3231</v>
      </c>
      <c r="C224" s="88" t="s">
        <v>3232</v>
      </c>
      <c r="D224" s="83" t="s">
        <v>3233</v>
      </c>
      <c r="E224" s="83" t="s">
        <v>3234</v>
      </c>
      <c r="F224" s="81" t="n">
        <v>50</v>
      </c>
      <c r="G224" s="81" t="s">
        <v>334</v>
      </c>
      <c r="H224" s="83"/>
    </row>
    <row r="225" customFormat="false" ht="30" hidden="false" customHeight="true" outlineLevel="0" collapsed="false">
      <c r="A225" s="81" t="n">
        <v>207</v>
      </c>
      <c r="B225" s="85" t="s">
        <v>3235</v>
      </c>
      <c r="C225" s="88" t="s">
        <v>3236</v>
      </c>
      <c r="D225" s="83" t="s">
        <v>3237</v>
      </c>
      <c r="E225" s="83" t="s">
        <v>3238</v>
      </c>
      <c r="F225" s="81" t="n">
        <v>50</v>
      </c>
      <c r="G225" s="81" t="s">
        <v>334</v>
      </c>
      <c r="H225" s="83"/>
    </row>
    <row r="226" customFormat="false" ht="30" hidden="false" customHeight="true" outlineLevel="0" collapsed="false">
      <c r="A226" s="81" t="n">
        <v>208</v>
      </c>
      <c r="B226" s="85" t="s">
        <v>3239</v>
      </c>
      <c r="C226" s="88" t="s">
        <v>3240</v>
      </c>
      <c r="D226" s="83" t="s">
        <v>3241</v>
      </c>
      <c r="E226" s="83" t="s">
        <v>3242</v>
      </c>
      <c r="F226" s="81" t="n">
        <v>50</v>
      </c>
      <c r="G226" s="81" t="s">
        <v>334</v>
      </c>
      <c r="H226" s="83"/>
    </row>
    <row r="227" customFormat="false" ht="30" hidden="false" customHeight="true" outlineLevel="0" collapsed="false">
      <c r="A227" s="81" t="n">
        <v>209</v>
      </c>
      <c r="B227" s="85" t="s">
        <v>3243</v>
      </c>
      <c r="C227" s="88" t="s">
        <v>3244</v>
      </c>
      <c r="D227" s="83" t="s">
        <v>3245</v>
      </c>
      <c r="E227" s="83" t="s">
        <v>3246</v>
      </c>
      <c r="F227" s="81" t="n">
        <v>50</v>
      </c>
      <c r="G227" s="81" t="s">
        <v>334</v>
      </c>
      <c r="H227" s="83"/>
    </row>
    <row r="228" customFormat="false" ht="30" hidden="false" customHeight="true" outlineLevel="0" collapsed="false">
      <c r="A228" s="81" t="n">
        <v>210</v>
      </c>
      <c r="B228" s="85" t="s">
        <v>3247</v>
      </c>
      <c r="C228" s="88"/>
      <c r="D228" s="83" t="s">
        <v>3248</v>
      </c>
      <c r="E228" s="87" t="s">
        <v>3249</v>
      </c>
      <c r="F228" s="81" t="n">
        <v>50</v>
      </c>
      <c r="G228" s="81" t="s">
        <v>334</v>
      </c>
      <c r="H228" s="83"/>
    </row>
    <row r="229" customFormat="false" ht="24" hidden="false" customHeight="true" outlineLevel="0" collapsed="false">
      <c r="A229" s="9" t="s">
        <v>3250</v>
      </c>
      <c r="B229" s="9"/>
      <c r="C229" s="9"/>
      <c r="D229" s="9"/>
      <c r="E229" s="9"/>
      <c r="F229" s="9"/>
      <c r="G229" s="9"/>
      <c r="H229" s="9"/>
    </row>
    <row r="230" customFormat="false" ht="30" hidden="false" customHeight="true" outlineLevel="0" collapsed="false">
      <c r="A230" s="81" t="n">
        <v>211</v>
      </c>
      <c r="B230" s="85" t="s">
        <v>3251</v>
      </c>
      <c r="C230" s="88" t="s">
        <v>3252</v>
      </c>
      <c r="D230" s="83" t="s">
        <v>3253</v>
      </c>
      <c r="E230" s="87" t="s">
        <v>3254</v>
      </c>
      <c r="F230" s="81" t="n">
        <v>51</v>
      </c>
      <c r="G230" s="81" t="s">
        <v>334</v>
      </c>
      <c r="H230" s="83"/>
    </row>
    <row r="231" customFormat="false" ht="30" hidden="false" customHeight="true" outlineLevel="0" collapsed="false">
      <c r="A231" s="81" t="n">
        <v>212</v>
      </c>
      <c r="B231" s="85" t="s">
        <v>3255</v>
      </c>
      <c r="C231" s="88" t="s">
        <v>3256</v>
      </c>
      <c r="D231" s="83" t="s">
        <v>3257</v>
      </c>
      <c r="E231" s="87" t="s">
        <v>3258</v>
      </c>
      <c r="F231" s="81" t="n">
        <v>51</v>
      </c>
      <c r="G231" s="81" t="s">
        <v>334</v>
      </c>
      <c r="H231" s="83"/>
    </row>
    <row r="232" customFormat="false" ht="30" hidden="false" customHeight="true" outlineLevel="0" collapsed="false">
      <c r="A232" s="81" t="n">
        <v>213</v>
      </c>
      <c r="B232" s="85" t="s">
        <v>3259</v>
      </c>
      <c r="C232" s="88" t="s">
        <v>3260</v>
      </c>
      <c r="D232" s="83" t="s">
        <v>3261</v>
      </c>
      <c r="E232" s="87" t="s">
        <v>3262</v>
      </c>
      <c r="F232" s="81" t="n">
        <v>51</v>
      </c>
      <c r="G232" s="81" t="s">
        <v>334</v>
      </c>
      <c r="H232" s="83"/>
    </row>
    <row r="233" customFormat="false" ht="30" hidden="false" customHeight="true" outlineLevel="0" collapsed="false">
      <c r="A233" s="81" t="n">
        <v>214</v>
      </c>
      <c r="B233" s="85" t="s">
        <v>3263</v>
      </c>
      <c r="C233" s="88" t="s">
        <v>3264</v>
      </c>
      <c r="D233" s="83" t="s">
        <v>3265</v>
      </c>
      <c r="E233" s="87" t="s">
        <v>3266</v>
      </c>
      <c r="F233" s="81" t="n">
        <v>51</v>
      </c>
      <c r="G233" s="81" t="s">
        <v>334</v>
      </c>
      <c r="H233" s="83"/>
    </row>
    <row r="234" customFormat="false" ht="30" hidden="false" customHeight="true" outlineLevel="0" collapsed="false">
      <c r="A234" s="81" t="n">
        <v>215</v>
      </c>
      <c r="B234" s="85" t="s">
        <v>3267</v>
      </c>
      <c r="C234" s="88" t="s">
        <v>3268</v>
      </c>
      <c r="D234" s="83" t="s">
        <v>3269</v>
      </c>
      <c r="E234" s="83" t="s">
        <v>3270</v>
      </c>
      <c r="F234" s="81" t="n">
        <v>51</v>
      </c>
      <c r="G234" s="81" t="s">
        <v>334</v>
      </c>
      <c r="H234" s="83"/>
    </row>
    <row r="235" customFormat="false" ht="30" hidden="false" customHeight="true" outlineLevel="0" collapsed="false">
      <c r="A235" s="81" t="n">
        <v>216</v>
      </c>
      <c r="B235" s="85" t="s">
        <v>3271</v>
      </c>
      <c r="C235" s="88" t="s">
        <v>3272</v>
      </c>
      <c r="D235" s="83" t="s">
        <v>2723</v>
      </c>
      <c r="E235" s="87" t="s">
        <v>3273</v>
      </c>
      <c r="F235" s="81" t="n">
        <v>51</v>
      </c>
      <c r="G235" s="81" t="s">
        <v>334</v>
      </c>
      <c r="H235" s="83"/>
    </row>
    <row r="236" customFormat="false" ht="30" hidden="false" customHeight="true" outlineLevel="0" collapsed="false">
      <c r="A236" s="81" t="n">
        <v>217</v>
      </c>
      <c r="B236" s="85" t="s">
        <v>3274</v>
      </c>
      <c r="C236" s="88" t="s">
        <v>3275</v>
      </c>
      <c r="D236" s="83" t="s">
        <v>3276</v>
      </c>
      <c r="E236" s="87" t="s">
        <v>3277</v>
      </c>
      <c r="F236" s="81" t="n">
        <v>51</v>
      </c>
      <c r="G236" s="81" t="s">
        <v>334</v>
      </c>
      <c r="H236" s="83"/>
    </row>
    <row r="237" customFormat="false" ht="30" hidden="false" customHeight="true" outlineLevel="0" collapsed="false">
      <c r="A237" s="81" t="n">
        <v>218</v>
      </c>
      <c r="B237" s="85" t="s">
        <v>3278</v>
      </c>
      <c r="C237" s="88" t="s">
        <v>3279</v>
      </c>
      <c r="D237" s="83" t="s">
        <v>3280</v>
      </c>
      <c r="E237" s="87" t="s">
        <v>3281</v>
      </c>
      <c r="F237" s="81" t="n">
        <v>52</v>
      </c>
      <c r="G237" s="81" t="s">
        <v>334</v>
      </c>
      <c r="H237" s="83"/>
    </row>
    <row r="238" customFormat="false" ht="30" hidden="false" customHeight="true" outlineLevel="0" collapsed="false">
      <c r="A238" s="81" t="n">
        <v>219</v>
      </c>
      <c r="B238" s="85" t="s">
        <v>3282</v>
      </c>
      <c r="C238" s="88" t="s">
        <v>3283</v>
      </c>
      <c r="D238" s="83" t="s">
        <v>3284</v>
      </c>
      <c r="E238" s="87" t="s">
        <v>3285</v>
      </c>
      <c r="F238" s="81" t="n">
        <v>52</v>
      </c>
      <c r="G238" s="81" t="s">
        <v>334</v>
      </c>
      <c r="H238" s="83"/>
    </row>
    <row r="239" customFormat="false" ht="30" hidden="false" customHeight="true" outlineLevel="0" collapsed="false">
      <c r="A239" s="81" t="n">
        <v>220</v>
      </c>
      <c r="B239" s="85" t="s">
        <v>3286</v>
      </c>
      <c r="C239" s="88" t="s">
        <v>3287</v>
      </c>
      <c r="D239" s="83" t="s">
        <v>3288</v>
      </c>
      <c r="E239" s="87" t="s">
        <v>3289</v>
      </c>
      <c r="F239" s="81" t="n">
        <v>52</v>
      </c>
      <c r="G239" s="81" t="s">
        <v>334</v>
      </c>
      <c r="H239" s="83"/>
    </row>
    <row r="240" customFormat="false" ht="30" hidden="false" customHeight="true" outlineLevel="0" collapsed="false">
      <c r="A240" s="81" t="n">
        <v>221</v>
      </c>
      <c r="B240" s="85" t="s">
        <v>3290</v>
      </c>
      <c r="C240" s="88" t="s">
        <v>3291</v>
      </c>
      <c r="D240" s="83" t="s">
        <v>3292</v>
      </c>
      <c r="E240" s="87" t="s">
        <v>3293</v>
      </c>
      <c r="F240" s="81" t="n">
        <v>52</v>
      </c>
      <c r="G240" s="81" t="s">
        <v>334</v>
      </c>
      <c r="H240" s="83"/>
    </row>
    <row r="241" customFormat="false" ht="30" hidden="false" customHeight="true" outlineLevel="0" collapsed="false">
      <c r="A241" s="81" t="n">
        <v>222</v>
      </c>
      <c r="B241" s="85" t="s">
        <v>3294</v>
      </c>
      <c r="C241" s="88" t="s">
        <v>3295</v>
      </c>
      <c r="D241" s="83" t="s">
        <v>3296</v>
      </c>
      <c r="E241" s="87" t="s">
        <v>3297</v>
      </c>
      <c r="F241" s="81" t="n">
        <v>52</v>
      </c>
      <c r="G241" s="81" t="s">
        <v>334</v>
      </c>
      <c r="H241" s="83"/>
    </row>
    <row r="242" customFormat="false" ht="30" hidden="false" customHeight="true" outlineLevel="0" collapsed="false">
      <c r="A242" s="81" t="n">
        <v>223</v>
      </c>
      <c r="B242" s="85" t="s">
        <v>3298</v>
      </c>
      <c r="C242" s="88" t="s">
        <v>3299</v>
      </c>
      <c r="D242" s="83" t="s">
        <v>3300</v>
      </c>
      <c r="E242" s="83" t="s">
        <v>3301</v>
      </c>
      <c r="F242" s="81" t="n">
        <v>52</v>
      </c>
      <c r="G242" s="81" t="s">
        <v>334</v>
      </c>
      <c r="H242" s="83"/>
    </row>
    <row r="243" customFormat="false" ht="30" hidden="false" customHeight="true" outlineLevel="0" collapsed="false">
      <c r="A243" s="81" t="n">
        <v>224</v>
      </c>
      <c r="B243" s="85" t="s">
        <v>3302</v>
      </c>
      <c r="C243" s="88" t="s">
        <v>3303</v>
      </c>
      <c r="D243" s="83" t="s">
        <v>3304</v>
      </c>
      <c r="E243" s="83" t="s">
        <v>3305</v>
      </c>
      <c r="F243" s="81" t="n">
        <v>52</v>
      </c>
      <c r="G243" s="81" t="s">
        <v>334</v>
      </c>
      <c r="H243" s="83"/>
    </row>
    <row r="244" customFormat="false" ht="24" hidden="false" customHeight="true" outlineLevel="0" collapsed="false">
      <c r="A244" s="9" t="s">
        <v>3306</v>
      </c>
      <c r="B244" s="9"/>
      <c r="C244" s="9"/>
      <c r="D244" s="9"/>
      <c r="E244" s="9"/>
      <c r="F244" s="9"/>
      <c r="G244" s="9"/>
      <c r="H244" s="9"/>
    </row>
    <row r="245" customFormat="false" ht="30" hidden="false" customHeight="true" outlineLevel="0" collapsed="false">
      <c r="A245" s="81" t="n">
        <v>225</v>
      </c>
      <c r="B245" s="85" t="s">
        <v>3307</v>
      </c>
      <c r="C245" s="88" t="s">
        <v>3308</v>
      </c>
      <c r="D245" s="83" t="s">
        <v>3309</v>
      </c>
      <c r="E245" s="87" t="s">
        <v>3310</v>
      </c>
      <c r="F245" s="81" t="n">
        <v>53</v>
      </c>
      <c r="G245" s="81" t="s">
        <v>334</v>
      </c>
      <c r="H245" s="83"/>
    </row>
    <row r="246" customFormat="false" ht="30" hidden="false" customHeight="true" outlineLevel="0" collapsed="false">
      <c r="A246" s="81" t="n">
        <v>226</v>
      </c>
      <c r="B246" s="85" t="s">
        <v>3311</v>
      </c>
      <c r="C246" s="88" t="s">
        <v>3312</v>
      </c>
      <c r="D246" s="83" t="s">
        <v>3313</v>
      </c>
      <c r="E246" s="87" t="s">
        <v>3314</v>
      </c>
      <c r="F246" s="81" t="n">
        <v>53</v>
      </c>
      <c r="G246" s="81" t="s">
        <v>334</v>
      </c>
      <c r="H246" s="83"/>
    </row>
    <row r="247" customFormat="false" ht="30" hidden="false" customHeight="true" outlineLevel="0" collapsed="false">
      <c r="A247" s="81" t="n">
        <v>227</v>
      </c>
      <c r="B247" s="85" t="s">
        <v>3315</v>
      </c>
      <c r="C247" s="88" t="s">
        <v>3316</v>
      </c>
      <c r="D247" s="83" t="s">
        <v>3317</v>
      </c>
      <c r="E247" s="87" t="s">
        <v>3318</v>
      </c>
      <c r="F247" s="81" t="n">
        <v>53</v>
      </c>
      <c r="G247" s="81" t="s">
        <v>334</v>
      </c>
      <c r="H247" s="83"/>
    </row>
    <row r="248" customFormat="false" ht="30" hidden="false" customHeight="true" outlineLevel="0" collapsed="false">
      <c r="A248" s="81" t="n">
        <v>228</v>
      </c>
      <c r="B248" s="85" t="s">
        <v>3319</v>
      </c>
      <c r="C248" s="88" t="s">
        <v>3320</v>
      </c>
      <c r="D248" s="83" t="s">
        <v>3321</v>
      </c>
      <c r="E248" s="83" t="s">
        <v>3322</v>
      </c>
      <c r="F248" s="81" t="n">
        <v>53</v>
      </c>
      <c r="G248" s="81" t="s">
        <v>334</v>
      </c>
      <c r="H248" s="83"/>
    </row>
    <row r="249" customFormat="false" ht="30" hidden="false" customHeight="true" outlineLevel="0" collapsed="false">
      <c r="A249" s="81" t="n">
        <v>229</v>
      </c>
      <c r="B249" s="85" t="s">
        <v>3323</v>
      </c>
      <c r="C249" s="88" t="s">
        <v>3324</v>
      </c>
      <c r="D249" s="83" t="s">
        <v>3325</v>
      </c>
      <c r="E249" s="83" t="s">
        <v>3326</v>
      </c>
      <c r="F249" s="81" t="n">
        <v>53</v>
      </c>
      <c r="G249" s="81" t="s">
        <v>334</v>
      </c>
      <c r="H249" s="83"/>
    </row>
    <row r="250" customFormat="false" ht="30" hidden="false" customHeight="true" outlineLevel="0" collapsed="false">
      <c r="A250" s="81" t="n">
        <v>230</v>
      </c>
      <c r="B250" s="85" t="s">
        <v>3327</v>
      </c>
      <c r="C250" s="88" t="s">
        <v>3328</v>
      </c>
      <c r="D250" s="83" t="s">
        <v>3329</v>
      </c>
      <c r="E250" s="83" t="s">
        <v>3330</v>
      </c>
      <c r="F250" s="81" t="n">
        <v>54</v>
      </c>
      <c r="G250" s="81" t="s">
        <v>334</v>
      </c>
      <c r="H250" s="83"/>
    </row>
    <row r="251" customFormat="false" ht="30" hidden="false" customHeight="true" outlineLevel="0" collapsed="false">
      <c r="A251" s="81" t="n">
        <v>231</v>
      </c>
      <c r="B251" s="85" t="s">
        <v>2745</v>
      </c>
      <c r="C251" s="88" t="s">
        <v>2746</v>
      </c>
      <c r="D251" s="83" t="s">
        <v>3331</v>
      </c>
      <c r="E251" s="87" t="s">
        <v>3332</v>
      </c>
      <c r="F251" s="81" t="n">
        <v>54</v>
      </c>
      <c r="G251" s="81" t="s">
        <v>334</v>
      </c>
      <c r="H251" s="83"/>
    </row>
    <row r="252" customFormat="false" ht="30" hidden="false" customHeight="true" outlineLevel="0" collapsed="false">
      <c r="A252" s="81" t="n">
        <v>232</v>
      </c>
      <c r="B252" s="85" t="s">
        <v>3333</v>
      </c>
      <c r="C252" s="88" t="s">
        <v>3334</v>
      </c>
      <c r="D252" s="83" t="s">
        <v>3335</v>
      </c>
      <c r="E252" s="83" t="s">
        <v>3336</v>
      </c>
      <c r="F252" s="81" t="n">
        <v>54</v>
      </c>
      <c r="G252" s="81" t="s">
        <v>334</v>
      </c>
      <c r="H252" s="83"/>
    </row>
    <row r="253" customFormat="false" ht="30" hidden="false" customHeight="true" outlineLevel="0" collapsed="false">
      <c r="A253" s="81" t="n">
        <v>233</v>
      </c>
      <c r="B253" s="85" t="s">
        <v>3337</v>
      </c>
      <c r="C253" s="88" t="s">
        <v>3338</v>
      </c>
      <c r="D253" s="83" t="s">
        <v>3339</v>
      </c>
      <c r="E253" s="83" t="s">
        <v>3340</v>
      </c>
      <c r="F253" s="81" t="n">
        <v>54</v>
      </c>
      <c r="G253" s="81" t="s">
        <v>334</v>
      </c>
      <c r="H253" s="83"/>
    </row>
    <row r="254" customFormat="false" ht="30" hidden="false" customHeight="true" outlineLevel="0" collapsed="false">
      <c r="A254" s="81" t="n">
        <v>234</v>
      </c>
      <c r="B254" s="85" t="s">
        <v>3341</v>
      </c>
      <c r="C254" s="88"/>
      <c r="D254" s="83" t="s">
        <v>3342</v>
      </c>
      <c r="E254" s="83" t="s">
        <v>3343</v>
      </c>
      <c r="F254" s="81" t="n">
        <v>54</v>
      </c>
      <c r="G254" s="81" t="s">
        <v>334</v>
      </c>
      <c r="H254" s="83"/>
    </row>
    <row r="255" customFormat="false" ht="30" hidden="false" customHeight="true" outlineLevel="0" collapsed="false">
      <c r="A255" s="81" t="n">
        <v>235</v>
      </c>
      <c r="B255" s="85" t="s">
        <v>3344</v>
      </c>
      <c r="C255" s="88" t="s">
        <v>3345</v>
      </c>
      <c r="D255" s="83" t="s">
        <v>3346</v>
      </c>
      <c r="E255" s="83" t="s">
        <v>3347</v>
      </c>
      <c r="F255" s="81" t="n">
        <v>55</v>
      </c>
      <c r="G255" s="81" t="s">
        <v>334</v>
      </c>
      <c r="H255" s="83"/>
    </row>
    <row r="256" customFormat="false" ht="30" hidden="false" customHeight="true" outlineLevel="0" collapsed="false">
      <c r="A256" s="81" t="n">
        <v>236</v>
      </c>
      <c r="B256" s="85" t="s">
        <v>3348</v>
      </c>
      <c r="C256" s="88" t="s">
        <v>3349</v>
      </c>
      <c r="D256" s="83" t="s">
        <v>3350</v>
      </c>
      <c r="E256" s="87" t="s">
        <v>3351</v>
      </c>
      <c r="F256" s="81" t="n">
        <v>55</v>
      </c>
      <c r="G256" s="81" t="s">
        <v>334</v>
      </c>
      <c r="H256" s="83"/>
    </row>
    <row r="257" customFormat="false" ht="30" hidden="false" customHeight="true" outlineLevel="0" collapsed="false">
      <c r="A257" s="81" t="n">
        <v>237</v>
      </c>
      <c r="B257" s="85" t="s">
        <v>3352</v>
      </c>
      <c r="C257" s="88" t="s">
        <v>3353</v>
      </c>
      <c r="D257" s="83" t="s">
        <v>3354</v>
      </c>
      <c r="E257" s="87" t="s">
        <v>3355</v>
      </c>
      <c r="F257" s="81" t="n">
        <v>55</v>
      </c>
      <c r="G257" s="81" t="s">
        <v>334</v>
      </c>
      <c r="H257" s="83"/>
    </row>
    <row r="258" customFormat="false" ht="30" hidden="false" customHeight="true" outlineLevel="0" collapsed="false">
      <c r="A258" s="81" t="n">
        <v>238</v>
      </c>
      <c r="B258" s="85" t="s">
        <v>3356</v>
      </c>
      <c r="C258" s="88" t="s">
        <v>3357</v>
      </c>
      <c r="D258" s="83" t="s">
        <v>3358</v>
      </c>
      <c r="E258" s="83" t="s">
        <v>3359</v>
      </c>
      <c r="F258" s="81" t="n">
        <v>55</v>
      </c>
      <c r="G258" s="81" t="s">
        <v>334</v>
      </c>
      <c r="H258" s="83"/>
    </row>
    <row r="259" customFormat="false" ht="24" hidden="false" customHeight="true" outlineLevel="0" collapsed="false">
      <c r="A259" s="9" t="s">
        <v>3360</v>
      </c>
      <c r="B259" s="9"/>
      <c r="C259" s="9"/>
      <c r="D259" s="9"/>
      <c r="E259" s="9"/>
      <c r="F259" s="9"/>
      <c r="G259" s="9"/>
      <c r="H259" s="9"/>
    </row>
    <row r="260" customFormat="false" ht="30" hidden="false" customHeight="true" outlineLevel="0" collapsed="false">
      <c r="A260" s="81" t="n">
        <v>239</v>
      </c>
      <c r="B260" s="85" t="s">
        <v>3361</v>
      </c>
      <c r="C260" s="88"/>
      <c r="D260" s="83" t="s">
        <v>3362</v>
      </c>
      <c r="E260" s="83" t="s">
        <v>3363</v>
      </c>
      <c r="F260" s="81" t="n">
        <v>57</v>
      </c>
      <c r="G260" s="81" t="s">
        <v>334</v>
      </c>
      <c r="H260" s="83"/>
    </row>
    <row r="261" customFormat="false" ht="30" hidden="false" customHeight="true" outlineLevel="0" collapsed="false">
      <c r="A261" s="81" t="n">
        <v>240</v>
      </c>
      <c r="B261" s="85" t="s">
        <v>3267</v>
      </c>
      <c r="C261" s="88" t="s">
        <v>3364</v>
      </c>
      <c r="D261" s="83" t="s">
        <v>3365</v>
      </c>
      <c r="E261" s="87" t="s">
        <v>3366</v>
      </c>
      <c r="F261" s="81" t="n">
        <v>57</v>
      </c>
      <c r="G261" s="81" t="s">
        <v>334</v>
      </c>
      <c r="H261" s="83"/>
    </row>
    <row r="262" customFormat="false" ht="30" hidden="false" customHeight="true" outlineLevel="0" collapsed="false">
      <c r="A262" s="81" t="n">
        <v>241</v>
      </c>
      <c r="B262" s="85" t="s">
        <v>3367</v>
      </c>
      <c r="C262" s="88" t="s">
        <v>3368</v>
      </c>
      <c r="D262" s="83" t="s">
        <v>3369</v>
      </c>
      <c r="E262" s="87" t="s">
        <v>3370</v>
      </c>
      <c r="F262" s="81" t="n">
        <v>57</v>
      </c>
      <c r="G262" s="81" t="s">
        <v>334</v>
      </c>
      <c r="H262" s="83"/>
    </row>
    <row r="263" customFormat="false" ht="30" hidden="false" customHeight="true" outlineLevel="0" collapsed="false">
      <c r="A263" s="81" t="n">
        <v>242</v>
      </c>
      <c r="B263" s="85" t="s">
        <v>3371</v>
      </c>
      <c r="C263" s="88" t="s">
        <v>3372</v>
      </c>
      <c r="D263" s="83" t="s">
        <v>3373</v>
      </c>
      <c r="E263" s="87" t="s">
        <v>3374</v>
      </c>
      <c r="F263" s="81" t="n">
        <v>57</v>
      </c>
      <c r="G263" s="81" t="s">
        <v>334</v>
      </c>
      <c r="H263" s="83"/>
    </row>
    <row r="264" customFormat="false" ht="30" hidden="false" customHeight="true" outlineLevel="0" collapsed="false">
      <c r="A264" s="81" t="n">
        <v>243</v>
      </c>
      <c r="B264" s="85" t="s">
        <v>3375</v>
      </c>
      <c r="C264" s="88" t="s">
        <v>3376</v>
      </c>
      <c r="D264" s="83" t="s">
        <v>3377</v>
      </c>
      <c r="E264" s="87" t="s">
        <v>3378</v>
      </c>
      <c r="F264" s="81" t="n">
        <v>57</v>
      </c>
      <c r="G264" s="81" t="s">
        <v>334</v>
      </c>
      <c r="H264" s="83"/>
    </row>
    <row r="265" customFormat="false" ht="30" hidden="false" customHeight="true" outlineLevel="0" collapsed="false">
      <c r="A265" s="81" t="n">
        <v>244</v>
      </c>
      <c r="B265" s="85" t="s">
        <v>3379</v>
      </c>
      <c r="C265" s="88" t="s">
        <v>3380</v>
      </c>
      <c r="D265" s="83" t="s">
        <v>3381</v>
      </c>
      <c r="E265" s="83" t="s">
        <v>3382</v>
      </c>
      <c r="F265" s="81" t="n">
        <v>57</v>
      </c>
      <c r="G265" s="81" t="s">
        <v>334</v>
      </c>
      <c r="H265" s="83"/>
    </row>
    <row r="266" customFormat="false" ht="30" hidden="false" customHeight="true" outlineLevel="0" collapsed="false">
      <c r="A266" s="81" t="n">
        <v>245</v>
      </c>
      <c r="B266" s="85" t="s">
        <v>3383</v>
      </c>
      <c r="C266" s="88" t="s">
        <v>3384</v>
      </c>
      <c r="D266" s="83" t="s">
        <v>3385</v>
      </c>
      <c r="E266" s="83" t="s">
        <v>3386</v>
      </c>
      <c r="F266" s="81" t="n">
        <v>57</v>
      </c>
      <c r="G266" s="81" t="s">
        <v>334</v>
      </c>
      <c r="H266" s="83"/>
    </row>
    <row r="267" customFormat="false" ht="30" hidden="false" customHeight="true" outlineLevel="0" collapsed="false">
      <c r="A267" s="81" t="n">
        <v>246</v>
      </c>
      <c r="B267" s="85" t="s">
        <v>3387</v>
      </c>
      <c r="C267" s="88" t="s">
        <v>3388</v>
      </c>
      <c r="D267" s="83" t="s">
        <v>3389</v>
      </c>
      <c r="E267" s="83" t="s">
        <v>3390</v>
      </c>
      <c r="F267" s="81" t="n">
        <v>58</v>
      </c>
      <c r="G267" s="81" t="s">
        <v>334</v>
      </c>
      <c r="H267" s="83"/>
    </row>
    <row r="268" customFormat="false" ht="30" hidden="false" customHeight="true" outlineLevel="0" collapsed="false">
      <c r="A268" s="81" t="n">
        <v>247</v>
      </c>
      <c r="B268" s="85" t="s">
        <v>3391</v>
      </c>
      <c r="C268" s="88" t="s">
        <v>3392</v>
      </c>
      <c r="D268" s="83" t="s">
        <v>3393</v>
      </c>
      <c r="E268" s="83" t="s">
        <v>3394</v>
      </c>
      <c r="F268" s="81" t="n">
        <v>58</v>
      </c>
      <c r="G268" s="81" t="s">
        <v>334</v>
      </c>
      <c r="H268" s="83"/>
    </row>
    <row r="269" customFormat="false" ht="30" hidden="false" customHeight="true" outlineLevel="0" collapsed="false">
      <c r="A269" s="81" t="n">
        <v>248</v>
      </c>
      <c r="B269" s="85" t="s">
        <v>3395</v>
      </c>
      <c r="C269" s="88"/>
      <c r="D269" s="83" t="s">
        <v>3396</v>
      </c>
      <c r="E269" s="83" t="s">
        <v>3397</v>
      </c>
      <c r="F269" s="81" t="n">
        <v>58</v>
      </c>
      <c r="G269" s="81" t="s">
        <v>334</v>
      </c>
      <c r="H269" s="83"/>
    </row>
    <row r="270" customFormat="false" ht="30" hidden="false" customHeight="true" outlineLevel="0" collapsed="false">
      <c r="A270" s="81" t="n">
        <v>249</v>
      </c>
      <c r="B270" s="85" t="s">
        <v>3398</v>
      </c>
      <c r="C270" s="88"/>
      <c r="D270" s="83" t="s">
        <v>3399</v>
      </c>
      <c r="E270" s="83" t="s">
        <v>3400</v>
      </c>
      <c r="F270" s="81" t="n">
        <v>58</v>
      </c>
      <c r="G270" s="81" t="s">
        <v>334</v>
      </c>
      <c r="H270" s="83"/>
    </row>
    <row r="271" customFormat="false" ht="30" hidden="false" customHeight="true" outlineLevel="0" collapsed="false">
      <c r="A271" s="81" t="n">
        <v>250</v>
      </c>
      <c r="B271" s="85" t="s">
        <v>3401</v>
      </c>
      <c r="C271" s="88" t="s">
        <v>3402</v>
      </c>
      <c r="D271" s="83" t="s">
        <v>1567</v>
      </c>
      <c r="E271" s="87" t="s">
        <v>3403</v>
      </c>
      <c r="F271" s="81" t="n">
        <v>58</v>
      </c>
      <c r="G271" s="81" t="s">
        <v>334</v>
      </c>
      <c r="H271" s="83"/>
    </row>
    <row r="272" customFormat="false" ht="30" hidden="false" customHeight="true" outlineLevel="0" collapsed="false">
      <c r="A272" s="81" t="n">
        <v>251</v>
      </c>
      <c r="B272" s="85" t="s">
        <v>3404</v>
      </c>
      <c r="C272" s="88" t="s">
        <v>3405</v>
      </c>
      <c r="D272" s="83" t="s">
        <v>3406</v>
      </c>
      <c r="E272" s="87" t="s">
        <v>3407</v>
      </c>
      <c r="F272" s="81" t="n">
        <v>58</v>
      </c>
      <c r="G272" s="81" t="s">
        <v>334</v>
      </c>
      <c r="H272" s="83"/>
    </row>
    <row r="273" customFormat="false" ht="30" hidden="false" customHeight="true" outlineLevel="0" collapsed="false">
      <c r="A273" s="81" t="n">
        <v>252</v>
      </c>
      <c r="B273" s="85" t="s">
        <v>3408</v>
      </c>
      <c r="C273" s="88" t="s">
        <v>3409</v>
      </c>
      <c r="D273" s="83" t="s">
        <v>3410</v>
      </c>
      <c r="E273" s="83" t="s">
        <v>3411</v>
      </c>
      <c r="F273" s="81" t="n">
        <v>58</v>
      </c>
      <c r="G273" s="81" t="s">
        <v>334</v>
      </c>
      <c r="H273" s="83"/>
    </row>
    <row r="274" customFormat="false" ht="24" hidden="false" customHeight="true" outlineLevel="0" collapsed="false">
      <c r="A274" s="9" t="s">
        <v>3412</v>
      </c>
      <c r="B274" s="9"/>
      <c r="C274" s="9"/>
      <c r="D274" s="9"/>
      <c r="E274" s="9"/>
      <c r="F274" s="9"/>
      <c r="G274" s="9"/>
      <c r="H274" s="9"/>
    </row>
    <row r="275" customFormat="false" ht="30" hidden="false" customHeight="true" outlineLevel="0" collapsed="false">
      <c r="A275" s="81" t="n">
        <v>253</v>
      </c>
      <c r="B275" s="85" t="s">
        <v>3413</v>
      </c>
      <c r="C275" s="88" t="s">
        <v>3414</v>
      </c>
      <c r="D275" s="83" t="s">
        <v>3415</v>
      </c>
      <c r="E275" s="87" t="s">
        <v>3416</v>
      </c>
      <c r="F275" s="81" t="n">
        <v>59</v>
      </c>
      <c r="G275" s="81" t="s">
        <v>334</v>
      </c>
      <c r="H275" s="83"/>
    </row>
    <row r="276" customFormat="false" ht="30" hidden="false" customHeight="true" outlineLevel="0" collapsed="false">
      <c r="A276" s="81" t="n">
        <v>254</v>
      </c>
      <c r="B276" s="85" t="s">
        <v>3417</v>
      </c>
      <c r="C276" s="88" t="s">
        <v>3418</v>
      </c>
      <c r="D276" s="83" t="s">
        <v>3419</v>
      </c>
      <c r="E276" s="87" t="s">
        <v>3420</v>
      </c>
      <c r="F276" s="81" t="n">
        <v>59</v>
      </c>
      <c r="G276" s="81" t="s">
        <v>334</v>
      </c>
      <c r="H276" s="83"/>
    </row>
    <row r="277" customFormat="false" ht="30" hidden="false" customHeight="true" outlineLevel="0" collapsed="false">
      <c r="A277" s="81" t="n">
        <v>255</v>
      </c>
      <c r="B277" s="85" t="s">
        <v>3421</v>
      </c>
      <c r="C277" s="88" t="s">
        <v>3422</v>
      </c>
      <c r="D277" s="83" t="s">
        <v>3423</v>
      </c>
      <c r="E277" s="83" t="s">
        <v>3424</v>
      </c>
      <c r="F277" s="81" t="n">
        <v>59</v>
      </c>
      <c r="G277" s="81" t="s">
        <v>334</v>
      </c>
      <c r="H277" s="83"/>
    </row>
    <row r="278" customFormat="false" ht="30" hidden="false" customHeight="true" outlineLevel="0" collapsed="false">
      <c r="A278" s="81" t="n">
        <v>256</v>
      </c>
      <c r="B278" s="85" t="s">
        <v>3425</v>
      </c>
      <c r="C278" s="88" t="s">
        <v>3426</v>
      </c>
      <c r="D278" s="83" t="s">
        <v>3427</v>
      </c>
      <c r="E278" s="83" t="s">
        <v>3428</v>
      </c>
      <c r="F278" s="81" t="n">
        <v>59</v>
      </c>
      <c r="G278" s="81" t="s">
        <v>334</v>
      </c>
      <c r="H278" s="83"/>
    </row>
    <row r="279" customFormat="false" ht="30" hidden="false" customHeight="true" outlineLevel="0" collapsed="false">
      <c r="A279" s="81" t="n">
        <v>257</v>
      </c>
      <c r="B279" s="85" t="s">
        <v>3429</v>
      </c>
      <c r="C279" s="88" t="s">
        <v>3430</v>
      </c>
      <c r="D279" s="83" t="s">
        <v>3431</v>
      </c>
      <c r="E279" s="83" t="s">
        <v>3432</v>
      </c>
      <c r="F279" s="81" t="n">
        <v>59</v>
      </c>
      <c r="G279" s="81" t="s">
        <v>334</v>
      </c>
      <c r="H279" s="83"/>
    </row>
    <row r="280" customFormat="false" ht="30" hidden="false" customHeight="true" outlineLevel="0" collapsed="false">
      <c r="A280" s="81" t="n">
        <v>258</v>
      </c>
      <c r="B280" s="85" t="s">
        <v>3433</v>
      </c>
      <c r="C280" s="88"/>
      <c r="D280" s="83" t="s">
        <v>3434</v>
      </c>
      <c r="E280" s="83" t="s">
        <v>3435</v>
      </c>
      <c r="F280" s="81" t="n">
        <v>60</v>
      </c>
      <c r="G280" s="81" t="s">
        <v>334</v>
      </c>
      <c r="H280" s="83"/>
    </row>
    <row r="281" customFormat="false" ht="30" hidden="false" customHeight="true" outlineLevel="0" collapsed="false">
      <c r="A281" s="81" t="n">
        <v>259</v>
      </c>
      <c r="B281" s="85" t="s">
        <v>3436</v>
      </c>
      <c r="C281" s="88" t="s">
        <v>3437</v>
      </c>
      <c r="D281" s="83" t="s">
        <v>3438</v>
      </c>
      <c r="E281" s="87" t="s">
        <v>3439</v>
      </c>
      <c r="F281" s="81" t="n">
        <v>60</v>
      </c>
      <c r="G281" s="81" t="s">
        <v>334</v>
      </c>
      <c r="H281" s="83"/>
    </row>
    <row r="282" customFormat="false" ht="30" hidden="false" customHeight="true" outlineLevel="0" collapsed="false">
      <c r="A282" s="81" t="n">
        <v>260</v>
      </c>
      <c r="B282" s="85" t="s">
        <v>3440</v>
      </c>
      <c r="C282" s="88" t="s">
        <v>3441</v>
      </c>
      <c r="D282" s="83" t="s">
        <v>3442</v>
      </c>
      <c r="E282" s="87" t="s">
        <v>3443</v>
      </c>
      <c r="F282" s="81" t="n">
        <v>60</v>
      </c>
      <c r="G282" s="81" t="s">
        <v>334</v>
      </c>
      <c r="H282" s="83"/>
    </row>
    <row r="283" customFormat="false" ht="30" hidden="false" customHeight="true" outlineLevel="0" collapsed="false">
      <c r="A283" s="81" t="n">
        <v>261</v>
      </c>
      <c r="B283" s="85" t="s">
        <v>3444</v>
      </c>
      <c r="C283" s="88" t="s">
        <v>3445</v>
      </c>
      <c r="D283" s="83" t="s">
        <v>3446</v>
      </c>
      <c r="E283" s="83" t="s">
        <v>3447</v>
      </c>
      <c r="F283" s="81" t="n">
        <v>60</v>
      </c>
      <c r="G283" s="81" t="s">
        <v>334</v>
      </c>
      <c r="H283" s="83"/>
    </row>
    <row r="284" customFormat="false" ht="30" hidden="false" customHeight="true" outlineLevel="0" collapsed="false">
      <c r="A284" s="81" t="n">
        <v>262</v>
      </c>
      <c r="B284" s="85" t="s">
        <v>3448</v>
      </c>
      <c r="C284" s="88"/>
      <c r="D284" s="83" t="s">
        <v>3449</v>
      </c>
      <c r="E284" s="87" t="s">
        <v>3450</v>
      </c>
      <c r="F284" s="81" t="n">
        <v>60</v>
      </c>
      <c r="G284" s="81" t="s">
        <v>334</v>
      </c>
      <c r="H284" s="83"/>
    </row>
    <row r="285" customFormat="false" ht="30" hidden="false" customHeight="true" outlineLevel="0" collapsed="false">
      <c r="A285" s="81" t="n">
        <v>263</v>
      </c>
      <c r="B285" s="85" t="s">
        <v>3451</v>
      </c>
      <c r="C285" s="88"/>
      <c r="D285" s="83" t="s">
        <v>3452</v>
      </c>
      <c r="E285" s="87" t="s">
        <v>3453</v>
      </c>
      <c r="F285" s="81" t="n">
        <v>61</v>
      </c>
      <c r="G285" s="81" t="s">
        <v>334</v>
      </c>
      <c r="H285" s="83"/>
    </row>
    <row r="286" customFormat="false" ht="30" hidden="false" customHeight="true" outlineLevel="0" collapsed="false">
      <c r="A286" s="81" t="n">
        <v>264</v>
      </c>
      <c r="B286" s="85" t="s">
        <v>3454</v>
      </c>
      <c r="C286" s="88"/>
      <c r="D286" s="83" t="s">
        <v>3455</v>
      </c>
      <c r="E286" s="83" t="s">
        <v>3456</v>
      </c>
      <c r="F286" s="81" t="n">
        <v>61</v>
      </c>
      <c r="G286" s="81" t="s">
        <v>334</v>
      </c>
      <c r="H286" s="83"/>
    </row>
    <row r="287" customFormat="false" ht="30" hidden="false" customHeight="true" outlineLevel="0" collapsed="false">
      <c r="A287" s="81" t="n">
        <v>265</v>
      </c>
      <c r="B287" s="85" t="s">
        <v>3457</v>
      </c>
      <c r="C287" s="88" t="s">
        <v>3458</v>
      </c>
      <c r="D287" s="83" t="s">
        <v>3459</v>
      </c>
      <c r="E287" s="87" t="s">
        <v>3460</v>
      </c>
      <c r="F287" s="81" t="n">
        <v>61</v>
      </c>
      <c r="G287" s="81" t="s">
        <v>334</v>
      </c>
      <c r="H287" s="83"/>
    </row>
    <row r="288" customFormat="false" ht="30" hidden="false" customHeight="true" outlineLevel="0" collapsed="false">
      <c r="A288" s="81" t="n">
        <v>266</v>
      </c>
      <c r="B288" s="85" t="s">
        <v>3461</v>
      </c>
      <c r="C288" s="88" t="s">
        <v>3462</v>
      </c>
      <c r="D288" s="83" t="s">
        <v>2965</v>
      </c>
      <c r="E288" s="83" t="s">
        <v>3463</v>
      </c>
      <c r="F288" s="81" t="n">
        <v>61</v>
      </c>
      <c r="G288" s="81" t="s">
        <v>334</v>
      </c>
      <c r="H288" s="83"/>
    </row>
    <row r="289" customFormat="false" ht="24" hidden="false" customHeight="true" outlineLevel="0" collapsed="false">
      <c r="A289" s="9" t="s">
        <v>3464</v>
      </c>
      <c r="B289" s="9"/>
      <c r="C289" s="9"/>
      <c r="D289" s="9"/>
      <c r="E289" s="9"/>
      <c r="F289" s="9"/>
      <c r="G289" s="9"/>
      <c r="H289" s="9"/>
    </row>
    <row r="290" customFormat="false" ht="30" hidden="false" customHeight="true" outlineLevel="0" collapsed="false">
      <c r="A290" s="81" t="n">
        <v>267</v>
      </c>
      <c r="B290" s="85" t="s">
        <v>3465</v>
      </c>
      <c r="C290" s="88" t="s">
        <v>3466</v>
      </c>
      <c r="D290" s="83" t="s">
        <v>3467</v>
      </c>
      <c r="E290" s="87" t="s">
        <v>3468</v>
      </c>
      <c r="F290" s="81" t="n">
        <v>62</v>
      </c>
      <c r="G290" s="81" t="s">
        <v>334</v>
      </c>
      <c r="H290" s="83"/>
    </row>
    <row r="291" customFormat="false" ht="30" hidden="false" customHeight="true" outlineLevel="0" collapsed="false">
      <c r="A291" s="81" t="n">
        <v>268</v>
      </c>
      <c r="B291" s="85" t="s">
        <v>3469</v>
      </c>
      <c r="C291" s="88" t="s">
        <v>3470</v>
      </c>
      <c r="D291" s="83" t="s">
        <v>3471</v>
      </c>
      <c r="E291" s="87" t="s">
        <v>3472</v>
      </c>
      <c r="F291" s="81" t="n">
        <v>62</v>
      </c>
      <c r="G291" s="81" t="s">
        <v>334</v>
      </c>
      <c r="H291" s="83"/>
    </row>
    <row r="292" customFormat="false" ht="30" hidden="false" customHeight="true" outlineLevel="0" collapsed="false">
      <c r="A292" s="81" t="n">
        <v>269</v>
      </c>
      <c r="B292" s="85" t="s">
        <v>3473</v>
      </c>
      <c r="C292" s="88" t="s">
        <v>3474</v>
      </c>
      <c r="D292" s="83" t="s">
        <v>3475</v>
      </c>
      <c r="E292" s="87" t="s">
        <v>3476</v>
      </c>
      <c r="F292" s="81" t="n">
        <v>62</v>
      </c>
      <c r="G292" s="81" t="s">
        <v>334</v>
      </c>
      <c r="H292" s="83"/>
    </row>
    <row r="293" customFormat="false" ht="30" hidden="false" customHeight="true" outlineLevel="0" collapsed="false">
      <c r="A293" s="81" t="n">
        <v>270</v>
      </c>
      <c r="B293" s="85" t="s">
        <v>3477</v>
      </c>
      <c r="C293" s="88" t="s">
        <v>3478</v>
      </c>
      <c r="D293" s="83" t="s">
        <v>3479</v>
      </c>
      <c r="E293" s="87" t="s">
        <v>3480</v>
      </c>
      <c r="F293" s="81" t="n">
        <v>62</v>
      </c>
      <c r="G293" s="81" t="s">
        <v>334</v>
      </c>
      <c r="H293" s="83"/>
    </row>
    <row r="294" customFormat="false" ht="30" hidden="false" customHeight="true" outlineLevel="0" collapsed="false">
      <c r="A294" s="81" t="n">
        <v>271</v>
      </c>
      <c r="B294" s="85" t="s">
        <v>3481</v>
      </c>
      <c r="C294" s="88" t="s">
        <v>3482</v>
      </c>
      <c r="D294" s="83" t="s">
        <v>3483</v>
      </c>
      <c r="E294" s="83" t="s">
        <v>3484</v>
      </c>
      <c r="F294" s="81" t="n">
        <v>62</v>
      </c>
      <c r="G294" s="81" t="s">
        <v>334</v>
      </c>
      <c r="H294" s="83"/>
    </row>
    <row r="295" customFormat="false" ht="30" hidden="false" customHeight="true" outlineLevel="0" collapsed="false">
      <c r="A295" s="81" t="n">
        <v>272</v>
      </c>
      <c r="B295" s="85" t="s">
        <v>3485</v>
      </c>
      <c r="C295" s="88" t="s">
        <v>3486</v>
      </c>
      <c r="D295" s="83" t="s">
        <v>3487</v>
      </c>
      <c r="E295" s="83" t="s">
        <v>3488</v>
      </c>
      <c r="F295" s="81" t="n">
        <v>64</v>
      </c>
      <c r="G295" s="81" t="s">
        <v>334</v>
      </c>
      <c r="H295" s="83"/>
    </row>
    <row r="296" customFormat="false" ht="30" hidden="false" customHeight="true" outlineLevel="0" collapsed="false">
      <c r="A296" s="81" t="n">
        <v>273</v>
      </c>
      <c r="B296" s="85" t="s">
        <v>3489</v>
      </c>
      <c r="C296" s="88" t="s">
        <v>3490</v>
      </c>
      <c r="D296" s="83" t="s">
        <v>3491</v>
      </c>
      <c r="E296" s="83" t="s">
        <v>3492</v>
      </c>
      <c r="F296" s="81" t="n">
        <v>64</v>
      </c>
      <c r="G296" s="81" t="s">
        <v>334</v>
      </c>
      <c r="H296" s="83"/>
    </row>
    <row r="297" customFormat="false" ht="30" hidden="false" customHeight="true" outlineLevel="0" collapsed="false">
      <c r="A297" s="81" t="n">
        <v>274</v>
      </c>
      <c r="B297" s="85" t="s">
        <v>3493</v>
      </c>
      <c r="C297" s="88" t="s">
        <v>3494</v>
      </c>
      <c r="D297" s="83" t="s">
        <v>3495</v>
      </c>
      <c r="E297" s="83" t="s">
        <v>3496</v>
      </c>
      <c r="F297" s="81" t="n">
        <v>64</v>
      </c>
      <c r="G297" s="81" t="s">
        <v>334</v>
      </c>
      <c r="H297" s="83"/>
    </row>
    <row r="298" customFormat="false" ht="30" hidden="false" customHeight="true" outlineLevel="0" collapsed="false">
      <c r="A298" s="81" t="n">
        <v>275</v>
      </c>
      <c r="B298" s="85" t="s">
        <v>3497</v>
      </c>
      <c r="C298" s="88" t="s">
        <v>3498</v>
      </c>
      <c r="D298" s="83" t="s">
        <v>3499</v>
      </c>
      <c r="E298" s="83" t="s">
        <v>3500</v>
      </c>
      <c r="F298" s="81" t="n">
        <v>64</v>
      </c>
      <c r="G298" s="81" t="s">
        <v>334</v>
      </c>
      <c r="H298" s="83"/>
    </row>
    <row r="299" customFormat="false" ht="30" hidden="false" customHeight="true" outlineLevel="0" collapsed="false">
      <c r="A299" s="81" t="n">
        <v>276</v>
      </c>
      <c r="B299" s="85" t="s">
        <v>3501</v>
      </c>
      <c r="C299" s="88" t="s">
        <v>3502</v>
      </c>
      <c r="D299" s="83" t="s">
        <v>3503</v>
      </c>
      <c r="E299" s="83" t="s">
        <v>3504</v>
      </c>
      <c r="F299" s="81" t="n">
        <v>64</v>
      </c>
      <c r="G299" s="81" t="s">
        <v>334</v>
      </c>
      <c r="H299" s="83"/>
    </row>
    <row r="300" customFormat="false" ht="30" hidden="false" customHeight="true" outlineLevel="0" collapsed="false">
      <c r="A300" s="81" t="n">
        <v>277</v>
      </c>
      <c r="B300" s="85" t="s">
        <v>3505</v>
      </c>
      <c r="C300" s="88"/>
      <c r="D300" s="83" t="s">
        <v>3506</v>
      </c>
      <c r="E300" s="83" t="s">
        <v>3507</v>
      </c>
      <c r="F300" s="81" t="n">
        <v>65</v>
      </c>
      <c r="G300" s="81" t="s">
        <v>334</v>
      </c>
      <c r="H300" s="83"/>
    </row>
    <row r="301" customFormat="false" ht="30" hidden="false" customHeight="true" outlineLevel="0" collapsed="false">
      <c r="A301" s="81" t="n">
        <v>278</v>
      </c>
      <c r="B301" s="85" t="s">
        <v>3508</v>
      </c>
      <c r="C301" s="88"/>
      <c r="D301" s="83" t="s">
        <v>3509</v>
      </c>
      <c r="E301" s="83" t="s">
        <v>3510</v>
      </c>
      <c r="F301" s="81" t="n">
        <v>65</v>
      </c>
      <c r="G301" s="81" t="s">
        <v>334</v>
      </c>
      <c r="H301" s="83"/>
    </row>
    <row r="302" customFormat="false" ht="30" hidden="false" customHeight="true" outlineLevel="0" collapsed="false">
      <c r="A302" s="81" t="n">
        <v>279</v>
      </c>
      <c r="B302" s="85" t="s">
        <v>3511</v>
      </c>
      <c r="C302" s="88"/>
      <c r="D302" s="83" t="s">
        <v>3512</v>
      </c>
      <c r="E302" s="83" t="s">
        <v>3513</v>
      </c>
      <c r="F302" s="81" t="n">
        <v>65</v>
      </c>
      <c r="G302" s="81" t="s">
        <v>334</v>
      </c>
      <c r="H302" s="83"/>
    </row>
    <row r="303" customFormat="false" ht="30" hidden="false" customHeight="true" outlineLevel="0" collapsed="false">
      <c r="A303" s="81" t="n">
        <v>280</v>
      </c>
      <c r="B303" s="85" t="s">
        <v>3514</v>
      </c>
      <c r="C303" s="88"/>
      <c r="D303" s="83" t="s">
        <v>3515</v>
      </c>
      <c r="E303" s="83" t="s">
        <v>3516</v>
      </c>
      <c r="F303" s="81" t="n">
        <v>65</v>
      </c>
      <c r="G303" s="81" t="s">
        <v>334</v>
      </c>
      <c r="H303" s="83"/>
    </row>
    <row r="304" customFormat="false" ht="24" hidden="false" customHeight="true" outlineLevel="0" collapsed="false">
      <c r="A304" s="9" t="s">
        <v>3517</v>
      </c>
      <c r="B304" s="9"/>
      <c r="C304" s="9"/>
      <c r="D304" s="9"/>
      <c r="E304" s="9"/>
      <c r="F304" s="9"/>
      <c r="G304" s="9"/>
      <c r="H304" s="9"/>
    </row>
    <row r="305" customFormat="false" ht="30" hidden="false" customHeight="true" outlineLevel="0" collapsed="false">
      <c r="A305" s="81" t="n">
        <v>281</v>
      </c>
      <c r="B305" s="85" t="s">
        <v>3518</v>
      </c>
      <c r="C305" s="88" t="s">
        <v>3519</v>
      </c>
      <c r="D305" s="83" t="s">
        <v>3520</v>
      </c>
      <c r="E305" s="87" t="s">
        <v>3521</v>
      </c>
      <c r="F305" s="81" t="n">
        <v>66</v>
      </c>
      <c r="G305" s="81" t="s">
        <v>334</v>
      </c>
      <c r="H305" s="83"/>
    </row>
    <row r="306" customFormat="false" ht="30" hidden="false" customHeight="true" outlineLevel="0" collapsed="false">
      <c r="A306" s="81" t="n">
        <v>282</v>
      </c>
      <c r="B306" s="85" t="s">
        <v>3522</v>
      </c>
      <c r="C306" s="88" t="s">
        <v>3523</v>
      </c>
      <c r="D306" s="83" t="s">
        <v>3524</v>
      </c>
      <c r="E306" s="87" t="s">
        <v>3525</v>
      </c>
      <c r="F306" s="81" t="n">
        <v>66</v>
      </c>
      <c r="G306" s="81" t="s">
        <v>334</v>
      </c>
      <c r="H306" s="83"/>
    </row>
    <row r="307" customFormat="false" ht="30" hidden="false" customHeight="true" outlineLevel="0" collapsed="false">
      <c r="A307" s="81" t="n">
        <v>283</v>
      </c>
      <c r="B307" s="85" t="s">
        <v>3526</v>
      </c>
      <c r="C307" s="88" t="s">
        <v>3527</v>
      </c>
      <c r="D307" s="83" t="s">
        <v>3528</v>
      </c>
      <c r="E307" s="87" t="s">
        <v>3529</v>
      </c>
      <c r="F307" s="81" t="n">
        <v>66</v>
      </c>
      <c r="G307" s="81" t="s">
        <v>334</v>
      </c>
      <c r="H307" s="83"/>
    </row>
    <row r="308" customFormat="false" ht="30" hidden="false" customHeight="true" outlineLevel="0" collapsed="false">
      <c r="A308" s="81" t="n">
        <v>284</v>
      </c>
      <c r="B308" s="85" t="s">
        <v>3530</v>
      </c>
      <c r="C308" s="88" t="s">
        <v>3531</v>
      </c>
      <c r="D308" s="83" t="s">
        <v>3532</v>
      </c>
      <c r="E308" s="87" t="s">
        <v>3533</v>
      </c>
      <c r="F308" s="81" t="n">
        <v>66</v>
      </c>
      <c r="G308" s="81" t="s">
        <v>334</v>
      </c>
      <c r="H308" s="83"/>
    </row>
    <row r="309" customFormat="false" ht="30" hidden="false" customHeight="true" outlineLevel="0" collapsed="false">
      <c r="A309" s="81" t="n">
        <v>285</v>
      </c>
      <c r="B309" s="85" t="s">
        <v>3534</v>
      </c>
      <c r="C309" s="88" t="s">
        <v>3535</v>
      </c>
      <c r="D309" s="83" t="s">
        <v>3536</v>
      </c>
      <c r="E309" s="87" t="s">
        <v>3537</v>
      </c>
      <c r="F309" s="81" t="n">
        <v>66</v>
      </c>
      <c r="G309" s="81" t="s">
        <v>334</v>
      </c>
      <c r="H309" s="83"/>
    </row>
    <row r="310" customFormat="false" ht="30" hidden="false" customHeight="true" outlineLevel="0" collapsed="false">
      <c r="A310" s="81" t="n">
        <v>286</v>
      </c>
      <c r="B310" s="85" t="s">
        <v>3538</v>
      </c>
      <c r="C310" s="88" t="s">
        <v>3539</v>
      </c>
      <c r="D310" s="83" t="s">
        <v>3540</v>
      </c>
      <c r="E310" s="83" t="s">
        <v>3541</v>
      </c>
      <c r="F310" s="81" t="n">
        <v>66</v>
      </c>
      <c r="G310" s="81" t="s">
        <v>334</v>
      </c>
      <c r="H310" s="83"/>
    </row>
    <row r="311" customFormat="false" ht="30" hidden="false" customHeight="true" outlineLevel="0" collapsed="false">
      <c r="A311" s="81" t="n">
        <v>287</v>
      </c>
      <c r="B311" s="85" t="s">
        <v>3542</v>
      </c>
      <c r="C311" s="88" t="s">
        <v>3543</v>
      </c>
      <c r="D311" s="83" t="s">
        <v>3544</v>
      </c>
      <c r="E311" s="83" t="s">
        <v>3545</v>
      </c>
      <c r="F311" s="81" t="n">
        <v>66</v>
      </c>
      <c r="G311" s="81" t="s">
        <v>334</v>
      </c>
      <c r="H311" s="83"/>
    </row>
    <row r="312" customFormat="false" ht="30" hidden="false" customHeight="true" outlineLevel="0" collapsed="false">
      <c r="A312" s="81" t="n">
        <v>288</v>
      </c>
      <c r="B312" s="85" t="s">
        <v>3546</v>
      </c>
      <c r="C312" s="88"/>
      <c r="D312" s="83" t="s">
        <v>3547</v>
      </c>
      <c r="E312" s="83" t="s">
        <v>3548</v>
      </c>
      <c r="F312" s="81" t="n">
        <v>67</v>
      </c>
      <c r="G312" s="81" t="s">
        <v>334</v>
      </c>
      <c r="H312" s="83"/>
    </row>
    <row r="313" customFormat="false" ht="30" hidden="false" customHeight="true" outlineLevel="0" collapsed="false">
      <c r="A313" s="81" t="n">
        <v>289</v>
      </c>
      <c r="B313" s="85" t="s">
        <v>3549</v>
      </c>
      <c r="C313" s="88" t="s">
        <v>3550</v>
      </c>
      <c r="D313" s="83" t="s">
        <v>3551</v>
      </c>
      <c r="E313" s="83" t="s">
        <v>3552</v>
      </c>
      <c r="F313" s="81" t="n">
        <v>67</v>
      </c>
      <c r="G313" s="81" t="s">
        <v>334</v>
      </c>
      <c r="H313" s="83"/>
    </row>
    <row r="314" customFormat="false" ht="30" hidden="false" customHeight="true" outlineLevel="0" collapsed="false">
      <c r="A314" s="81" t="n">
        <v>290</v>
      </c>
      <c r="B314" s="85" t="s">
        <v>3553</v>
      </c>
      <c r="C314" s="88" t="s">
        <v>3554</v>
      </c>
      <c r="D314" s="83" t="s">
        <v>3555</v>
      </c>
      <c r="E314" s="83" t="s">
        <v>3556</v>
      </c>
      <c r="F314" s="81" t="n">
        <v>67</v>
      </c>
      <c r="G314" s="81" t="s">
        <v>334</v>
      </c>
      <c r="H314" s="83"/>
    </row>
    <row r="315" customFormat="false" ht="30" hidden="false" customHeight="true" outlineLevel="0" collapsed="false">
      <c r="A315" s="81" t="n">
        <v>291</v>
      </c>
      <c r="B315" s="85" t="s">
        <v>3557</v>
      </c>
      <c r="C315" s="88"/>
      <c r="D315" s="83" t="s">
        <v>3558</v>
      </c>
      <c r="E315" s="87" t="s">
        <v>3559</v>
      </c>
      <c r="F315" s="81" t="n">
        <v>67</v>
      </c>
      <c r="G315" s="81" t="s">
        <v>334</v>
      </c>
      <c r="H315" s="83"/>
    </row>
    <row r="316" customFormat="false" ht="30" hidden="false" customHeight="true" outlineLevel="0" collapsed="false">
      <c r="A316" s="81" t="n">
        <v>292</v>
      </c>
      <c r="B316" s="85" t="s">
        <v>3560</v>
      </c>
      <c r="C316" s="88" t="s">
        <v>3561</v>
      </c>
      <c r="D316" s="83" t="s">
        <v>3562</v>
      </c>
      <c r="E316" s="83" t="s">
        <v>3563</v>
      </c>
      <c r="F316" s="81" t="n">
        <v>67</v>
      </c>
      <c r="G316" s="81" t="s">
        <v>334</v>
      </c>
      <c r="H316" s="83"/>
    </row>
    <row r="317" customFormat="false" ht="30" hidden="false" customHeight="true" outlineLevel="0" collapsed="false">
      <c r="A317" s="81" t="n">
        <v>293</v>
      </c>
      <c r="B317" s="85" t="s">
        <v>3564</v>
      </c>
      <c r="C317" s="88" t="s">
        <v>3565</v>
      </c>
      <c r="D317" s="83" t="s">
        <v>3566</v>
      </c>
      <c r="E317" s="83" t="s">
        <v>3567</v>
      </c>
      <c r="F317" s="81" t="n">
        <v>67</v>
      </c>
      <c r="G317" s="81" t="s">
        <v>334</v>
      </c>
      <c r="H317" s="83"/>
    </row>
    <row r="318" customFormat="false" ht="30" hidden="false" customHeight="true" outlineLevel="0" collapsed="false">
      <c r="A318" s="81" t="n">
        <v>294</v>
      </c>
      <c r="B318" s="85" t="s">
        <v>3568</v>
      </c>
      <c r="C318" s="88"/>
      <c r="D318" s="83" t="s">
        <v>3569</v>
      </c>
      <c r="E318" s="83" t="s">
        <v>3570</v>
      </c>
      <c r="F318" s="81" t="n">
        <v>67</v>
      </c>
      <c r="G318" s="81" t="s">
        <v>334</v>
      </c>
      <c r="H318" s="83"/>
    </row>
    <row r="319" customFormat="false" ht="24" hidden="false" customHeight="true" outlineLevel="0" collapsed="false">
      <c r="A319" s="9" t="s">
        <v>3571</v>
      </c>
      <c r="B319" s="9"/>
      <c r="C319" s="9"/>
      <c r="D319" s="9"/>
      <c r="E319" s="9"/>
      <c r="F319" s="9"/>
      <c r="G319" s="9"/>
      <c r="H319" s="9"/>
    </row>
    <row r="320" customFormat="false" ht="30" hidden="false" customHeight="true" outlineLevel="0" collapsed="false">
      <c r="A320" s="81" t="n">
        <v>295</v>
      </c>
      <c r="B320" s="85" t="s">
        <v>2693</v>
      </c>
      <c r="C320" s="88" t="s">
        <v>3572</v>
      </c>
      <c r="D320" s="83" t="s">
        <v>3573</v>
      </c>
      <c r="E320" s="87" t="s">
        <v>3574</v>
      </c>
      <c r="F320" s="81" t="n">
        <v>68</v>
      </c>
      <c r="G320" s="81" t="s">
        <v>334</v>
      </c>
      <c r="H320" s="83"/>
    </row>
    <row r="321" customFormat="false" ht="30" hidden="false" customHeight="true" outlineLevel="0" collapsed="false">
      <c r="A321" s="81" t="n">
        <v>296</v>
      </c>
      <c r="B321" s="85" t="s">
        <v>3575</v>
      </c>
      <c r="C321" s="88"/>
      <c r="D321" s="83" t="s">
        <v>3576</v>
      </c>
      <c r="E321" s="83" t="s">
        <v>3577</v>
      </c>
      <c r="F321" s="81" t="n">
        <v>68</v>
      </c>
      <c r="G321" s="81" t="s">
        <v>334</v>
      </c>
      <c r="H321" s="83"/>
    </row>
    <row r="322" customFormat="false" ht="30" hidden="false" customHeight="true" outlineLevel="0" collapsed="false">
      <c r="A322" s="81" t="n">
        <v>297</v>
      </c>
      <c r="B322" s="85" t="s">
        <v>3578</v>
      </c>
      <c r="C322" s="88"/>
      <c r="D322" s="83" t="s">
        <v>3579</v>
      </c>
      <c r="E322" s="87" t="s">
        <v>3580</v>
      </c>
      <c r="F322" s="81" t="n">
        <v>68</v>
      </c>
      <c r="G322" s="81" t="s">
        <v>334</v>
      </c>
      <c r="H322" s="83"/>
    </row>
    <row r="323" customFormat="false" ht="30" hidden="false" customHeight="true" outlineLevel="0" collapsed="false">
      <c r="A323" s="81" t="n">
        <v>298</v>
      </c>
      <c r="B323" s="85" t="s">
        <v>2812</v>
      </c>
      <c r="C323" s="88"/>
      <c r="D323" s="83" t="s">
        <v>3581</v>
      </c>
      <c r="E323" s="87" t="s">
        <v>3582</v>
      </c>
      <c r="F323" s="81" t="n">
        <v>68</v>
      </c>
      <c r="G323" s="81" t="s">
        <v>334</v>
      </c>
      <c r="H323" s="83"/>
    </row>
    <row r="324" customFormat="false" ht="30" hidden="false" customHeight="true" outlineLevel="0" collapsed="false">
      <c r="A324" s="81" t="n">
        <v>299</v>
      </c>
      <c r="B324" s="85" t="s">
        <v>3583</v>
      </c>
      <c r="C324" s="88" t="s">
        <v>3584</v>
      </c>
      <c r="D324" s="83" t="s">
        <v>3585</v>
      </c>
      <c r="E324" s="87" t="s">
        <v>3586</v>
      </c>
      <c r="F324" s="81" t="n">
        <v>68</v>
      </c>
      <c r="G324" s="81" t="s">
        <v>334</v>
      </c>
      <c r="H324" s="83"/>
    </row>
    <row r="325" customFormat="false" ht="30" hidden="false" customHeight="true" outlineLevel="0" collapsed="false">
      <c r="A325" s="81" t="n">
        <v>300</v>
      </c>
      <c r="B325" s="85" t="s">
        <v>3587</v>
      </c>
      <c r="C325" s="88" t="s">
        <v>3588</v>
      </c>
      <c r="D325" s="83" t="s">
        <v>3589</v>
      </c>
      <c r="E325" s="83" t="s">
        <v>3590</v>
      </c>
      <c r="F325" s="81" t="n">
        <v>68</v>
      </c>
      <c r="G325" s="81" t="s">
        <v>334</v>
      </c>
      <c r="H325" s="83"/>
    </row>
    <row r="326" customFormat="false" ht="30" hidden="false" customHeight="true" outlineLevel="0" collapsed="false">
      <c r="A326" s="81" t="n">
        <v>301</v>
      </c>
      <c r="B326" s="85" t="s">
        <v>3591</v>
      </c>
      <c r="C326" s="88" t="s">
        <v>3592</v>
      </c>
      <c r="D326" s="83" t="s">
        <v>3593</v>
      </c>
      <c r="E326" s="83" t="s">
        <v>3594</v>
      </c>
      <c r="F326" s="81" t="n">
        <v>68</v>
      </c>
      <c r="G326" s="81" t="s">
        <v>334</v>
      </c>
      <c r="H326" s="83"/>
    </row>
    <row r="327" customFormat="false" ht="30" hidden="false" customHeight="true" outlineLevel="0" collapsed="false">
      <c r="A327" s="81" t="n">
        <v>302</v>
      </c>
      <c r="B327" s="85" t="s">
        <v>3595</v>
      </c>
      <c r="C327" s="88" t="s">
        <v>3596</v>
      </c>
      <c r="D327" s="83" t="s">
        <v>3597</v>
      </c>
      <c r="E327" s="83" t="s">
        <v>3598</v>
      </c>
      <c r="F327" s="81" t="n">
        <v>69</v>
      </c>
      <c r="G327" s="81" t="s">
        <v>334</v>
      </c>
      <c r="H327" s="83"/>
    </row>
    <row r="328" customFormat="false" ht="30" hidden="false" customHeight="true" outlineLevel="0" collapsed="false">
      <c r="A328" s="81" t="n">
        <v>303</v>
      </c>
      <c r="B328" s="85" t="s">
        <v>3599</v>
      </c>
      <c r="C328" s="88" t="s">
        <v>3600</v>
      </c>
      <c r="D328" s="83" t="s">
        <v>3601</v>
      </c>
      <c r="E328" s="83" t="s">
        <v>3602</v>
      </c>
      <c r="F328" s="81" t="n">
        <v>69</v>
      </c>
      <c r="G328" s="81" t="s">
        <v>334</v>
      </c>
      <c r="H328" s="83"/>
    </row>
    <row r="329" customFormat="false" ht="30" hidden="false" customHeight="true" outlineLevel="0" collapsed="false">
      <c r="A329" s="81" t="n">
        <v>304</v>
      </c>
      <c r="B329" s="85" t="s">
        <v>3603</v>
      </c>
      <c r="C329" s="88" t="s">
        <v>3604</v>
      </c>
      <c r="D329" s="83" t="s">
        <v>3605</v>
      </c>
      <c r="E329" s="83" t="s">
        <v>3606</v>
      </c>
      <c r="F329" s="81" t="n">
        <v>69</v>
      </c>
      <c r="G329" s="81" t="s">
        <v>334</v>
      </c>
      <c r="H329" s="83"/>
    </row>
    <row r="330" customFormat="false" ht="30" hidden="false" customHeight="true" outlineLevel="0" collapsed="false">
      <c r="A330" s="81" t="n">
        <v>305</v>
      </c>
      <c r="B330" s="85" t="s">
        <v>3607</v>
      </c>
      <c r="C330" s="88"/>
      <c r="D330" s="83" t="s">
        <v>3608</v>
      </c>
      <c r="E330" s="83" t="s">
        <v>3609</v>
      </c>
      <c r="F330" s="81" t="n">
        <v>69</v>
      </c>
      <c r="G330" s="81" t="s">
        <v>334</v>
      </c>
      <c r="H330" s="83"/>
    </row>
    <row r="331" customFormat="false" ht="30" hidden="false" customHeight="true" outlineLevel="0" collapsed="false">
      <c r="A331" s="81" t="n">
        <v>306</v>
      </c>
      <c r="B331" s="85" t="s">
        <v>3610</v>
      </c>
      <c r="C331" s="88"/>
      <c r="D331" s="83" t="s">
        <v>3611</v>
      </c>
      <c r="E331" s="83" t="s">
        <v>3612</v>
      </c>
      <c r="F331" s="81" t="n">
        <v>69</v>
      </c>
      <c r="G331" s="81" t="s">
        <v>334</v>
      </c>
      <c r="H331" s="83"/>
    </row>
    <row r="332" customFormat="false" ht="30" hidden="false" customHeight="true" outlineLevel="0" collapsed="false">
      <c r="A332" s="81" t="n">
        <v>307</v>
      </c>
      <c r="B332" s="85" t="s">
        <v>2831</v>
      </c>
      <c r="C332" s="88" t="s">
        <v>2832</v>
      </c>
      <c r="D332" s="83" t="s">
        <v>2833</v>
      </c>
      <c r="E332" s="83" t="s">
        <v>3613</v>
      </c>
      <c r="F332" s="81" t="n">
        <v>69</v>
      </c>
      <c r="G332" s="81" t="s">
        <v>334</v>
      </c>
      <c r="H332" s="83"/>
    </row>
    <row r="333" customFormat="false" ht="30" hidden="false" customHeight="true" outlineLevel="0" collapsed="false">
      <c r="A333" s="81" t="n">
        <v>308</v>
      </c>
      <c r="B333" s="85" t="s">
        <v>3614</v>
      </c>
      <c r="C333" s="88" t="s">
        <v>3615</v>
      </c>
      <c r="D333" s="83" t="s">
        <v>3616</v>
      </c>
      <c r="E333" s="83" t="s">
        <v>3617</v>
      </c>
      <c r="F333" s="81" t="n">
        <v>69</v>
      </c>
      <c r="G333" s="81" t="s">
        <v>334</v>
      </c>
      <c r="H333" s="83"/>
    </row>
    <row r="334" customFormat="false" ht="24" hidden="false" customHeight="true" outlineLevel="0" collapsed="false">
      <c r="A334" s="9" t="s">
        <v>3618</v>
      </c>
      <c r="B334" s="9"/>
      <c r="C334" s="9"/>
      <c r="D334" s="9"/>
      <c r="E334" s="9"/>
      <c r="F334" s="9"/>
      <c r="G334" s="9"/>
      <c r="H334" s="9"/>
    </row>
    <row r="335" customFormat="false" ht="30" hidden="false" customHeight="true" outlineLevel="0" collapsed="false">
      <c r="A335" s="81" t="n">
        <v>309</v>
      </c>
      <c r="B335" s="85" t="s">
        <v>3619</v>
      </c>
      <c r="C335" s="88" t="s">
        <v>3620</v>
      </c>
      <c r="D335" s="83" t="s">
        <v>3621</v>
      </c>
      <c r="E335" s="87" t="s">
        <v>3622</v>
      </c>
      <c r="F335" s="81" t="n">
        <v>71</v>
      </c>
      <c r="G335" s="81" t="s">
        <v>334</v>
      </c>
      <c r="H335" s="83"/>
    </row>
    <row r="336" customFormat="false" ht="30" hidden="false" customHeight="true" outlineLevel="0" collapsed="false">
      <c r="A336" s="81" t="n">
        <v>310</v>
      </c>
      <c r="B336" s="85" t="s">
        <v>3267</v>
      </c>
      <c r="C336" s="88" t="s">
        <v>3268</v>
      </c>
      <c r="D336" s="83" t="s">
        <v>3269</v>
      </c>
      <c r="E336" s="83" t="s">
        <v>3623</v>
      </c>
      <c r="F336" s="81" t="n">
        <v>71</v>
      </c>
      <c r="G336" s="81" t="s">
        <v>334</v>
      </c>
      <c r="H336" s="83"/>
    </row>
    <row r="337" customFormat="false" ht="30" hidden="false" customHeight="true" outlineLevel="0" collapsed="false">
      <c r="A337" s="81" t="n">
        <v>311</v>
      </c>
      <c r="B337" s="85" t="s">
        <v>3624</v>
      </c>
      <c r="C337" s="88" t="s">
        <v>3625</v>
      </c>
      <c r="D337" s="83" t="s">
        <v>3626</v>
      </c>
      <c r="E337" s="87" t="s">
        <v>3627</v>
      </c>
      <c r="F337" s="81" t="n">
        <v>71</v>
      </c>
      <c r="G337" s="81" t="s">
        <v>334</v>
      </c>
      <c r="H337" s="83"/>
    </row>
    <row r="338" customFormat="false" ht="30" hidden="false" customHeight="true" outlineLevel="0" collapsed="false">
      <c r="A338" s="81" t="n">
        <v>312</v>
      </c>
      <c r="B338" s="85" t="s">
        <v>3628</v>
      </c>
      <c r="C338" s="88" t="s">
        <v>3629</v>
      </c>
      <c r="D338" s="83" t="s">
        <v>3630</v>
      </c>
      <c r="E338" s="83" t="s">
        <v>3631</v>
      </c>
      <c r="F338" s="81" t="n">
        <v>71</v>
      </c>
      <c r="G338" s="81" t="s">
        <v>334</v>
      </c>
      <c r="H338" s="83"/>
    </row>
    <row r="339" customFormat="false" ht="30" hidden="false" customHeight="true" outlineLevel="0" collapsed="false">
      <c r="A339" s="81" t="n">
        <v>313</v>
      </c>
      <c r="B339" s="85" t="s">
        <v>3632</v>
      </c>
      <c r="C339" s="88" t="s">
        <v>3633</v>
      </c>
      <c r="D339" s="83" t="s">
        <v>3634</v>
      </c>
      <c r="E339" s="83" t="s">
        <v>3635</v>
      </c>
      <c r="F339" s="81" t="n">
        <v>71</v>
      </c>
      <c r="G339" s="81" t="s">
        <v>334</v>
      </c>
      <c r="H339" s="83"/>
    </row>
    <row r="340" customFormat="false" ht="30" hidden="false" customHeight="true" outlineLevel="0" collapsed="false">
      <c r="A340" s="81" t="n">
        <v>314</v>
      </c>
      <c r="B340" s="85" t="s">
        <v>3274</v>
      </c>
      <c r="C340" s="88" t="s">
        <v>3275</v>
      </c>
      <c r="D340" s="83" t="s">
        <v>3276</v>
      </c>
      <c r="E340" s="87" t="s">
        <v>3636</v>
      </c>
      <c r="F340" s="81" t="n">
        <v>71</v>
      </c>
      <c r="G340" s="81" t="s">
        <v>334</v>
      </c>
      <c r="H340" s="83"/>
    </row>
    <row r="341" customFormat="false" ht="30" hidden="false" customHeight="true" outlineLevel="0" collapsed="false">
      <c r="A341" s="81" t="n">
        <v>315</v>
      </c>
      <c r="B341" s="85" t="s">
        <v>3637</v>
      </c>
      <c r="C341" s="88"/>
      <c r="D341" s="83" t="s">
        <v>3638</v>
      </c>
      <c r="E341" s="83" t="s">
        <v>3639</v>
      </c>
      <c r="F341" s="81" t="n">
        <v>71</v>
      </c>
      <c r="G341" s="81" t="s">
        <v>334</v>
      </c>
      <c r="H341" s="83"/>
    </row>
    <row r="342" customFormat="false" ht="30" hidden="false" customHeight="true" outlineLevel="0" collapsed="false">
      <c r="A342" s="81" t="n">
        <v>316</v>
      </c>
      <c r="B342" s="85" t="s">
        <v>3640</v>
      </c>
      <c r="C342" s="88" t="s">
        <v>3641</v>
      </c>
      <c r="D342" s="83" t="s">
        <v>3642</v>
      </c>
      <c r="E342" s="87" t="s">
        <v>3643</v>
      </c>
      <c r="F342" s="81" t="n">
        <v>72</v>
      </c>
      <c r="G342" s="81" t="s">
        <v>334</v>
      </c>
      <c r="H342" s="83"/>
    </row>
    <row r="343" customFormat="false" ht="30" hidden="false" customHeight="true" outlineLevel="0" collapsed="false">
      <c r="A343" s="81" t="n">
        <v>317</v>
      </c>
      <c r="B343" s="85" t="s">
        <v>1752</v>
      </c>
      <c r="C343" s="88" t="s">
        <v>1748</v>
      </c>
      <c r="D343" s="83" t="s">
        <v>3644</v>
      </c>
      <c r="E343" s="87" t="s">
        <v>3645</v>
      </c>
      <c r="F343" s="81" t="n">
        <v>72</v>
      </c>
      <c r="G343" s="81" t="s">
        <v>334</v>
      </c>
      <c r="H343" s="83"/>
    </row>
    <row r="344" customFormat="false" ht="30" hidden="false" customHeight="true" outlineLevel="0" collapsed="false">
      <c r="A344" s="81" t="n">
        <v>318</v>
      </c>
      <c r="B344" s="85" t="s">
        <v>3302</v>
      </c>
      <c r="C344" s="88" t="s">
        <v>3303</v>
      </c>
      <c r="D344" s="83" t="s">
        <v>3304</v>
      </c>
      <c r="E344" s="83" t="s">
        <v>3646</v>
      </c>
      <c r="F344" s="81" t="n">
        <v>72</v>
      </c>
      <c r="G344" s="81" t="s">
        <v>334</v>
      </c>
      <c r="H344" s="83"/>
    </row>
    <row r="345" customFormat="false" ht="30" hidden="false" customHeight="true" outlineLevel="0" collapsed="false">
      <c r="A345" s="81" t="n">
        <v>319</v>
      </c>
      <c r="B345" s="85" t="s">
        <v>3298</v>
      </c>
      <c r="C345" s="88" t="s">
        <v>3299</v>
      </c>
      <c r="D345" s="83" t="s">
        <v>3300</v>
      </c>
      <c r="E345" s="83" t="s">
        <v>3647</v>
      </c>
      <c r="F345" s="81" t="n">
        <v>72</v>
      </c>
      <c r="G345" s="81" t="s">
        <v>334</v>
      </c>
      <c r="H345" s="83"/>
    </row>
    <row r="346" customFormat="false" ht="30" hidden="false" customHeight="true" outlineLevel="0" collapsed="false">
      <c r="A346" s="81" t="n">
        <v>320</v>
      </c>
      <c r="B346" s="85" t="s">
        <v>3648</v>
      </c>
      <c r="C346" s="88" t="s">
        <v>3649</v>
      </c>
      <c r="D346" s="83" t="s">
        <v>3650</v>
      </c>
      <c r="E346" s="87" t="s">
        <v>3651</v>
      </c>
      <c r="F346" s="81" t="n">
        <v>72</v>
      </c>
      <c r="G346" s="81" t="s">
        <v>334</v>
      </c>
      <c r="H346" s="83"/>
    </row>
    <row r="347" customFormat="false" ht="30" hidden="false" customHeight="true" outlineLevel="0" collapsed="false">
      <c r="A347" s="81" t="n">
        <v>321</v>
      </c>
      <c r="B347" s="85" t="s">
        <v>2816</v>
      </c>
      <c r="C347" s="88" t="s">
        <v>3652</v>
      </c>
      <c r="D347" s="83" t="s">
        <v>3653</v>
      </c>
      <c r="E347" s="87" t="s">
        <v>3654</v>
      </c>
      <c r="F347" s="81" t="n">
        <v>72</v>
      </c>
      <c r="G347" s="81" t="s">
        <v>334</v>
      </c>
      <c r="H347" s="83"/>
    </row>
    <row r="348" customFormat="false" ht="30" hidden="false" customHeight="true" outlineLevel="0" collapsed="false">
      <c r="A348" s="81" t="n">
        <v>322</v>
      </c>
      <c r="B348" s="85" t="s">
        <v>3655</v>
      </c>
      <c r="C348" s="88" t="s">
        <v>3656</v>
      </c>
      <c r="D348" s="83" t="s">
        <v>3657</v>
      </c>
      <c r="E348" s="87" t="s">
        <v>3658</v>
      </c>
      <c r="F348" s="81" t="n">
        <v>72</v>
      </c>
      <c r="G348" s="81" t="s">
        <v>334</v>
      </c>
      <c r="H348" s="83"/>
    </row>
    <row r="349" customFormat="false" ht="24" hidden="false" customHeight="true" outlineLevel="0" collapsed="false">
      <c r="A349" s="9" t="s">
        <v>3659</v>
      </c>
      <c r="B349" s="9"/>
      <c r="C349" s="9"/>
      <c r="D349" s="9"/>
      <c r="E349" s="9"/>
      <c r="F349" s="9"/>
      <c r="G349" s="9"/>
      <c r="H349" s="9"/>
    </row>
    <row r="350" customFormat="false" ht="30" hidden="false" customHeight="true" outlineLevel="0" collapsed="false">
      <c r="A350" s="81" t="n">
        <v>323</v>
      </c>
      <c r="B350" s="85" t="s">
        <v>3660</v>
      </c>
      <c r="C350" s="88"/>
      <c r="D350" s="83" t="s">
        <v>3661</v>
      </c>
      <c r="E350" s="83" t="s">
        <v>3662</v>
      </c>
      <c r="F350" s="81" t="n">
        <v>73</v>
      </c>
      <c r="G350" s="81" t="s">
        <v>334</v>
      </c>
      <c r="H350" s="83"/>
    </row>
    <row r="351" customFormat="false" ht="30" hidden="false" customHeight="true" outlineLevel="0" collapsed="false">
      <c r="A351" s="81" t="n">
        <v>324</v>
      </c>
      <c r="B351" s="85" t="s">
        <v>3663</v>
      </c>
      <c r="C351" s="88" t="s">
        <v>3664</v>
      </c>
      <c r="D351" s="83" t="s">
        <v>3665</v>
      </c>
      <c r="E351" s="87" t="s">
        <v>3666</v>
      </c>
      <c r="F351" s="81" t="n">
        <v>73</v>
      </c>
      <c r="G351" s="81" t="s">
        <v>334</v>
      </c>
      <c r="H351" s="83"/>
    </row>
    <row r="352" customFormat="false" ht="30" hidden="false" customHeight="true" outlineLevel="0" collapsed="false">
      <c r="A352" s="81" t="n">
        <v>325</v>
      </c>
      <c r="B352" s="85" t="s">
        <v>3667</v>
      </c>
      <c r="C352" s="88" t="s">
        <v>3668</v>
      </c>
      <c r="D352" s="83" t="s">
        <v>3669</v>
      </c>
      <c r="E352" s="83" t="s">
        <v>3670</v>
      </c>
      <c r="F352" s="81" t="n">
        <v>73</v>
      </c>
      <c r="G352" s="81" t="s">
        <v>334</v>
      </c>
      <c r="H352" s="83"/>
    </row>
    <row r="353" customFormat="false" ht="30" hidden="false" customHeight="true" outlineLevel="0" collapsed="false">
      <c r="A353" s="81" t="n">
        <v>326</v>
      </c>
      <c r="B353" s="85" t="s">
        <v>3671</v>
      </c>
      <c r="C353" s="88" t="s">
        <v>3672</v>
      </c>
      <c r="D353" s="83" t="s">
        <v>3673</v>
      </c>
      <c r="E353" s="87" t="s">
        <v>3674</v>
      </c>
      <c r="F353" s="81" t="n">
        <v>73</v>
      </c>
      <c r="G353" s="81" t="s">
        <v>334</v>
      </c>
      <c r="H353" s="83"/>
    </row>
    <row r="354" customFormat="false" ht="30" hidden="false" customHeight="true" outlineLevel="0" collapsed="false">
      <c r="A354" s="81" t="n">
        <v>327</v>
      </c>
      <c r="B354" s="85" t="s">
        <v>3675</v>
      </c>
      <c r="C354" s="88" t="s">
        <v>3676</v>
      </c>
      <c r="D354" s="83" t="s">
        <v>3677</v>
      </c>
      <c r="E354" s="83" t="s">
        <v>3678</v>
      </c>
      <c r="F354" s="81" t="n">
        <v>73</v>
      </c>
      <c r="G354" s="81" t="s">
        <v>334</v>
      </c>
      <c r="H354" s="83"/>
    </row>
    <row r="355" customFormat="false" ht="30" hidden="false" customHeight="true" outlineLevel="0" collapsed="false">
      <c r="A355" s="81" t="n">
        <v>328</v>
      </c>
      <c r="B355" s="85" t="s">
        <v>3679</v>
      </c>
      <c r="C355" s="88" t="s">
        <v>3680</v>
      </c>
      <c r="D355" s="83" t="s">
        <v>3681</v>
      </c>
      <c r="E355" s="83" t="s">
        <v>3682</v>
      </c>
      <c r="F355" s="81" t="n">
        <v>73</v>
      </c>
      <c r="G355" s="81" t="s">
        <v>334</v>
      </c>
      <c r="H355" s="83"/>
    </row>
    <row r="356" customFormat="false" ht="30" hidden="false" customHeight="true" outlineLevel="0" collapsed="false">
      <c r="A356" s="81" t="n">
        <v>329</v>
      </c>
      <c r="B356" s="85" t="s">
        <v>3683</v>
      </c>
      <c r="C356" s="88" t="s">
        <v>3684</v>
      </c>
      <c r="D356" s="83" t="s">
        <v>3685</v>
      </c>
      <c r="E356" s="83" t="s">
        <v>3686</v>
      </c>
      <c r="F356" s="81" t="n">
        <v>73</v>
      </c>
      <c r="G356" s="81" t="s">
        <v>334</v>
      </c>
      <c r="H356" s="83"/>
    </row>
    <row r="357" customFormat="false" ht="30" hidden="false" customHeight="true" outlineLevel="0" collapsed="false">
      <c r="A357" s="81" t="n">
        <v>330</v>
      </c>
      <c r="B357" s="85" t="s">
        <v>3473</v>
      </c>
      <c r="C357" s="88" t="s">
        <v>3474</v>
      </c>
      <c r="D357" s="83" t="s">
        <v>3687</v>
      </c>
      <c r="E357" s="87" t="s">
        <v>3688</v>
      </c>
      <c r="F357" s="81" t="n">
        <v>74</v>
      </c>
      <c r="G357" s="81" t="s">
        <v>334</v>
      </c>
      <c r="H357" s="83"/>
    </row>
    <row r="358" customFormat="false" ht="30" hidden="false" customHeight="true" outlineLevel="0" collapsed="false">
      <c r="A358" s="81" t="n">
        <v>331</v>
      </c>
      <c r="B358" s="85" t="s">
        <v>3689</v>
      </c>
      <c r="C358" s="88"/>
      <c r="D358" s="83" t="s">
        <v>3690</v>
      </c>
      <c r="E358" s="83" t="s">
        <v>3691</v>
      </c>
      <c r="F358" s="81" t="n">
        <v>74</v>
      </c>
      <c r="G358" s="81" t="s">
        <v>334</v>
      </c>
      <c r="H358" s="83"/>
    </row>
    <row r="359" customFormat="false" ht="30" hidden="false" customHeight="true" outlineLevel="0" collapsed="false">
      <c r="A359" s="81" t="n">
        <v>332</v>
      </c>
      <c r="B359" s="85" t="s">
        <v>3692</v>
      </c>
      <c r="C359" s="88" t="s">
        <v>3693</v>
      </c>
      <c r="D359" s="83" t="s">
        <v>3694</v>
      </c>
      <c r="E359" s="83" t="s">
        <v>3695</v>
      </c>
      <c r="F359" s="81" t="n">
        <v>74</v>
      </c>
      <c r="G359" s="81" t="s">
        <v>334</v>
      </c>
      <c r="H359" s="83"/>
    </row>
    <row r="360" customFormat="false" ht="30" hidden="false" customHeight="true" outlineLevel="0" collapsed="false">
      <c r="A360" s="81" t="n">
        <v>333</v>
      </c>
      <c r="B360" s="85" t="s">
        <v>3696</v>
      </c>
      <c r="C360" s="88" t="s">
        <v>3697</v>
      </c>
      <c r="D360" s="83" t="s">
        <v>3698</v>
      </c>
      <c r="E360" s="83" t="s">
        <v>3699</v>
      </c>
      <c r="F360" s="81" t="n">
        <v>74</v>
      </c>
      <c r="G360" s="81" t="s">
        <v>334</v>
      </c>
      <c r="H360" s="83"/>
    </row>
    <row r="361" customFormat="false" ht="30" hidden="false" customHeight="true" outlineLevel="0" collapsed="false">
      <c r="A361" s="81" t="n">
        <v>334</v>
      </c>
      <c r="B361" s="85" t="s">
        <v>3700</v>
      </c>
      <c r="C361" s="88" t="s">
        <v>3701</v>
      </c>
      <c r="D361" s="83" t="s">
        <v>3702</v>
      </c>
      <c r="E361" s="83" t="s">
        <v>3703</v>
      </c>
      <c r="F361" s="81" t="n">
        <v>74</v>
      </c>
      <c r="G361" s="81" t="s">
        <v>334</v>
      </c>
      <c r="H361" s="83"/>
    </row>
    <row r="362" customFormat="false" ht="30" hidden="false" customHeight="true" outlineLevel="0" collapsed="false">
      <c r="A362" s="81" t="n">
        <v>335</v>
      </c>
      <c r="B362" s="85" t="s">
        <v>3704</v>
      </c>
      <c r="C362" s="88" t="s">
        <v>3705</v>
      </c>
      <c r="D362" s="83" t="s">
        <v>3706</v>
      </c>
      <c r="E362" s="83" t="s">
        <v>3707</v>
      </c>
      <c r="F362" s="81" t="n">
        <v>74</v>
      </c>
      <c r="G362" s="81" t="s">
        <v>334</v>
      </c>
      <c r="H362" s="83"/>
    </row>
    <row r="363" customFormat="false" ht="30" hidden="false" customHeight="true" outlineLevel="0" collapsed="false">
      <c r="A363" s="81" t="n">
        <v>336</v>
      </c>
      <c r="B363" s="85" t="s">
        <v>3708</v>
      </c>
      <c r="C363" s="88" t="s">
        <v>3709</v>
      </c>
      <c r="D363" s="83" t="s">
        <v>3710</v>
      </c>
      <c r="E363" s="83" t="s">
        <v>3711</v>
      </c>
      <c r="F363" s="81" t="n">
        <v>74</v>
      </c>
      <c r="G363" s="81" t="s">
        <v>334</v>
      </c>
      <c r="H363" s="83"/>
    </row>
    <row r="364" customFormat="false" ht="24" hidden="false" customHeight="true" outlineLevel="0" collapsed="false">
      <c r="A364" s="9" t="s">
        <v>3712</v>
      </c>
      <c r="B364" s="9"/>
      <c r="C364" s="9"/>
      <c r="D364" s="9"/>
      <c r="E364" s="9"/>
      <c r="F364" s="9"/>
      <c r="G364" s="9"/>
      <c r="H364" s="9"/>
    </row>
    <row r="365" customFormat="false" ht="30" hidden="false" customHeight="true" outlineLevel="0" collapsed="false">
      <c r="A365" s="81" t="n">
        <v>337</v>
      </c>
      <c r="B365" s="85" t="s">
        <v>3713</v>
      </c>
      <c r="C365" s="88" t="s">
        <v>3714</v>
      </c>
      <c r="D365" s="83" t="s">
        <v>3715</v>
      </c>
      <c r="E365" s="87" t="s">
        <v>3716</v>
      </c>
      <c r="F365" s="81" t="n">
        <v>75</v>
      </c>
      <c r="G365" s="81" t="s">
        <v>334</v>
      </c>
      <c r="H365" s="83"/>
    </row>
    <row r="366" customFormat="false" ht="30" hidden="false" customHeight="true" outlineLevel="0" collapsed="false">
      <c r="A366" s="81" t="n">
        <v>338</v>
      </c>
      <c r="B366" s="85" t="s">
        <v>3717</v>
      </c>
      <c r="C366" s="88" t="s">
        <v>3718</v>
      </c>
      <c r="D366" s="83" t="s">
        <v>3719</v>
      </c>
      <c r="E366" s="87" t="s">
        <v>3720</v>
      </c>
      <c r="F366" s="81" t="n">
        <v>75</v>
      </c>
      <c r="G366" s="81" t="s">
        <v>334</v>
      </c>
      <c r="H366" s="83"/>
    </row>
    <row r="367" customFormat="false" ht="30" hidden="false" customHeight="true" outlineLevel="0" collapsed="false">
      <c r="A367" s="81" t="n">
        <v>339</v>
      </c>
      <c r="B367" s="85" t="s">
        <v>3721</v>
      </c>
      <c r="C367" s="88" t="s">
        <v>3722</v>
      </c>
      <c r="D367" s="83" t="s">
        <v>3723</v>
      </c>
      <c r="E367" s="87" t="s">
        <v>3724</v>
      </c>
      <c r="F367" s="81" t="n">
        <v>75</v>
      </c>
      <c r="G367" s="81" t="s">
        <v>334</v>
      </c>
      <c r="H367" s="83"/>
    </row>
    <row r="368" customFormat="false" ht="30" hidden="false" customHeight="true" outlineLevel="0" collapsed="false">
      <c r="A368" s="81" t="n">
        <v>340</v>
      </c>
      <c r="B368" s="85" t="s">
        <v>3725</v>
      </c>
      <c r="C368" s="88" t="s">
        <v>3726</v>
      </c>
      <c r="D368" s="83" t="s">
        <v>3727</v>
      </c>
      <c r="E368" s="83" t="s">
        <v>3728</v>
      </c>
      <c r="F368" s="81" t="n">
        <v>75</v>
      </c>
      <c r="G368" s="81" t="s">
        <v>334</v>
      </c>
      <c r="H368" s="83"/>
    </row>
    <row r="369" customFormat="false" ht="30" hidden="false" customHeight="true" outlineLevel="0" collapsed="false">
      <c r="A369" s="81" t="n">
        <v>341</v>
      </c>
      <c r="B369" s="85" t="s">
        <v>3729</v>
      </c>
      <c r="C369" s="88"/>
      <c r="D369" s="83" t="s">
        <v>3730</v>
      </c>
      <c r="E369" s="83" t="s">
        <v>3731</v>
      </c>
      <c r="F369" s="81" t="n">
        <v>75</v>
      </c>
      <c r="G369" s="81" t="s">
        <v>334</v>
      </c>
      <c r="H369" s="83"/>
    </row>
    <row r="370" customFormat="false" ht="30" hidden="false" customHeight="true" outlineLevel="0" collapsed="false">
      <c r="A370" s="81" t="n">
        <v>342</v>
      </c>
      <c r="B370" s="85" t="s">
        <v>3732</v>
      </c>
      <c r="C370" s="88" t="s">
        <v>3733</v>
      </c>
      <c r="D370" s="83" t="s">
        <v>3734</v>
      </c>
      <c r="E370" s="83" t="s">
        <v>3735</v>
      </c>
      <c r="F370" s="81" t="n">
        <v>75</v>
      </c>
      <c r="G370" s="81" t="s">
        <v>334</v>
      </c>
      <c r="H370" s="83"/>
    </row>
    <row r="371" customFormat="false" ht="30" hidden="false" customHeight="true" outlineLevel="0" collapsed="false">
      <c r="A371" s="81" t="n">
        <v>343</v>
      </c>
      <c r="B371" s="85" t="s">
        <v>3736</v>
      </c>
      <c r="C371" s="88"/>
      <c r="D371" s="83" t="s">
        <v>3737</v>
      </c>
      <c r="E371" s="83" t="s">
        <v>3738</v>
      </c>
      <c r="F371" s="81" t="n">
        <v>75</v>
      </c>
      <c r="G371" s="81" t="s">
        <v>334</v>
      </c>
      <c r="H371" s="83"/>
    </row>
    <row r="372" customFormat="false" ht="30" hidden="false" customHeight="true" outlineLevel="0" collapsed="false">
      <c r="A372" s="81" t="n">
        <v>344</v>
      </c>
      <c r="B372" s="85" t="s">
        <v>3739</v>
      </c>
      <c r="C372" s="88"/>
      <c r="D372" s="83" t="s">
        <v>3740</v>
      </c>
      <c r="E372" s="83" t="s">
        <v>3741</v>
      </c>
      <c r="F372" s="81" t="n">
        <v>76</v>
      </c>
      <c r="G372" s="81" t="s">
        <v>334</v>
      </c>
      <c r="H372" s="83"/>
    </row>
    <row r="373" customFormat="false" ht="30" hidden="false" customHeight="true" outlineLevel="0" collapsed="false">
      <c r="A373" s="81" t="n">
        <v>345</v>
      </c>
      <c r="B373" s="85" t="s">
        <v>3742</v>
      </c>
      <c r="C373" s="88"/>
      <c r="D373" s="83" t="s">
        <v>3743</v>
      </c>
      <c r="E373" s="83" t="s">
        <v>3744</v>
      </c>
      <c r="F373" s="81" t="n">
        <v>76</v>
      </c>
      <c r="G373" s="81" t="s">
        <v>334</v>
      </c>
      <c r="H373" s="83"/>
    </row>
    <row r="374" customFormat="false" ht="30" hidden="false" customHeight="true" outlineLevel="0" collapsed="false">
      <c r="A374" s="81" t="n">
        <v>346</v>
      </c>
      <c r="B374" s="85" t="s">
        <v>3745</v>
      </c>
      <c r="C374" s="88"/>
      <c r="D374" s="83" t="s">
        <v>3746</v>
      </c>
      <c r="E374" s="87" t="s">
        <v>3747</v>
      </c>
      <c r="F374" s="81" t="n">
        <v>76</v>
      </c>
      <c r="G374" s="81" t="s">
        <v>334</v>
      </c>
      <c r="H374" s="83"/>
    </row>
    <row r="375" customFormat="false" ht="30" hidden="false" customHeight="true" outlineLevel="0" collapsed="false">
      <c r="A375" s="81" t="n">
        <v>347</v>
      </c>
      <c r="B375" s="85" t="s">
        <v>3748</v>
      </c>
      <c r="C375" s="88" t="s">
        <v>3749</v>
      </c>
      <c r="D375" s="83" t="s">
        <v>3750</v>
      </c>
      <c r="E375" s="83" t="s">
        <v>3751</v>
      </c>
      <c r="F375" s="81" t="n">
        <v>76</v>
      </c>
      <c r="G375" s="81" t="s">
        <v>334</v>
      </c>
      <c r="H375" s="83"/>
    </row>
    <row r="376" customFormat="false" ht="30" hidden="false" customHeight="true" outlineLevel="0" collapsed="false">
      <c r="A376" s="81" t="n">
        <v>348</v>
      </c>
      <c r="B376" s="85" t="s">
        <v>3752</v>
      </c>
      <c r="C376" s="88" t="s">
        <v>3753</v>
      </c>
      <c r="D376" s="83" t="s">
        <v>3754</v>
      </c>
      <c r="E376" s="83" t="s">
        <v>3755</v>
      </c>
      <c r="F376" s="81" t="n">
        <v>76</v>
      </c>
      <c r="G376" s="81" t="s">
        <v>334</v>
      </c>
      <c r="H376" s="83"/>
    </row>
    <row r="377" customFormat="false" ht="30" hidden="false" customHeight="true" outlineLevel="0" collapsed="false">
      <c r="A377" s="81" t="n">
        <v>349</v>
      </c>
      <c r="B377" s="85" t="s">
        <v>3756</v>
      </c>
      <c r="C377" s="88" t="s">
        <v>3757</v>
      </c>
      <c r="D377" s="83" t="s">
        <v>3758</v>
      </c>
      <c r="E377" s="83" t="s">
        <v>3759</v>
      </c>
      <c r="F377" s="81" t="n">
        <v>76</v>
      </c>
      <c r="G377" s="81" t="s">
        <v>334</v>
      </c>
      <c r="H377" s="83"/>
    </row>
    <row r="378" customFormat="false" ht="30" hidden="false" customHeight="true" outlineLevel="0" collapsed="false">
      <c r="A378" s="81" t="n">
        <v>350</v>
      </c>
      <c r="B378" s="85" t="s">
        <v>3760</v>
      </c>
      <c r="C378" s="88" t="s">
        <v>3761</v>
      </c>
      <c r="D378" s="83" t="s">
        <v>3762</v>
      </c>
      <c r="E378" s="83" t="s">
        <v>3763</v>
      </c>
      <c r="F378" s="81" t="n">
        <v>76</v>
      </c>
      <c r="G378" s="81" t="s">
        <v>334</v>
      </c>
      <c r="H378" s="83"/>
    </row>
  </sheetData>
  <mergeCells count="27">
    <mergeCell ref="A1:H1"/>
    <mergeCell ref="A2:H2"/>
    <mergeCell ref="A4:H4"/>
    <mergeCell ref="A19:H19"/>
    <mergeCell ref="A34:H34"/>
    <mergeCell ref="A49:H49"/>
    <mergeCell ref="A64:H64"/>
    <mergeCell ref="A79:H79"/>
    <mergeCell ref="A94:H94"/>
    <mergeCell ref="A109:H109"/>
    <mergeCell ref="A124:H124"/>
    <mergeCell ref="A139:H139"/>
    <mergeCell ref="A154:H154"/>
    <mergeCell ref="A169:H169"/>
    <mergeCell ref="A184:H184"/>
    <mergeCell ref="A199:H199"/>
    <mergeCell ref="A214:H214"/>
    <mergeCell ref="A229:H229"/>
    <mergeCell ref="A244:H244"/>
    <mergeCell ref="A259:H259"/>
    <mergeCell ref="A274:H274"/>
    <mergeCell ref="A289:H289"/>
    <mergeCell ref="A304:H304"/>
    <mergeCell ref="A319:H319"/>
    <mergeCell ref="A334:H334"/>
    <mergeCell ref="A349:H349"/>
    <mergeCell ref="A364:H364"/>
  </mergeCells>
  <conditionalFormatting sqref="A4:H378">
    <cfRule type="expression" priority="2" aboveAverage="0" equalAverage="0" bottom="0" percent="0" rank="0" text="" dxfId="8">
      <formula>$G4="Xong"</formula>
    </cfRule>
    <cfRule type="expression" priority="3" aboveAverage="0" equalAverage="0" bottom="0" percent="0" rank="0" text="" dxfId="9">
      <formula>$G4="Đang học"</formula>
    </cfRule>
  </conditionalFormatting>
  <dataValidations count="1">
    <dataValidation allowBlank="true" errorStyle="stop" operator="between" showDropDown="false" showErrorMessage="false" showInputMessage="false" sqref="G4:G378" type="list">
      <formula1>"Chưa học,Đang học,Xong"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15"/>
    <col collapsed="false" customWidth="true" hidden="false" outlineLevel="0" max="4" min="4" style="0" width="13"/>
    <col collapsed="false" customWidth="true" hidden="false" outlineLevel="0" max="6" min="5" style="0" width="11"/>
    <col collapsed="false" customWidth="true" hidden="false" outlineLevel="0" max="7" min="7" style="0" width="62"/>
  </cols>
  <sheetData>
    <row r="1" customFormat="false" ht="31.5" hidden="false" customHeight="true" outlineLevel="0" collapsed="false">
      <c r="A1" s="15" t="s">
        <v>3764</v>
      </c>
      <c r="B1" s="15"/>
      <c r="C1" s="15"/>
      <c r="D1" s="15"/>
      <c r="E1" s="15"/>
      <c r="F1" s="15"/>
      <c r="G1" s="15"/>
    </row>
    <row r="2" customFormat="false" ht="30" hidden="false" customHeight="true" outlineLevel="0" collapsed="false">
      <c r="A2" s="16" t="s">
        <v>3765</v>
      </c>
      <c r="B2" s="16" t="s">
        <v>3766</v>
      </c>
      <c r="C2" s="16" t="s">
        <v>782</v>
      </c>
      <c r="D2" s="16" t="s">
        <v>3767</v>
      </c>
      <c r="E2" s="16" t="s">
        <v>82</v>
      </c>
      <c r="F2" s="16" t="s">
        <v>3768</v>
      </c>
      <c r="G2" s="16" t="s">
        <v>3769</v>
      </c>
    </row>
    <row r="3" customFormat="false" ht="30" hidden="false" customHeight="true" outlineLevel="0" collapsed="false">
      <c r="A3" s="78" t="s">
        <v>3770</v>
      </c>
      <c r="B3" s="89" t="s">
        <v>108</v>
      </c>
      <c r="C3" s="66" t="s">
        <v>3771</v>
      </c>
      <c r="D3" s="66" t="n">
        <v>2</v>
      </c>
      <c r="E3" s="66" t="s">
        <v>3772</v>
      </c>
      <c r="F3" s="66" t="s">
        <v>3773</v>
      </c>
      <c r="G3" s="68" t="s">
        <v>3774</v>
      </c>
    </row>
    <row r="4" customFormat="false" ht="30" hidden="false" customHeight="true" outlineLevel="0" collapsed="false">
      <c r="A4" s="80" t="s">
        <v>3775</v>
      </c>
      <c r="B4" s="90" t="s">
        <v>118</v>
      </c>
      <c r="C4" s="69" t="s">
        <v>3776</v>
      </c>
      <c r="D4" s="69" t="n">
        <v>2</v>
      </c>
      <c r="E4" s="69" t="s">
        <v>3772</v>
      </c>
      <c r="F4" s="69" t="s">
        <v>3773</v>
      </c>
      <c r="G4" s="71" t="s">
        <v>3777</v>
      </c>
    </row>
    <row r="5" customFormat="false" ht="30" hidden="false" customHeight="true" outlineLevel="0" collapsed="false">
      <c r="A5" s="78" t="s">
        <v>3778</v>
      </c>
      <c r="B5" s="91" t="s">
        <v>126</v>
      </c>
      <c r="C5" s="66" t="s">
        <v>3779</v>
      </c>
      <c r="D5" s="66" t="n">
        <v>2</v>
      </c>
      <c r="E5" s="66" t="s">
        <v>3772</v>
      </c>
      <c r="F5" s="66" t="s">
        <v>3773</v>
      </c>
      <c r="G5" s="73" t="s">
        <v>3780</v>
      </c>
    </row>
    <row r="6" customFormat="false" ht="30" hidden="false" customHeight="true" outlineLevel="0" collapsed="false">
      <c r="A6" s="80" t="s">
        <v>3781</v>
      </c>
      <c r="B6" s="92" t="s">
        <v>138</v>
      </c>
      <c r="C6" s="69" t="s">
        <v>3782</v>
      </c>
      <c r="D6" s="69" t="n">
        <v>2</v>
      </c>
      <c r="E6" s="69" t="s">
        <v>3783</v>
      </c>
      <c r="F6" s="69" t="s">
        <v>3773</v>
      </c>
      <c r="G6" s="71" t="s">
        <v>3784</v>
      </c>
    </row>
    <row r="7" customFormat="false" ht="30" hidden="false" customHeight="true" outlineLevel="0" collapsed="false">
      <c r="A7" s="78" t="s">
        <v>3785</v>
      </c>
      <c r="B7" s="89" t="s">
        <v>145</v>
      </c>
      <c r="C7" s="66" t="s">
        <v>3786</v>
      </c>
      <c r="D7" s="66" t="n">
        <v>2</v>
      </c>
      <c r="E7" s="66" t="s">
        <v>3772</v>
      </c>
      <c r="F7" s="66" t="s">
        <v>3773</v>
      </c>
      <c r="G7" s="73" t="s">
        <v>3787</v>
      </c>
    </row>
    <row r="8" customFormat="false" ht="30" hidden="false" customHeight="true" outlineLevel="0" collapsed="false">
      <c r="A8" s="80" t="s">
        <v>3788</v>
      </c>
      <c r="B8" s="92" t="s">
        <v>152</v>
      </c>
      <c r="C8" s="69" t="s">
        <v>3789</v>
      </c>
      <c r="D8" s="69" t="n">
        <v>2</v>
      </c>
      <c r="E8" s="69" t="s">
        <v>3772</v>
      </c>
      <c r="F8" s="69" t="s">
        <v>3773</v>
      </c>
      <c r="G8" s="71" t="s">
        <v>3790</v>
      </c>
    </row>
    <row r="9" customFormat="false" ht="30" hidden="false" customHeight="true" outlineLevel="0" collapsed="false">
      <c r="A9" s="78" t="s">
        <v>3791</v>
      </c>
      <c r="B9" s="89" t="s">
        <v>161</v>
      </c>
      <c r="C9" s="66" t="s">
        <v>3792</v>
      </c>
      <c r="D9" s="66" t="n">
        <v>2</v>
      </c>
      <c r="E9" s="66" t="s">
        <v>3772</v>
      </c>
      <c r="F9" s="66" t="s">
        <v>3773</v>
      </c>
      <c r="G9" s="73" t="s">
        <v>3793</v>
      </c>
    </row>
    <row r="10" customFormat="false" ht="30" hidden="false" customHeight="true" outlineLevel="0" collapsed="false">
      <c r="A10" s="80" t="s">
        <v>3794</v>
      </c>
      <c r="B10" s="92" t="s">
        <v>168</v>
      </c>
      <c r="C10" s="69" t="s">
        <v>3795</v>
      </c>
      <c r="D10" s="69" t="n">
        <v>2</v>
      </c>
      <c r="E10" s="69" t="s">
        <v>3772</v>
      </c>
      <c r="F10" s="69" t="s">
        <v>3773</v>
      </c>
      <c r="G10" s="75" t="s">
        <v>3796</v>
      </c>
    </row>
    <row r="11" customFormat="false" ht="30" hidden="false" customHeight="true" outlineLevel="0" collapsed="false">
      <c r="A11" s="78" t="s">
        <v>3797</v>
      </c>
      <c r="B11" s="89" t="s">
        <v>175</v>
      </c>
      <c r="C11" s="66" t="s">
        <v>3798</v>
      </c>
      <c r="D11" s="66" t="n">
        <v>2</v>
      </c>
      <c r="E11" s="66" t="s">
        <v>3772</v>
      </c>
      <c r="F11" s="66" t="s">
        <v>3773</v>
      </c>
      <c r="G11" s="68" t="s">
        <v>3799</v>
      </c>
    </row>
    <row r="12" customFormat="false" ht="30" hidden="false" customHeight="true" outlineLevel="0" collapsed="false">
      <c r="A12" s="80" t="s">
        <v>3800</v>
      </c>
      <c r="B12" s="92" t="s">
        <v>184</v>
      </c>
      <c r="C12" s="69" t="s">
        <v>3801</v>
      </c>
      <c r="D12" s="69" t="n">
        <v>2</v>
      </c>
      <c r="E12" s="69" t="s">
        <v>3802</v>
      </c>
      <c r="F12" s="69" t="s">
        <v>3773</v>
      </c>
      <c r="G12" s="75" t="s">
        <v>3803</v>
      </c>
    </row>
    <row r="13" customFormat="false" ht="30" hidden="false" customHeight="true" outlineLevel="0" collapsed="false">
      <c r="A13" s="78" t="s">
        <v>3804</v>
      </c>
      <c r="B13" s="89" t="s">
        <v>191</v>
      </c>
      <c r="C13" s="66" t="s">
        <v>3805</v>
      </c>
      <c r="D13" s="66" t="n">
        <v>2</v>
      </c>
      <c r="E13" s="66" t="s">
        <v>3772</v>
      </c>
      <c r="F13" s="66" t="s">
        <v>3773</v>
      </c>
      <c r="G13" s="68" t="s">
        <v>3806</v>
      </c>
    </row>
    <row r="14" customFormat="false" ht="30" hidden="false" customHeight="true" outlineLevel="0" collapsed="false">
      <c r="A14" s="80" t="s">
        <v>3807</v>
      </c>
      <c r="B14" s="92" t="s">
        <v>198</v>
      </c>
      <c r="C14" s="69" t="s">
        <v>3808</v>
      </c>
      <c r="D14" s="69" t="n">
        <v>2</v>
      </c>
      <c r="E14" s="69" t="s">
        <v>3802</v>
      </c>
      <c r="F14" s="69" t="s">
        <v>3773</v>
      </c>
      <c r="G14" s="75" t="s">
        <v>3809</v>
      </c>
    </row>
    <row r="15" customFormat="false" ht="30" hidden="false" customHeight="true" outlineLevel="0" collapsed="false">
      <c r="A15" s="78" t="s">
        <v>3810</v>
      </c>
      <c r="B15" s="89" t="s">
        <v>207</v>
      </c>
      <c r="C15" s="66" t="s">
        <v>3811</v>
      </c>
      <c r="D15" s="66" t="n">
        <v>2</v>
      </c>
      <c r="E15" s="66" t="s">
        <v>3802</v>
      </c>
      <c r="F15" s="66" t="s">
        <v>3773</v>
      </c>
      <c r="G15" s="73" t="s">
        <v>3812</v>
      </c>
    </row>
    <row r="16" customFormat="false" ht="30" hidden="false" customHeight="true" outlineLevel="0" collapsed="false">
      <c r="A16" s="34" t="s">
        <v>3813</v>
      </c>
      <c r="B16" s="93" t="s">
        <v>214</v>
      </c>
      <c r="C16" s="36" t="s">
        <v>3814</v>
      </c>
      <c r="D16" s="36" t="n">
        <v>3</v>
      </c>
      <c r="E16" s="36" t="s">
        <v>3802</v>
      </c>
      <c r="F16" s="36" t="s">
        <v>3773</v>
      </c>
      <c r="G16" s="94" t="s">
        <v>3815</v>
      </c>
    </row>
    <row r="17" customFormat="false" ht="30" hidden="false" customHeight="true" outlineLevel="0" collapsed="false">
      <c r="A17" s="78" t="s">
        <v>3816</v>
      </c>
      <c r="B17" s="89" t="s">
        <v>227</v>
      </c>
      <c r="C17" s="66" t="s">
        <v>3817</v>
      </c>
      <c r="D17" s="66" t="n">
        <v>2</v>
      </c>
      <c r="E17" s="66" t="s">
        <v>3802</v>
      </c>
      <c r="F17" s="66" t="s">
        <v>3773</v>
      </c>
      <c r="G17" s="73" t="s">
        <v>3818</v>
      </c>
    </row>
    <row r="18" customFormat="false" ht="30" hidden="false" customHeight="true" outlineLevel="0" collapsed="false">
      <c r="A18" s="80" t="s">
        <v>3819</v>
      </c>
      <c r="B18" s="92" t="s">
        <v>236</v>
      </c>
      <c r="C18" s="69" t="s">
        <v>3820</v>
      </c>
      <c r="D18" s="69" t="n">
        <v>2</v>
      </c>
      <c r="E18" s="69" t="s">
        <v>3772</v>
      </c>
      <c r="F18" s="69" t="s">
        <v>3773</v>
      </c>
      <c r="G18" s="71" t="s">
        <v>3821</v>
      </c>
    </row>
    <row r="19" customFormat="false" ht="30" hidden="false" customHeight="true" outlineLevel="0" collapsed="false">
      <c r="A19" s="34" t="s">
        <v>3822</v>
      </c>
      <c r="B19" s="93" t="s">
        <v>243</v>
      </c>
      <c r="C19" s="36" t="s">
        <v>3823</v>
      </c>
      <c r="D19" s="36" t="n">
        <v>3</v>
      </c>
      <c r="E19" s="36" t="s">
        <v>3772</v>
      </c>
      <c r="F19" s="36" t="s">
        <v>3773</v>
      </c>
      <c r="G19" s="94" t="s">
        <v>3824</v>
      </c>
    </row>
    <row r="20" customFormat="false" ht="30" hidden="false" customHeight="true" outlineLevel="0" collapsed="false">
      <c r="A20" s="80" t="s">
        <v>3825</v>
      </c>
      <c r="B20" s="92" t="s">
        <v>255</v>
      </c>
      <c r="C20" s="69" t="s">
        <v>3826</v>
      </c>
      <c r="D20" s="69" t="n">
        <v>2</v>
      </c>
      <c r="E20" s="69" t="s">
        <v>3772</v>
      </c>
      <c r="F20" s="69" t="s">
        <v>3773</v>
      </c>
      <c r="G20" s="71" t="s">
        <v>3827</v>
      </c>
    </row>
    <row r="21" customFormat="false" ht="30" hidden="false" customHeight="true" outlineLevel="0" collapsed="false">
      <c r="A21" s="34" t="s">
        <v>3828</v>
      </c>
      <c r="B21" s="93" t="s">
        <v>262</v>
      </c>
      <c r="C21" s="36" t="s">
        <v>3829</v>
      </c>
      <c r="D21" s="36" t="n">
        <v>3</v>
      </c>
      <c r="E21" s="36" t="s">
        <v>3802</v>
      </c>
      <c r="F21" s="36" t="s">
        <v>3773</v>
      </c>
      <c r="G21" s="94" t="s">
        <v>3830</v>
      </c>
    </row>
    <row r="22" customFormat="false" ht="30" hidden="false" customHeight="true" outlineLevel="0" collapsed="false">
      <c r="A22" s="34" t="s">
        <v>3831</v>
      </c>
      <c r="B22" s="93" t="s">
        <v>272</v>
      </c>
      <c r="C22" s="36" t="s">
        <v>3832</v>
      </c>
      <c r="D22" s="36" t="n">
        <v>3</v>
      </c>
      <c r="E22" s="36" t="s">
        <v>3802</v>
      </c>
      <c r="F22" s="36" t="s">
        <v>3773</v>
      </c>
      <c r="G22" s="94" t="s">
        <v>3833</v>
      </c>
    </row>
    <row r="23" customFormat="false" ht="30" hidden="false" customHeight="true" outlineLevel="0" collapsed="false">
      <c r="A23" s="78" t="s">
        <v>3834</v>
      </c>
      <c r="B23" s="89" t="s">
        <v>284</v>
      </c>
      <c r="C23" s="66" t="s">
        <v>3835</v>
      </c>
      <c r="D23" s="66" t="n">
        <v>2</v>
      </c>
      <c r="E23" s="66" t="s">
        <v>3802</v>
      </c>
      <c r="F23" s="66" t="s">
        <v>3773</v>
      </c>
      <c r="G23" s="68" t="s">
        <v>3836</v>
      </c>
    </row>
    <row r="24" customFormat="false" ht="30" hidden="false" customHeight="true" outlineLevel="0" collapsed="false">
      <c r="A24" s="80" t="s">
        <v>3837</v>
      </c>
      <c r="B24" s="92" t="s">
        <v>291</v>
      </c>
      <c r="C24" s="69" t="s">
        <v>3838</v>
      </c>
      <c r="D24" s="69" t="n">
        <v>2</v>
      </c>
      <c r="E24" s="69" t="s">
        <v>111</v>
      </c>
      <c r="F24" s="69" t="s">
        <v>3773</v>
      </c>
      <c r="G24" s="71" t="s">
        <v>3839</v>
      </c>
    </row>
    <row r="25" customFormat="false" ht="30" hidden="false" customHeight="true" outlineLevel="0" collapsed="false">
      <c r="A25" s="78" t="s">
        <v>3840</v>
      </c>
      <c r="B25" s="91" t="s">
        <v>298</v>
      </c>
      <c r="C25" s="66" t="s">
        <v>3841</v>
      </c>
      <c r="D25" s="66" t="n">
        <v>2</v>
      </c>
      <c r="E25" s="66" t="s">
        <v>111</v>
      </c>
      <c r="F25" s="66" t="s">
        <v>3773</v>
      </c>
      <c r="G25" s="68" t="s">
        <v>3842</v>
      </c>
    </row>
    <row r="26" customFormat="false" ht="30" hidden="false" customHeight="true" outlineLevel="0" collapsed="false">
      <c r="A26" s="80" t="s">
        <v>3843</v>
      </c>
      <c r="B26" s="92" t="s">
        <v>303</v>
      </c>
      <c r="C26" s="69" t="s">
        <v>3844</v>
      </c>
      <c r="D26" s="69" t="n">
        <v>2</v>
      </c>
      <c r="E26" s="69" t="s">
        <v>3802</v>
      </c>
      <c r="F26" s="69" t="s">
        <v>3773</v>
      </c>
      <c r="G26" s="75" t="s">
        <v>3845</v>
      </c>
    </row>
    <row r="27" customFormat="false" ht="30" hidden="false" customHeight="true" outlineLevel="0" collapsed="false">
      <c r="A27" s="78" t="s">
        <v>3846</v>
      </c>
      <c r="B27" s="89" t="s">
        <v>307</v>
      </c>
      <c r="C27" s="66" t="s">
        <v>3847</v>
      </c>
      <c r="D27" s="66" t="n">
        <v>2</v>
      </c>
      <c r="E27" s="66" t="s">
        <v>3802</v>
      </c>
      <c r="F27" s="66" t="s">
        <v>3773</v>
      </c>
      <c r="G27" s="73" t="s">
        <v>3848</v>
      </c>
    </row>
    <row r="29" customFormat="false" ht="31.5" hidden="false" customHeight="true" outlineLevel="0" collapsed="false">
      <c r="A29" s="72" t="s">
        <v>3849</v>
      </c>
      <c r="B29" s="72"/>
      <c r="C29" s="72"/>
      <c r="D29" s="72"/>
      <c r="E29" s="72"/>
      <c r="F29" s="72"/>
      <c r="G29" s="72"/>
    </row>
  </sheetData>
  <mergeCells count="2">
    <mergeCell ref="A1:G1"/>
    <mergeCell ref="A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56"/>
    <col collapsed="false" customWidth="true" hidden="false" outlineLevel="0" max="4" min="4" style="0" width="12"/>
    <col collapsed="false" customWidth="true" hidden="false" outlineLevel="0" max="5" min="5" style="0" width="46"/>
  </cols>
  <sheetData>
    <row r="1" customFormat="false" ht="31.5" hidden="false" customHeight="true" outlineLevel="0" collapsed="false">
      <c r="A1" s="15" t="s">
        <v>3850</v>
      </c>
      <c r="B1" s="15"/>
      <c r="C1" s="15"/>
      <c r="D1" s="15"/>
      <c r="E1" s="15"/>
    </row>
    <row r="2" customFormat="false" ht="27.75" hidden="false" customHeight="true" outlineLevel="0" collapsed="false">
      <c r="A2" s="72" t="s">
        <v>3851</v>
      </c>
      <c r="B2" s="72"/>
      <c r="C2" s="72"/>
      <c r="D2" s="72"/>
      <c r="E2" s="72"/>
    </row>
    <row r="3" customFormat="false" ht="30" hidden="false" customHeight="true" outlineLevel="0" collapsed="false">
      <c r="A3" s="16" t="s">
        <v>778</v>
      </c>
      <c r="B3" s="16" t="s">
        <v>1995</v>
      </c>
      <c r="C3" s="16" t="s">
        <v>3852</v>
      </c>
      <c r="D3" s="16" t="s">
        <v>330</v>
      </c>
      <c r="E3" s="16" t="s">
        <v>2477</v>
      </c>
    </row>
    <row r="4" customFormat="false" ht="25.5" hidden="false" customHeight="true" outlineLevel="0" collapsed="false">
      <c r="A4" s="66" t="n">
        <v>1</v>
      </c>
      <c r="B4" s="95" t="s">
        <v>884</v>
      </c>
      <c r="C4" s="68" t="s">
        <v>3853</v>
      </c>
      <c r="D4" s="66" t="s">
        <v>334</v>
      </c>
      <c r="E4" s="68"/>
    </row>
    <row r="5" customFormat="false" ht="25.5" hidden="false" customHeight="true" outlineLevel="0" collapsed="false">
      <c r="A5" s="69" t="n">
        <v>2</v>
      </c>
      <c r="B5" s="96" t="s">
        <v>968</v>
      </c>
      <c r="C5" s="71" t="s">
        <v>3854</v>
      </c>
      <c r="D5" s="69" t="s">
        <v>334</v>
      </c>
      <c r="E5" s="71"/>
    </row>
    <row r="6" customFormat="false" ht="25.5" hidden="false" customHeight="true" outlineLevel="0" collapsed="false">
      <c r="A6" s="66" t="n">
        <v>3</v>
      </c>
      <c r="B6" s="95" t="s">
        <v>960</v>
      </c>
      <c r="C6" s="68" t="s">
        <v>3855</v>
      </c>
      <c r="D6" s="66" t="s">
        <v>334</v>
      </c>
      <c r="E6" s="68"/>
    </row>
    <row r="7" customFormat="false" ht="25.5" hidden="false" customHeight="true" outlineLevel="0" collapsed="false">
      <c r="A7" s="69" t="n">
        <v>4</v>
      </c>
      <c r="B7" s="96" t="s">
        <v>868</v>
      </c>
      <c r="C7" s="71" t="s">
        <v>3856</v>
      </c>
      <c r="D7" s="69" t="s">
        <v>334</v>
      </c>
      <c r="E7" s="71"/>
    </row>
    <row r="8" customFormat="false" ht="25.5" hidden="false" customHeight="true" outlineLevel="0" collapsed="false">
      <c r="A8" s="66" t="n">
        <v>5</v>
      </c>
      <c r="B8" s="95" t="s">
        <v>1006</v>
      </c>
      <c r="C8" s="68" t="s">
        <v>3857</v>
      </c>
      <c r="D8" s="66" t="s">
        <v>334</v>
      </c>
      <c r="E8" s="68"/>
    </row>
    <row r="9" customFormat="false" ht="25.5" hidden="false" customHeight="true" outlineLevel="0" collapsed="false">
      <c r="A9" s="69" t="n">
        <v>6</v>
      </c>
      <c r="B9" s="96" t="s">
        <v>896</v>
      </c>
      <c r="C9" s="71" t="s">
        <v>3858</v>
      </c>
      <c r="D9" s="69" t="s">
        <v>334</v>
      </c>
      <c r="E9" s="71"/>
    </row>
    <row r="10" customFormat="false" ht="25.5" hidden="false" customHeight="true" outlineLevel="0" collapsed="false">
      <c r="A10" s="66" t="n">
        <v>7</v>
      </c>
      <c r="B10" s="95" t="s">
        <v>880</v>
      </c>
      <c r="C10" s="68" t="s">
        <v>3859</v>
      </c>
      <c r="D10" s="66" t="s">
        <v>334</v>
      </c>
      <c r="E10" s="68"/>
    </row>
    <row r="11" customFormat="false" ht="25.5" hidden="false" customHeight="true" outlineLevel="0" collapsed="false">
      <c r="A11" s="69" t="n">
        <v>8</v>
      </c>
      <c r="B11" s="96" t="s">
        <v>860</v>
      </c>
      <c r="C11" s="71" t="s">
        <v>3860</v>
      </c>
      <c r="D11" s="69" t="s">
        <v>334</v>
      </c>
      <c r="E11" s="71"/>
    </row>
    <row r="12" customFormat="false" ht="25.5" hidden="false" customHeight="true" outlineLevel="0" collapsed="false">
      <c r="A12" s="66" t="n">
        <v>9</v>
      </c>
      <c r="B12" s="95" t="s">
        <v>1261</v>
      </c>
      <c r="C12" s="68" t="s">
        <v>3861</v>
      </c>
      <c r="D12" s="66" t="s">
        <v>334</v>
      </c>
      <c r="E12" s="68"/>
    </row>
    <row r="13" customFormat="false" ht="25.5" hidden="false" customHeight="true" outlineLevel="0" collapsed="false">
      <c r="A13" s="69" t="n">
        <v>10</v>
      </c>
      <c r="B13" s="96" t="s">
        <v>920</v>
      </c>
      <c r="C13" s="71" t="s">
        <v>3862</v>
      </c>
      <c r="D13" s="69" t="s">
        <v>334</v>
      </c>
      <c r="E13" s="71"/>
    </row>
    <row r="14" customFormat="false" ht="25.5" hidden="false" customHeight="true" outlineLevel="0" collapsed="false">
      <c r="A14" s="66" t="n">
        <v>11</v>
      </c>
      <c r="B14" s="95" t="s">
        <v>3863</v>
      </c>
      <c r="C14" s="68" t="s">
        <v>3864</v>
      </c>
      <c r="D14" s="66" t="s">
        <v>334</v>
      </c>
      <c r="E14" s="68"/>
    </row>
    <row r="15" customFormat="false" ht="25.5" hidden="false" customHeight="true" outlineLevel="0" collapsed="false">
      <c r="A15" s="69" t="n">
        <v>12</v>
      </c>
      <c r="B15" s="96" t="s">
        <v>3865</v>
      </c>
      <c r="C15" s="71" t="s">
        <v>3866</v>
      </c>
      <c r="D15" s="69" t="s">
        <v>334</v>
      </c>
      <c r="E15" s="71"/>
    </row>
    <row r="16" customFormat="false" ht="25.5" hidden="false" customHeight="true" outlineLevel="0" collapsed="false">
      <c r="A16" s="66" t="n">
        <v>13</v>
      </c>
      <c r="B16" s="95" t="s">
        <v>3867</v>
      </c>
      <c r="C16" s="68" t="s">
        <v>3868</v>
      </c>
      <c r="D16" s="66" t="s">
        <v>334</v>
      </c>
      <c r="E16" s="68"/>
    </row>
    <row r="17" customFormat="false" ht="25.5" hidden="false" customHeight="true" outlineLevel="0" collapsed="false">
      <c r="A17" s="69" t="n">
        <v>14</v>
      </c>
      <c r="B17" s="96" t="s">
        <v>3869</v>
      </c>
      <c r="C17" s="71" t="s">
        <v>3870</v>
      </c>
      <c r="D17" s="69" t="s">
        <v>334</v>
      </c>
      <c r="E17" s="71"/>
    </row>
    <row r="18" customFormat="false" ht="25.5" hidden="false" customHeight="true" outlineLevel="0" collapsed="false">
      <c r="A18" s="66" t="n">
        <v>15</v>
      </c>
      <c r="B18" s="95" t="s">
        <v>3739</v>
      </c>
      <c r="C18" s="68" t="s">
        <v>3871</v>
      </c>
      <c r="D18" s="66" t="s">
        <v>334</v>
      </c>
      <c r="E18" s="68"/>
    </row>
    <row r="19" customFormat="false" ht="25.5" hidden="false" customHeight="true" outlineLevel="0" collapsed="false">
      <c r="A19" s="69" t="n">
        <v>16</v>
      </c>
      <c r="B19" s="96" t="s">
        <v>3872</v>
      </c>
      <c r="C19" s="71" t="s">
        <v>3873</v>
      </c>
      <c r="D19" s="69" t="s">
        <v>334</v>
      </c>
      <c r="E19" s="71"/>
    </row>
    <row r="20" customFormat="false" ht="25.5" hidden="false" customHeight="true" outlineLevel="0" collapsed="false">
      <c r="A20" s="66" t="n">
        <v>17</v>
      </c>
      <c r="B20" s="95" t="s">
        <v>3874</v>
      </c>
      <c r="C20" s="68" t="s">
        <v>3875</v>
      </c>
      <c r="D20" s="66" t="s">
        <v>334</v>
      </c>
      <c r="E20" s="68"/>
    </row>
    <row r="21" customFormat="false" ht="25.5" hidden="false" customHeight="true" outlineLevel="0" collapsed="false">
      <c r="A21" s="69" t="n">
        <v>18</v>
      </c>
      <c r="B21" s="96" t="s">
        <v>3095</v>
      </c>
      <c r="C21" s="71" t="s">
        <v>3876</v>
      </c>
      <c r="D21" s="69" t="s">
        <v>334</v>
      </c>
      <c r="E21" s="71"/>
    </row>
    <row r="22" customFormat="false" ht="25.5" hidden="false" customHeight="true" outlineLevel="0" collapsed="false">
      <c r="A22" s="66" t="n">
        <v>19</v>
      </c>
      <c r="B22" s="95" t="s">
        <v>3877</v>
      </c>
      <c r="C22" s="68" t="s">
        <v>3878</v>
      </c>
      <c r="D22" s="66" t="s">
        <v>334</v>
      </c>
      <c r="E22" s="68"/>
    </row>
    <row r="23" customFormat="false" ht="25.5" hidden="false" customHeight="true" outlineLevel="0" collapsed="false">
      <c r="A23" s="69" t="n">
        <v>20</v>
      </c>
      <c r="B23" s="96" t="s">
        <v>3879</v>
      </c>
      <c r="C23" s="71" t="s">
        <v>3880</v>
      </c>
      <c r="D23" s="69" t="s">
        <v>334</v>
      </c>
      <c r="E23" s="71"/>
    </row>
    <row r="24" customFormat="false" ht="25.5" hidden="false" customHeight="true" outlineLevel="0" collapsed="false">
      <c r="A24" s="66" t="n">
        <v>21</v>
      </c>
      <c r="B24" s="95" t="s">
        <v>3881</v>
      </c>
      <c r="C24" s="68" t="s">
        <v>2890</v>
      </c>
      <c r="D24" s="66" t="s">
        <v>334</v>
      </c>
      <c r="E24" s="68"/>
    </row>
    <row r="25" customFormat="false" ht="25.5" hidden="false" customHeight="true" outlineLevel="0" collapsed="false">
      <c r="A25" s="69" t="n">
        <v>22</v>
      </c>
      <c r="B25" s="96" t="s">
        <v>3882</v>
      </c>
      <c r="C25" s="71" t="s">
        <v>3883</v>
      </c>
      <c r="D25" s="69" t="s">
        <v>334</v>
      </c>
      <c r="E25" s="71"/>
    </row>
    <row r="26" customFormat="false" ht="25.5" hidden="false" customHeight="true" outlineLevel="0" collapsed="false">
      <c r="A26" s="66" t="n">
        <v>23</v>
      </c>
      <c r="B26" s="95" t="s">
        <v>3884</v>
      </c>
      <c r="C26" s="68" t="s">
        <v>3885</v>
      </c>
      <c r="D26" s="66" t="s">
        <v>334</v>
      </c>
      <c r="E26" s="68"/>
    </row>
    <row r="27" customFormat="false" ht="25.5" hidden="false" customHeight="true" outlineLevel="0" collapsed="false">
      <c r="A27" s="69" t="n">
        <v>24</v>
      </c>
      <c r="B27" s="96" t="s">
        <v>3886</v>
      </c>
      <c r="C27" s="71" t="s">
        <v>3467</v>
      </c>
      <c r="D27" s="69" t="s">
        <v>334</v>
      </c>
      <c r="E27" s="71"/>
    </row>
    <row r="28" customFormat="false" ht="25.5" hidden="false" customHeight="true" outlineLevel="0" collapsed="false">
      <c r="A28" s="66" t="n">
        <v>25</v>
      </c>
      <c r="B28" s="95" t="s">
        <v>3887</v>
      </c>
      <c r="C28" s="68" t="s">
        <v>3888</v>
      </c>
      <c r="D28" s="66" t="s">
        <v>334</v>
      </c>
      <c r="E28" s="68"/>
    </row>
    <row r="29" customFormat="false" ht="25.5" hidden="false" customHeight="true" outlineLevel="0" collapsed="false">
      <c r="A29" s="69" t="n">
        <v>26</v>
      </c>
      <c r="B29" s="96" t="s">
        <v>3889</v>
      </c>
      <c r="C29" s="71" t="s">
        <v>3890</v>
      </c>
      <c r="D29" s="69" t="s">
        <v>334</v>
      </c>
      <c r="E29" s="71"/>
    </row>
    <row r="30" customFormat="false" ht="25.5" hidden="false" customHeight="true" outlineLevel="0" collapsed="false">
      <c r="A30" s="66" t="n">
        <v>27</v>
      </c>
      <c r="B30" s="95" t="s">
        <v>3891</v>
      </c>
      <c r="C30" s="68" t="s">
        <v>3892</v>
      </c>
      <c r="D30" s="66" t="s">
        <v>334</v>
      </c>
      <c r="E30" s="68"/>
    </row>
    <row r="31" customFormat="false" ht="25.5" hidden="false" customHeight="true" outlineLevel="0" collapsed="false">
      <c r="A31" s="69" t="n">
        <v>28</v>
      </c>
      <c r="B31" s="96" t="s">
        <v>3893</v>
      </c>
      <c r="C31" s="71" t="s">
        <v>3894</v>
      </c>
      <c r="D31" s="69" t="s">
        <v>334</v>
      </c>
      <c r="E31" s="71"/>
    </row>
    <row r="32" customFormat="false" ht="25.5" hidden="false" customHeight="true" outlineLevel="0" collapsed="false">
      <c r="A32" s="66" t="n">
        <v>29</v>
      </c>
      <c r="B32" s="95" t="s">
        <v>3895</v>
      </c>
      <c r="C32" s="68" t="s">
        <v>3896</v>
      </c>
      <c r="D32" s="66" t="s">
        <v>334</v>
      </c>
      <c r="E32" s="68"/>
    </row>
    <row r="33" customFormat="false" ht="25.5" hidden="false" customHeight="true" outlineLevel="0" collapsed="false">
      <c r="A33" s="69" t="n">
        <v>30</v>
      </c>
      <c r="B33" s="96" t="s">
        <v>3897</v>
      </c>
      <c r="C33" s="71" t="s">
        <v>3898</v>
      </c>
      <c r="D33" s="69" t="s">
        <v>334</v>
      </c>
      <c r="E33" s="71"/>
    </row>
    <row r="34" customFormat="false" ht="25.5" hidden="false" customHeight="true" outlineLevel="0" collapsed="false">
      <c r="A34" s="66" t="n">
        <v>31</v>
      </c>
      <c r="B34" s="95" t="s">
        <v>3899</v>
      </c>
      <c r="C34" s="68" t="s">
        <v>3900</v>
      </c>
      <c r="D34" s="66" t="s">
        <v>334</v>
      </c>
      <c r="E34" s="68"/>
    </row>
    <row r="35" customFormat="false" ht="25.5" hidden="false" customHeight="true" outlineLevel="0" collapsed="false">
      <c r="A35" s="69" t="n">
        <v>32</v>
      </c>
      <c r="B35" s="96" t="s">
        <v>3901</v>
      </c>
      <c r="C35" s="71" t="s">
        <v>3902</v>
      </c>
      <c r="D35" s="69" t="s">
        <v>334</v>
      </c>
      <c r="E35" s="71"/>
    </row>
    <row r="36" customFormat="false" ht="25.5" hidden="false" customHeight="true" outlineLevel="0" collapsed="false">
      <c r="A36" s="66" t="n">
        <v>33</v>
      </c>
      <c r="B36" s="95" t="s">
        <v>3903</v>
      </c>
      <c r="C36" s="68" t="s">
        <v>3904</v>
      </c>
      <c r="D36" s="66" t="s">
        <v>334</v>
      </c>
      <c r="E36" s="68"/>
    </row>
    <row r="37" customFormat="false" ht="25.5" hidden="false" customHeight="true" outlineLevel="0" collapsed="false">
      <c r="A37" s="69" t="n">
        <v>34</v>
      </c>
      <c r="B37" s="96" t="s">
        <v>3905</v>
      </c>
      <c r="C37" s="71" t="s">
        <v>3906</v>
      </c>
      <c r="D37" s="69" t="s">
        <v>334</v>
      </c>
      <c r="E37" s="71"/>
    </row>
    <row r="38" customFormat="false" ht="25.5" hidden="false" customHeight="true" outlineLevel="0" collapsed="false">
      <c r="A38" s="66" t="n">
        <v>35</v>
      </c>
      <c r="B38" s="95" t="s">
        <v>3907</v>
      </c>
      <c r="C38" s="68" t="s">
        <v>3908</v>
      </c>
      <c r="D38" s="66" t="s">
        <v>334</v>
      </c>
      <c r="E38" s="68"/>
    </row>
    <row r="39" customFormat="false" ht="25.5" hidden="false" customHeight="true" outlineLevel="0" collapsed="false">
      <c r="A39" s="69" t="n">
        <v>36</v>
      </c>
      <c r="B39" s="96" t="s">
        <v>3909</v>
      </c>
      <c r="C39" s="71" t="s">
        <v>3910</v>
      </c>
      <c r="D39" s="69" t="s">
        <v>334</v>
      </c>
      <c r="E39" s="71"/>
    </row>
    <row r="40" customFormat="false" ht="25.5" hidden="false" customHeight="true" outlineLevel="0" collapsed="false">
      <c r="A40" s="66" t="n">
        <v>37</v>
      </c>
      <c r="B40" s="95" t="s">
        <v>3911</v>
      </c>
      <c r="C40" s="68" t="s">
        <v>3912</v>
      </c>
      <c r="D40" s="66" t="s">
        <v>334</v>
      </c>
      <c r="E40" s="68"/>
    </row>
    <row r="41" customFormat="false" ht="25.5" hidden="false" customHeight="true" outlineLevel="0" collapsed="false">
      <c r="A41" s="69" t="n">
        <v>38</v>
      </c>
      <c r="B41" s="96" t="s">
        <v>3913</v>
      </c>
      <c r="C41" s="71" t="s">
        <v>3914</v>
      </c>
      <c r="D41" s="69" t="s">
        <v>334</v>
      </c>
      <c r="E41" s="71"/>
    </row>
    <row r="42" customFormat="false" ht="25.5" hidden="false" customHeight="true" outlineLevel="0" collapsed="false">
      <c r="A42" s="66" t="n">
        <v>39</v>
      </c>
      <c r="B42" s="95" t="s">
        <v>3915</v>
      </c>
      <c r="C42" s="68" t="s">
        <v>3916</v>
      </c>
      <c r="D42" s="66" t="s">
        <v>334</v>
      </c>
      <c r="E42" s="68"/>
    </row>
    <row r="43" customFormat="false" ht="25.5" hidden="false" customHeight="true" outlineLevel="0" collapsed="false">
      <c r="A43" s="69" t="n">
        <v>40</v>
      </c>
      <c r="B43" s="96" t="s">
        <v>3917</v>
      </c>
      <c r="C43" s="71" t="s">
        <v>3918</v>
      </c>
      <c r="D43" s="69" t="s">
        <v>334</v>
      </c>
      <c r="E43" s="71"/>
    </row>
    <row r="44" customFormat="false" ht="25.5" hidden="false" customHeight="true" outlineLevel="0" collapsed="false">
      <c r="A44" s="66" t="n">
        <v>41</v>
      </c>
      <c r="B44" s="95" t="s">
        <v>3919</v>
      </c>
      <c r="C44" s="68" t="s">
        <v>3920</v>
      </c>
      <c r="D44" s="66" t="s">
        <v>334</v>
      </c>
      <c r="E44" s="68"/>
    </row>
    <row r="45" customFormat="false" ht="25.5" hidden="false" customHeight="true" outlineLevel="0" collapsed="false">
      <c r="A45" s="69" t="n">
        <v>42</v>
      </c>
      <c r="B45" s="96" t="s">
        <v>3921</v>
      </c>
      <c r="C45" s="71" t="s">
        <v>3922</v>
      </c>
      <c r="D45" s="69" t="s">
        <v>334</v>
      </c>
      <c r="E45" s="71"/>
    </row>
    <row r="46" customFormat="false" ht="25.5" hidden="false" customHeight="true" outlineLevel="0" collapsed="false">
      <c r="A46" s="66" t="n">
        <v>43</v>
      </c>
      <c r="B46" s="95" t="s">
        <v>3923</v>
      </c>
      <c r="C46" s="68" t="s">
        <v>3924</v>
      </c>
      <c r="D46" s="66" t="s">
        <v>334</v>
      </c>
      <c r="E46" s="68"/>
    </row>
    <row r="47" customFormat="false" ht="25.5" hidden="false" customHeight="true" outlineLevel="0" collapsed="false">
      <c r="A47" s="69" t="n">
        <v>44</v>
      </c>
      <c r="B47" s="96" t="s">
        <v>3925</v>
      </c>
      <c r="C47" s="71" t="s">
        <v>3926</v>
      </c>
      <c r="D47" s="69" t="s">
        <v>334</v>
      </c>
      <c r="E47" s="71"/>
    </row>
    <row r="48" customFormat="false" ht="25.5" hidden="false" customHeight="true" outlineLevel="0" collapsed="false">
      <c r="A48" s="66" t="n">
        <v>45</v>
      </c>
      <c r="B48" s="95" t="s">
        <v>3927</v>
      </c>
      <c r="C48" s="68" t="s">
        <v>3928</v>
      </c>
      <c r="D48" s="66" t="s">
        <v>334</v>
      </c>
      <c r="E48" s="68"/>
    </row>
    <row r="49" customFormat="false" ht="25.5" hidden="false" customHeight="true" outlineLevel="0" collapsed="false">
      <c r="A49" s="69" t="n">
        <v>46</v>
      </c>
      <c r="B49" s="96" t="s">
        <v>3929</v>
      </c>
      <c r="C49" s="71" t="s">
        <v>3930</v>
      </c>
      <c r="D49" s="69" t="s">
        <v>334</v>
      </c>
      <c r="E49" s="71"/>
    </row>
    <row r="50" customFormat="false" ht="25.5" hidden="false" customHeight="true" outlineLevel="0" collapsed="false">
      <c r="A50" s="66" t="n">
        <v>47</v>
      </c>
      <c r="B50" s="95" t="s">
        <v>3931</v>
      </c>
      <c r="C50" s="68" t="s">
        <v>3932</v>
      </c>
      <c r="D50" s="66" t="s">
        <v>334</v>
      </c>
      <c r="E50" s="68"/>
    </row>
    <row r="51" customFormat="false" ht="25.5" hidden="false" customHeight="true" outlineLevel="0" collapsed="false">
      <c r="A51" s="69" t="n">
        <v>48</v>
      </c>
      <c r="B51" s="96" t="s">
        <v>3933</v>
      </c>
      <c r="C51" s="71" t="s">
        <v>3934</v>
      </c>
      <c r="D51" s="69" t="s">
        <v>334</v>
      </c>
      <c r="E51" s="71"/>
    </row>
    <row r="52" customFormat="false" ht="25.5" hidden="false" customHeight="true" outlineLevel="0" collapsed="false">
      <c r="A52" s="66" t="n">
        <v>49</v>
      </c>
      <c r="B52" s="95" t="s">
        <v>3935</v>
      </c>
      <c r="C52" s="68" t="s">
        <v>3936</v>
      </c>
      <c r="D52" s="66" t="s">
        <v>334</v>
      </c>
      <c r="E52" s="68"/>
    </row>
    <row r="53" customFormat="false" ht="25.5" hidden="false" customHeight="true" outlineLevel="0" collapsed="false">
      <c r="A53" s="69" t="n">
        <v>50</v>
      </c>
      <c r="B53" s="96" t="s">
        <v>3937</v>
      </c>
      <c r="C53" s="71" t="s">
        <v>3938</v>
      </c>
      <c r="D53" s="69" t="s">
        <v>334</v>
      </c>
      <c r="E53" s="71"/>
    </row>
    <row r="54" customFormat="false" ht="25.5" hidden="false" customHeight="true" outlineLevel="0" collapsed="false">
      <c r="A54" s="66" t="n">
        <v>51</v>
      </c>
      <c r="B54" s="95" t="s">
        <v>3939</v>
      </c>
      <c r="C54" s="68" t="s">
        <v>3940</v>
      </c>
      <c r="D54" s="66" t="s">
        <v>334</v>
      </c>
      <c r="E54" s="68"/>
    </row>
    <row r="55" customFormat="false" ht="25.5" hidden="false" customHeight="true" outlineLevel="0" collapsed="false">
      <c r="A55" s="69" t="n">
        <v>52</v>
      </c>
      <c r="B55" s="96" t="s">
        <v>3941</v>
      </c>
      <c r="C55" s="71" t="s">
        <v>3942</v>
      </c>
      <c r="D55" s="69" t="s">
        <v>334</v>
      </c>
      <c r="E55" s="71"/>
    </row>
    <row r="56" customFormat="false" ht="25.5" hidden="false" customHeight="true" outlineLevel="0" collapsed="false">
      <c r="A56" s="66" t="n">
        <v>53</v>
      </c>
      <c r="B56" s="95" t="s">
        <v>3943</v>
      </c>
      <c r="C56" s="68" t="s">
        <v>3944</v>
      </c>
      <c r="D56" s="66" t="s">
        <v>334</v>
      </c>
      <c r="E56" s="68"/>
    </row>
    <row r="57" customFormat="false" ht="25.5" hidden="false" customHeight="true" outlineLevel="0" collapsed="false">
      <c r="A57" s="69" t="n">
        <v>54</v>
      </c>
      <c r="B57" s="96" t="s">
        <v>3945</v>
      </c>
      <c r="C57" s="71" t="s">
        <v>1649</v>
      </c>
      <c r="D57" s="69" t="s">
        <v>334</v>
      </c>
      <c r="E57" s="71"/>
    </row>
    <row r="58" customFormat="false" ht="25.5" hidden="false" customHeight="true" outlineLevel="0" collapsed="false">
      <c r="A58" s="66" t="n">
        <v>55</v>
      </c>
      <c r="B58" s="95" t="s">
        <v>3946</v>
      </c>
      <c r="C58" s="68" t="s">
        <v>3947</v>
      </c>
      <c r="D58" s="66" t="s">
        <v>334</v>
      </c>
      <c r="E58" s="68"/>
    </row>
    <row r="59" customFormat="false" ht="25.5" hidden="false" customHeight="true" outlineLevel="0" collapsed="false">
      <c r="A59" s="69" t="n">
        <v>56</v>
      </c>
      <c r="B59" s="96" t="s">
        <v>3948</v>
      </c>
      <c r="C59" s="71" t="s">
        <v>3949</v>
      </c>
      <c r="D59" s="69" t="s">
        <v>334</v>
      </c>
      <c r="E59" s="71"/>
    </row>
    <row r="60" customFormat="false" ht="25.5" hidden="false" customHeight="true" outlineLevel="0" collapsed="false">
      <c r="A60" s="66" t="n">
        <v>57</v>
      </c>
      <c r="B60" s="95" t="s">
        <v>3950</v>
      </c>
      <c r="C60" s="68" t="s">
        <v>3951</v>
      </c>
      <c r="D60" s="66" t="s">
        <v>334</v>
      </c>
      <c r="E60" s="68"/>
    </row>
    <row r="61" customFormat="false" ht="25.5" hidden="false" customHeight="true" outlineLevel="0" collapsed="false">
      <c r="A61" s="69" t="n">
        <v>58</v>
      </c>
      <c r="B61" s="96" t="s">
        <v>3952</v>
      </c>
      <c r="C61" s="71" t="s">
        <v>3953</v>
      </c>
      <c r="D61" s="69" t="s">
        <v>334</v>
      </c>
      <c r="E61" s="71"/>
    </row>
    <row r="62" customFormat="false" ht="25.5" hidden="false" customHeight="true" outlineLevel="0" collapsed="false">
      <c r="A62" s="66" t="n">
        <v>59</v>
      </c>
      <c r="B62" s="95" t="s">
        <v>3954</v>
      </c>
      <c r="C62" s="68" t="s">
        <v>3955</v>
      </c>
      <c r="D62" s="66" t="s">
        <v>334</v>
      </c>
      <c r="E62" s="68"/>
    </row>
    <row r="63" customFormat="false" ht="25.5" hidden="false" customHeight="true" outlineLevel="0" collapsed="false">
      <c r="A63" s="69" t="n">
        <v>60</v>
      </c>
      <c r="B63" s="96" t="s">
        <v>3956</v>
      </c>
      <c r="C63" s="71" t="s">
        <v>3957</v>
      </c>
      <c r="D63" s="69" t="s">
        <v>334</v>
      </c>
      <c r="E63" s="71"/>
    </row>
    <row r="64" customFormat="false" ht="25.5" hidden="false" customHeight="true" outlineLevel="0" collapsed="false">
      <c r="A64" s="66" t="n">
        <v>61</v>
      </c>
      <c r="B64" s="95" t="s">
        <v>3958</v>
      </c>
      <c r="C64" s="68" t="s">
        <v>3959</v>
      </c>
      <c r="D64" s="66" t="s">
        <v>334</v>
      </c>
      <c r="E64" s="68"/>
    </row>
    <row r="65" customFormat="false" ht="25.5" hidden="false" customHeight="true" outlineLevel="0" collapsed="false">
      <c r="A65" s="69" t="n">
        <v>62</v>
      </c>
      <c r="B65" s="96" t="s">
        <v>3960</v>
      </c>
      <c r="C65" s="71" t="s">
        <v>3961</v>
      </c>
      <c r="D65" s="69" t="s">
        <v>334</v>
      </c>
      <c r="E65" s="71"/>
    </row>
    <row r="66" customFormat="false" ht="25.5" hidden="false" customHeight="true" outlineLevel="0" collapsed="false">
      <c r="A66" s="66" t="n">
        <v>63</v>
      </c>
      <c r="B66" s="95" t="s">
        <v>3962</v>
      </c>
      <c r="C66" s="68" t="s">
        <v>1451</v>
      </c>
      <c r="D66" s="66" t="s">
        <v>334</v>
      </c>
      <c r="E66" s="68"/>
    </row>
    <row r="67" customFormat="false" ht="25.5" hidden="false" customHeight="true" outlineLevel="0" collapsed="false">
      <c r="A67" s="69" t="n">
        <v>64</v>
      </c>
      <c r="B67" s="96" t="s">
        <v>3963</v>
      </c>
      <c r="C67" s="71" t="s">
        <v>3964</v>
      </c>
      <c r="D67" s="69" t="s">
        <v>334</v>
      </c>
      <c r="E67" s="71"/>
    </row>
    <row r="68" customFormat="false" ht="25.5" hidden="false" customHeight="true" outlineLevel="0" collapsed="false">
      <c r="A68" s="66" t="n">
        <v>65</v>
      </c>
      <c r="B68" s="95" t="s">
        <v>3965</v>
      </c>
      <c r="C68" s="68" t="s">
        <v>3966</v>
      </c>
      <c r="D68" s="66" t="s">
        <v>334</v>
      </c>
      <c r="E68" s="68"/>
    </row>
    <row r="69" customFormat="false" ht="25.5" hidden="false" customHeight="true" outlineLevel="0" collapsed="false">
      <c r="A69" s="69" t="n">
        <v>66</v>
      </c>
      <c r="B69" s="96" t="s">
        <v>3967</v>
      </c>
      <c r="C69" s="71" t="s">
        <v>1880</v>
      </c>
      <c r="D69" s="69" t="s">
        <v>334</v>
      </c>
      <c r="E69" s="71"/>
    </row>
    <row r="70" customFormat="false" ht="25.5" hidden="false" customHeight="true" outlineLevel="0" collapsed="false">
      <c r="A70" s="66" t="n">
        <v>67</v>
      </c>
      <c r="B70" s="95" t="s">
        <v>3968</v>
      </c>
      <c r="C70" s="68" t="s">
        <v>3969</v>
      </c>
      <c r="D70" s="66" t="s">
        <v>334</v>
      </c>
      <c r="E70" s="68"/>
    </row>
    <row r="71" customFormat="false" ht="25.5" hidden="false" customHeight="true" outlineLevel="0" collapsed="false">
      <c r="A71" s="69" t="n">
        <v>68</v>
      </c>
      <c r="B71" s="96" t="s">
        <v>3970</v>
      </c>
      <c r="C71" s="71" t="s">
        <v>3971</v>
      </c>
      <c r="D71" s="69" t="s">
        <v>334</v>
      </c>
      <c r="E71" s="71"/>
    </row>
    <row r="72" customFormat="false" ht="25.5" hidden="false" customHeight="true" outlineLevel="0" collapsed="false">
      <c r="A72" s="66" t="n">
        <v>69</v>
      </c>
      <c r="B72" s="95" t="s">
        <v>3972</v>
      </c>
      <c r="C72" s="68" t="s">
        <v>3973</v>
      </c>
      <c r="D72" s="66" t="s">
        <v>334</v>
      </c>
      <c r="E72" s="68"/>
    </row>
    <row r="73" customFormat="false" ht="25.5" hidden="false" customHeight="true" outlineLevel="0" collapsed="false">
      <c r="A73" s="69" t="n">
        <v>70</v>
      </c>
      <c r="B73" s="96" t="s">
        <v>3974</v>
      </c>
      <c r="C73" s="71" t="s">
        <v>3975</v>
      </c>
      <c r="D73" s="69" t="s">
        <v>334</v>
      </c>
      <c r="E73" s="71"/>
    </row>
    <row r="74" customFormat="false" ht="25.5" hidden="false" customHeight="true" outlineLevel="0" collapsed="false">
      <c r="A74" s="66" t="n">
        <v>71</v>
      </c>
      <c r="B74" s="95" t="s">
        <v>3976</v>
      </c>
      <c r="C74" s="68" t="s">
        <v>3977</v>
      </c>
      <c r="D74" s="66" t="s">
        <v>334</v>
      </c>
      <c r="E74" s="68"/>
    </row>
    <row r="75" customFormat="false" ht="25.5" hidden="false" customHeight="true" outlineLevel="0" collapsed="false">
      <c r="A75" s="69" t="n">
        <v>72</v>
      </c>
      <c r="B75" s="96" t="s">
        <v>3978</v>
      </c>
      <c r="C75" s="71" t="s">
        <v>3979</v>
      </c>
      <c r="D75" s="69" t="s">
        <v>334</v>
      </c>
      <c r="E75" s="71"/>
    </row>
    <row r="76" customFormat="false" ht="25.5" hidden="false" customHeight="true" outlineLevel="0" collapsed="false">
      <c r="A76" s="66" t="n">
        <v>73</v>
      </c>
      <c r="B76" s="95" t="s">
        <v>3980</v>
      </c>
      <c r="C76" s="68" t="s">
        <v>3981</v>
      </c>
      <c r="D76" s="66" t="s">
        <v>334</v>
      </c>
      <c r="E76" s="68"/>
    </row>
    <row r="77" customFormat="false" ht="25.5" hidden="false" customHeight="true" outlineLevel="0" collapsed="false">
      <c r="A77" s="69" t="n">
        <v>74</v>
      </c>
      <c r="B77" s="96" t="s">
        <v>3982</v>
      </c>
      <c r="C77" s="71" t="s">
        <v>3983</v>
      </c>
      <c r="D77" s="69" t="s">
        <v>334</v>
      </c>
      <c r="E77" s="71"/>
    </row>
    <row r="78" customFormat="false" ht="25.5" hidden="false" customHeight="true" outlineLevel="0" collapsed="false">
      <c r="A78" s="66" t="n">
        <v>75</v>
      </c>
      <c r="B78" s="95" t="s">
        <v>3984</v>
      </c>
      <c r="C78" s="68" t="s">
        <v>1685</v>
      </c>
      <c r="D78" s="66" t="s">
        <v>334</v>
      </c>
      <c r="E78" s="68"/>
    </row>
    <row r="79" customFormat="false" ht="25.5" hidden="false" customHeight="true" outlineLevel="0" collapsed="false">
      <c r="A79" s="69" t="n">
        <v>76</v>
      </c>
      <c r="B79" s="97" t="s">
        <v>3985</v>
      </c>
      <c r="C79" s="71" t="s">
        <v>3986</v>
      </c>
      <c r="D79" s="69" t="s">
        <v>334</v>
      </c>
      <c r="E79" s="71"/>
    </row>
    <row r="80" customFormat="false" ht="25.5" hidden="false" customHeight="true" outlineLevel="0" collapsed="false">
      <c r="A80" s="66" t="n">
        <v>77</v>
      </c>
      <c r="B80" s="95" t="s">
        <v>3987</v>
      </c>
      <c r="C80" s="68" t="s">
        <v>1795</v>
      </c>
      <c r="D80" s="66" t="s">
        <v>334</v>
      </c>
      <c r="E80" s="68"/>
    </row>
    <row r="81" customFormat="false" ht="25.5" hidden="false" customHeight="true" outlineLevel="0" collapsed="false">
      <c r="A81" s="69" t="n">
        <v>78</v>
      </c>
      <c r="B81" s="96" t="s">
        <v>3988</v>
      </c>
      <c r="C81" s="71" t="s">
        <v>3989</v>
      </c>
      <c r="D81" s="69" t="s">
        <v>334</v>
      </c>
      <c r="E81" s="71"/>
    </row>
    <row r="82" customFormat="false" ht="25.5" hidden="false" customHeight="true" outlineLevel="0" collapsed="false">
      <c r="A82" s="66" t="n">
        <v>79</v>
      </c>
      <c r="B82" s="95" t="s">
        <v>3990</v>
      </c>
      <c r="C82" s="68" t="s">
        <v>3991</v>
      </c>
      <c r="D82" s="66" t="s">
        <v>334</v>
      </c>
      <c r="E82" s="68"/>
    </row>
    <row r="83" customFormat="false" ht="25.5" hidden="false" customHeight="true" outlineLevel="0" collapsed="false">
      <c r="A83" s="69" t="n">
        <v>80</v>
      </c>
      <c r="B83" s="96" t="s">
        <v>3992</v>
      </c>
      <c r="C83" s="71" t="s">
        <v>3993</v>
      </c>
      <c r="D83" s="69" t="s">
        <v>334</v>
      </c>
      <c r="E83" s="71"/>
    </row>
    <row r="84" customFormat="false" ht="25.5" hidden="false" customHeight="true" outlineLevel="0" collapsed="false">
      <c r="A84" s="66" t="n">
        <v>81</v>
      </c>
      <c r="B84" s="95" t="s">
        <v>924</v>
      </c>
      <c r="C84" s="68" t="s">
        <v>3994</v>
      </c>
      <c r="D84" s="66" t="s">
        <v>334</v>
      </c>
      <c r="E84" s="68"/>
    </row>
    <row r="85" customFormat="false" ht="25.5" hidden="false" customHeight="true" outlineLevel="0" collapsed="false">
      <c r="A85" s="69" t="n">
        <v>82</v>
      </c>
      <c r="B85" s="96" t="s">
        <v>3995</v>
      </c>
      <c r="C85" s="71" t="s">
        <v>3996</v>
      </c>
      <c r="D85" s="69" t="s">
        <v>334</v>
      </c>
      <c r="E85" s="71"/>
    </row>
    <row r="86" customFormat="false" ht="25.5" hidden="false" customHeight="true" outlineLevel="0" collapsed="false">
      <c r="A86" s="66" t="n">
        <v>83</v>
      </c>
      <c r="B86" s="95" t="s">
        <v>3997</v>
      </c>
      <c r="C86" s="68" t="s">
        <v>3998</v>
      </c>
      <c r="D86" s="66" t="s">
        <v>334</v>
      </c>
      <c r="E86" s="68"/>
    </row>
    <row r="87" customFormat="false" ht="25.5" hidden="false" customHeight="true" outlineLevel="0" collapsed="false">
      <c r="A87" s="69" t="n">
        <v>84</v>
      </c>
      <c r="B87" s="96" t="s">
        <v>3999</v>
      </c>
      <c r="C87" s="71" t="s">
        <v>4000</v>
      </c>
      <c r="D87" s="69" t="s">
        <v>334</v>
      </c>
      <c r="E87" s="71"/>
    </row>
    <row r="88" customFormat="false" ht="25.5" hidden="false" customHeight="true" outlineLevel="0" collapsed="false">
      <c r="A88" s="66" t="n">
        <v>85</v>
      </c>
      <c r="B88" s="95" t="s">
        <v>4001</v>
      </c>
      <c r="C88" s="68" t="s">
        <v>3515</v>
      </c>
      <c r="D88" s="66" t="s">
        <v>334</v>
      </c>
      <c r="E88" s="68"/>
    </row>
    <row r="89" customFormat="false" ht="25.5" hidden="false" customHeight="true" outlineLevel="0" collapsed="false">
      <c r="A89" s="69" t="n">
        <v>86</v>
      </c>
      <c r="B89" s="96" t="s">
        <v>4002</v>
      </c>
      <c r="C89" s="71" t="s">
        <v>4003</v>
      </c>
      <c r="D89" s="69" t="s">
        <v>334</v>
      </c>
      <c r="E89" s="71"/>
    </row>
    <row r="90" customFormat="false" ht="25.5" hidden="false" customHeight="true" outlineLevel="0" collapsed="false">
      <c r="A90" s="66" t="n">
        <v>87</v>
      </c>
      <c r="B90" s="95" t="s">
        <v>4004</v>
      </c>
      <c r="C90" s="68" t="s">
        <v>4005</v>
      </c>
      <c r="D90" s="66" t="s">
        <v>334</v>
      </c>
      <c r="E90" s="68"/>
    </row>
    <row r="91" customFormat="false" ht="25.5" hidden="false" customHeight="true" outlineLevel="0" collapsed="false">
      <c r="A91" s="69" t="n">
        <v>88</v>
      </c>
      <c r="B91" s="97" t="s">
        <v>4006</v>
      </c>
      <c r="C91" s="71" t="s">
        <v>4007</v>
      </c>
      <c r="D91" s="69" t="s">
        <v>334</v>
      </c>
      <c r="E91" s="71"/>
    </row>
    <row r="92" customFormat="false" ht="25.5" hidden="false" customHeight="true" outlineLevel="0" collapsed="false">
      <c r="A92" s="66" t="n">
        <v>89</v>
      </c>
      <c r="B92" s="95" t="s">
        <v>4008</v>
      </c>
      <c r="C92" s="68" t="s">
        <v>4009</v>
      </c>
      <c r="D92" s="66" t="s">
        <v>334</v>
      </c>
      <c r="E92" s="68"/>
    </row>
    <row r="93" customFormat="false" ht="25.5" hidden="false" customHeight="true" outlineLevel="0" collapsed="false">
      <c r="A93" s="69" t="n">
        <v>90</v>
      </c>
      <c r="B93" s="96" t="s">
        <v>4010</v>
      </c>
      <c r="C93" s="71" t="s">
        <v>4011</v>
      </c>
      <c r="D93" s="69" t="s">
        <v>334</v>
      </c>
      <c r="E93" s="71"/>
    </row>
    <row r="94" customFormat="false" ht="25.5" hidden="false" customHeight="true" outlineLevel="0" collapsed="false">
      <c r="A94" s="66" t="n">
        <v>91</v>
      </c>
      <c r="B94" s="95" t="s">
        <v>4012</v>
      </c>
      <c r="C94" s="68" t="s">
        <v>4013</v>
      </c>
      <c r="D94" s="66" t="s">
        <v>334</v>
      </c>
      <c r="E94" s="68"/>
    </row>
    <row r="95" customFormat="false" ht="25.5" hidden="false" customHeight="true" outlineLevel="0" collapsed="false">
      <c r="A95" s="69" t="n">
        <v>92</v>
      </c>
      <c r="B95" s="96" t="s">
        <v>4014</v>
      </c>
      <c r="C95" s="71" t="s">
        <v>4015</v>
      </c>
      <c r="D95" s="69" t="s">
        <v>334</v>
      </c>
      <c r="E95" s="71"/>
    </row>
    <row r="96" customFormat="false" ht="25.5" hidden="false" customHeight="true" outlineLevel="0" collapsed="false">
      <c r="A96" s="66" t="n">
        <v>93</v>
      </c>
      <c r="B96" s="95" t="s">
        <v>2626</v>
      </c>
      <c r="C96" s="68" t="s">
        <v>4016</v>
      </c>
      <c r="D96" s="66" t="s">
        <v>334</v>
      </c>
      <c r="E96" s="68"/>
    </row>
    <row r="97" customFormat="false" ht="25.5" hidden="false" customHeight="true" outlineLevel="0" collapsed="false">
      <c r="A97" s="69" t="n">
        <v>94</v>
      </c>
      <c r="B97" s="96" t="s">
        <v>4017</v>
      </c>
      <c r="C97" s="71" t="s">
        <v>4018</v>
      </c>
      <c r="D97" s="69" t="s">
        <v>334</v>
      </c>
      <c r="E97" s="71"/>
    </row>
  </sheetData>
  <autoFilter ref="A3:E97"/>
  <mergeCells count="2">
    <mergeCell ref="A1:E1"/>
    <mergeCell ref="A2:E2"/>
  </mergeCells>
  <conditionalFormatting sqref="A4:E97">
    <cfRule type="expression" priority="2" aboveAverage="0" equalAverage="0" bottom="0" percent="0" rank="0" text="" dxfId="8">
      <formula>$D4="Xong"</formula>
    </cfRule>
    <cfRule type="expression" priority="3" aboveAverage="0" equalAverage="0" bottom="0" percent="0" rank="0" text="" dxfId="9">
      <formula>$D4="Đang học"</formula>
    </cfRule>
  </conditionalFormatting>
  <dataValidations count="1">
    <dataValidation allowBlank="true" errorStyle="stop" operator="between" showDropDown="false" showErrorMessage="false" showInputMessage="false" sqref="D4:D97" type="list">
      <formula1>"Chưa học,Đang học,Xong"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16"/>
    <col collapsed="false" customWidth="true" hidden="false" outlineLevel="0" max="4" min="4" style="0" width="66"/>
  </cols>
  <sheetData>
    <row r="1" customFormat="false" ht="31.5" hidden="false" customHeight="true" outlineLevel="0" collapsed="false">
      <c r="A1" s="15" t="s">
        <v>4019</v>
      </c>
      <c r="B1" s="15"/>
      <c r="C1" s="15"/>
      <c r="D1" s="15"/>
    </row>
    <row r="2" customFormat="false" ht="30" hidden="false" customHeight="true" outlineLevel="0" collapsed="false">
      <c r="A2" s="16" t="s">
        <v>778</v>
      </c>
      <c r="B2" s="16" t="s">
        <v>4020</v>
      </c>
      <c r="C2" s="16" t="s">
        <v>4021</v>
      </c>
      <c r="D2" s="16" t="s">
        <v>4022</v>
      </c>
    </row>
    <row r="3" customFormat="false" ht="31.5" hidden="false" customHeight="true" outlineLevel="0" collapsed="false">
      <c r="A3" s="98" t="n">
        <v>1</v>
      </c>
      <c r="B3" s="89" t="s">
        <v>4023</v>
      </c>
      <c r="C3" s="98" t="s">
        <v>93</v>
      </c>
      <c r="D3" s="68" t="s">
        <v>4024</v>
      </c>
    </row>
    <row r="4" customFormat="false" ht="31.5" hidden="false" customHeight="true" outlineLevel="0" collapsed="false">
      <c r="A4" s="99" t="n">
        <v>2</v>
      </c>
      <c r="B4" s="92" t="s">
        <v>4025</v>
      </c>
      <c r="C4" s="99" t="s">
        <v>136</v>
      </c>
      <c r="D4" s="71" t="s">
        <v>4026</v>
      </c>
    </row>
    <row r="5" customFormat="false" ht="31.5" hidden="false" customHeight="true" outlineLevel="0" collapsed="false">
      <c r="A5" s="98" t="n">
        <v>3</v>
      </c>
      <c r="B5" s="89" t="s">
        <v>4027</v>
      </c>
      <c r="C5" s="98" t="s">
        <v>121</v>
      </c>
      <c r="D5" s="68" t="s">
        <v>4028</v>
      </c>
    </row>
    <row r="6" customFormat="false" ht="31.5" hidden="false" customHeight="true" outlineLevel="0" collapsed="false">
      <c r="A6" s="99" t="n">
        <v>4</v>
      </c>
      <c r="B6" s="92" t="s">
        <v>4029</v>
      </c>
      <c r="C6" s="99" t="s">
        <v>121</v>
      </c>
      <c r="D6" s="71" t="s">
        <v>4030</v>
      </c>
    </row>
    <row r="7" customFormat="false" ht="31.5" hidden="false" customHeight="true" outlineLevel="0" collapsed="false">
      <c r="A7" s="98" t="n">
        <v>5</v>
      </c>
      <c r="B7" s="89" t="s">
        <v>4031</v>
      </c>
      <c r="C7" s="98" t="s">
        <v>136</v>
      </c>
      <c r="D7" s="68" t="s">
        <v>4032</v>
      </c>
    </row>
    <row r="8" customFormat="false" ht="31.5" hidden="false" customHeight="true" outlineLevel="0" collapsed="false">
      <c r="A8" s="99" t="n">
        <v>6</v>
      </c>
      <c r="B8" s="92" t="s">
        <v>4033</v>
      </c>
      <c r="C8" s="99" t="s">
        <v>93</v>
      </c>
      <c r="D8" s="71" t="s">
        <v>4034</v>
      </c>
    </row>
    <row r="9" customFormat="false" ht="31.5" hidden="false" customHeight="true" outlineLevel="0" collapsed="false">
      <c r="A9" s="98" t="n">
        <v>7</v>
      </c>
      <c r="B9" s="89" t="s">
        <v>4035</v>
      </c>
      <c r="C9" s="98" t="s">
        <v>136</v>
      </c>
      <c r="D9" s="68" t="s">
        <v>4036</v>
      </c>
    </row>
    <row r="10" customFormat="false" ht="31.5" hidden="false" customHeight="true" outlineLevel="0" collapsed="false">
      <c r="A10" s="99" t="n">
        <v>8</v>
      </c>
      <c r="B10" s="92" t="s">
        <v>4037</v>
      </c>
      <c r="C10" s="99" t="s">
        <v>136</v>
      </c>
      <c r="D10" s="71" t="s">
        <v>4038</v>
      </c>
    </row>
    <row r="11" customFormat="false" ht="31.5" hidden="false" customHeight="true" outlineLevel="0" collapsed="false">
      <c r="A11" s="98" t="n">
        <v>9</v>
      </c>
      <c r="B11" s="89" t="s">
        <v>4039</v>
      </c>
      <c r="C11" s="98" t="s">
        <v>3768</v>
      </c>
      <c r="D11" s="68" t="s">
        <v>4040</v>
      </c>
    </row>
    <row r="13" customFormat="false" ht="24" hidden="false" customHeight="true" outlineLevel="0" collapsed="false">
      <c r="A13" s="9" t="s">
        <v>4041</v>
      </c>
      <c r="B13" s="9"/>
      <c r="C13" s="9"/>
      <c r="D13" s="9"/>
    </row>
    <row r="14" customFormat="false" ht="21.75" hidden="false" customHeight="true" outlineLevel="0" collapsed="false">
      <c r="A14" s="100" t="s">
        <v>4042</v>
      </c>
      <c r="B14" s="100" t="s">
        <v>4043</v>
      </c>
      <c r="C14" s="100" t="s">
        <v>3597</v>
      </c>
      <c r="D14" s="100" t="s">
        <v>4044</v>
      </c>
    </row>
    <row r="15" customFormat="false" ht="21.75" hidden="false" customHeight="true" outlineLevel="0" collapsed="false">
      <c r="A15" s="98" t="s">
        <v>4045</v>
      </c>
      <c r="B15" s="73" t="s">
        <v>4046</v>
      </c>
      <c r="C15" s="98" t="s">
        <v>4047</v>
      </c>
      <c r="D15" s="68" t="s">
        <v>4048</v>
      </c>
    </row>
    <row r="16" customFormat="false" ht="21.75" hidden="false" customHeight="true" outlineLevel="0" collapsed="false">
      <c r="A16" s="99" t="s">
        <v>4049</v>
      </c>
      <c r="B16" s="75" t="s">
        <v>4050</v>
      </c>
      <c r="C16" s="99" t="s">
        <v>4051</v>
      </c>
      <c r="D16" s="71" t="s">
        <v>4052</v>
      </c>
    </row>
    <row r="17" customFormat="false" ht="21.75" hidden="false" customHeight="true" outlineLevel="0" collapsed="false">
      <c r="A17" s="98" t="s">
        <v>4053</v>
      </c>
      <c r="B17" s="73" t="s">
        <v>4054</v>
      </c>
      <c r="C17" s="98" t="s">
        <v>4055</v>
      </c>
      <c r="D17" s="68" t="s">
        <v>4056</v>
      </c>
    </row>
    <row r="18" customFormat="false" ht="21.75" hidden="false" customHeight="true" outlineLevel="0" collapsed="false">
      <c r="A18" s="101" t="s">
        <v>4057</v>
      </c>
      <c r="B18" s="102" t="s">
        <v>4058</v>
      </c>
      <c r="C18" s="101" t="s">
        <v>4059</v>
      </c>
      <c r="D18" s="102" t="s">
        <v>4060</v>
      </c>
    </row>
  </sheetData>
  <mergeCells count="2">
    <mergeCell ref="A1:D1"/>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2: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4" min="3" style="0" width="13"/>
    <col collapsed="false" customWidth="true" hidden="false" outlineLevel="0" max="5" min="5" style="0" width="15"/>
    <col collapsed="false" customWidth="true" hidden="false" outlineLevel="0" max="6" min="6" style="0" width="50"/>
  </cols>
  <sheetData>
    <row r="2" customFormat="false" ht="36" hidden="false" customHeight="true" outlineLevel="0" collapsed="false">
      <c r="B2" s="103" t="s">
        <v>4061</v>
      </c>
      <c r="C2" s="103"/>
      <c r="D2" s="103"/>
      <c r="E2" s="103"/>
      <c r="F2" s="103"/>
    </row>
    <row r="4" customFormat="false" ht="30" hidden="false" customHeight="true" outlineLevel="0" collapsed="false">
      <c r="A4" s="16"/>
      <c r="B4" s="16" t="s">
        <v>4062</v>
      </c>
      <c r="C4" s="16" t="s">
        <v>86</v>
      </c>
      <c r="D4" s="16" t="s">
        <v>4057</v>
      </c>
      <c r="E4" s="16" t="s">
        <v>4063</v>
      </c>
      <c r="F4" s="16" t="s">
        <v>88</v>
      </c>
    </row>
    <row r="5" customFormat="false" ht="24" hidden="false" customHeight="true" outlineLevel="0" collapsed="false">
      <c r="B5" s="104" t="s">
        <v>4064</v>
      </c>
      <c r="C5" s="105" t="n">
        <f aca="false">COUNTIF('2. Lộ trình tổng quan'!$N$3:$N$92,1)</f>
        <v>0</v>
      </c>
      <c r="D5" s="105" t="n">
        <v>90</v>
      </c>
      <c r="E5" s="106" t="n">
        <f aca="false">IFERROR($C5/$D5,0)</f>
        <v>0</v>
      </c>
      <c r="F5" s="107" t="s">
        <v>4065</v>
      </c>
    </row>
    <row r="6" customFormat="false" ht="24" hidden="false" customHeight="true" outlineLevel="0" collapsed="false">
      <c r="B6" s="104" t="s">
        <v>4066</v>
      </c>
      <c r="C6" s="105" t="n">
        <f aca="false">COUNTIF('3. Chi tiết N1-14'!$D:$D,"Xong") + COUNTIF('4. Chi tiết N15-45'!$D:$D,"Xong") + COUNTIF('5. Chi tiết N46-77'!$D:$D,"Xong") + COUNTIF('6. Chi tiết N78-90'!$D:$D,"Xong")</f>
        <v>0</v>
      </c>
      <c r="D6" s="105" t="n">
        <v>491</v>
      </c>
      <c r="E6" s="106" t="n">
        <f aca="false">IFERROR($C6/$D6,0)</f>
        <v>0</v>
      </c>
      <c r="F6" s="107" t="s">
        <v>4067</v>
      </c>
    </row>
    <row r="7" customFormat="false" ht="24" hidden="false" customHeight="true" outlineLevel="0" collapsed="false">
      <c r="B7" s="104" t="s">
        <v>4068</v>
      </c>
      <c r="C7" s="105" t="n">
        <f aca="false">COUNTIF('7. Bảng chữ cái'!$F$3:$F$106,"Xong")</f>
        <v>0</v>
      </c>
      <c r="D7" s="105" t="n">
        <v>104</v>
      </c>
      <c r="E7" s="106" t="n">
        <f aca="false">IFERROR($C7/$D7,0)</f>
        <v>0</v>
      </c>
      <c r="F7" s="107" t="s">
        <v>4069</v>
      </c>
    </row>
    <row r="8" customFormat="false" ht="24" hidden="false" customHeight="true" outlineLevel="0" collapsed="false">
      <c r="B8" s="104" t="s">
        <v>81</v>
      </c>
      <c r="C8" s="105" t="n">
        <f aca="false">COUNTIF('8. Bộ thủ 45'!$H$4:$H$48,"Xong")</f>
        <v>0</v>
      </c>
      <c r="D8" s="105" t="n">
        <v>45</v>
      </c>
      <c r="E8" s="106" t="n">
        <f aca="false">IFERROR($C8/$D8,0)</f>
        <v>0</v>
      </c>
      <c r="F8" s="107" t="s">
        <v>4070</v>
      </c>
    </row>
    <row r="9" customFormat="false" ht="24" hidden="false" customHeight="true" outlineLevel="0" collapsed="false">
      <c r="B9" s="104" t="s">
        <v>80</v>
      </c>
      <c r="C9" s="105" t="n">
        <f aca="false">COUNTIF('9. Kanji 103'!$K$3:$K$105,"Xong")</f>
        <v>0</v>
      </c>
      <c r="D9" s="105" t="n">
        <v>103</v>
      </c>
      <c r="E9" s="106" t="n">
        <f aca="false">IFERROR($C9/$D9,0)</f>
        <v>0</v>
      </c>
      <c r="F9" s="107" t="s">
        <v>4071</v>
      </c>
    </row>
    <row r="10" customFormat="false" ht="24" hidden="false" customHeight="true" outlineLevel="0" collapsed="false">
      <c r="B10" s="104" t="s">
        <v>4072</v>
      </c>
      <c r="C10" s="105" t="n">
        <f aca="false">COUNTIF('9. Kanji 103'!$L$3:$L$105,"★")</f>
        <v>0</v>
      </c>
      <c r="D10" s="105" t="n">
        <v>103</v>
      </c>
      <c r="E10" s="106" t="n">
        <f aca="false">IFERROR($C10/$D10,0)</f>
        <v>0</v>
      </c>
      <c r="F10" s="107" t="s">
        <v>4073</v>
      </c>
    </row>
    <row r="11" customFormat="false" ht="24" hidden="false" customHeight="true" outlineLevel="0" collapsed="false">
      <c r="B11" s="104" t="s">
        <v>4074</v>
      </c>
      <c r="C11" s="105" t="n">
        <f aca="false">COUNTIF('10. Ngữ pháp Minna'!$G$3:$G$139,"Xong")</f>
        <v>0</v>
      </c>
      <c r="D11" s="105" t="n">
        <v>112</v>
      </c>
      <c r="E11" s="106" t="n">
        <f aca="false">IFERROR($C11/$D11,0)</f>
        <v>0</v>
      </c>
      <c r="F11" s="107" t="s">
        <v>4075</v>
      </c>
    </row>
    <row r="12" customFormat="false" ht="24" hidden="false" customHeight="true" outlineLevel="0" collapsed="false">
      <c r="B12" s="104" t="s">
        <v>3768</v>
      </c>
      <c r="C12" s="105" t="n">
        <f aca="false">COUNTIF('11. Từ vựng 350'!$G$4:$G$378,"Xong")</f>
        <v>0</v>
      </c>
      <c r="D12" s="105" t="n">
        <v>350</v>
      </c>
      <c r="E12" s="106" t="n">
        <f aca="false">IFERROR($C12/$D12,0)</f>
        <v>0</v>
      </c>
      <c r="F12" s="107" t="s">
        <v>4076</v>
      </c>
    </row>
    <row r="13" customFormat="false" ht="24" hidden="false" customHeight="true" outlineLevel="0" collapsed="false">
      <c r="B13" s="104" t="s">
        <v>4077</v>
      </c>
      <c r="C13" s="105" t="n">
        <f aca="false">COUNTIF('13. Ngữ pháp JLPT 94'!$D$4:$D$97,"Xong")</f>
        <v>0</v>
      </c>
      <c r="D13" s="105" t="n">
        <v>94</v>
      </c>
      <c r="E13" s="106" t="n">
        <f aca="false">IFERROR($C13/$D13,0)</f>
        <v>0</v>
      </c>
      <c r="F13" s="107" t="s">
        <v>4078</v>
      </c>
    </row>
    <row r="15" customFormat="false" ht="16.15" hidden="false" customHeight="false" outlineLevel="0" collapsed="false">
      <c r="B15" s="108" t="s">
        <v>4079</v>
      </c>
    </row>
    <row r="16" customFormat="false" ht="24" hidden="false" customHeight="true" outlineLevel="0" collapsed="false">
      <c r="B16" s="109" t="s">
        <v>4080</v>
      </c>
      <c r="C16" s="110" t="n">
        <f aca="false">SUM('2. Lộ trình tổng quan'!$L$3:$L$92)/60</f>
        <v>147.916666666667</v>
      </c>
      <c r="D16" s="110"/>
      <c r="E16" s="110"/>
      <c r="F16" s="111" t="s">
        <v>4081</v>
      </c>
    </row>
    <row r="17" customFormat="false" ht="24" hidden="false" customHeight="true" outlineLevel="0" collapsed="false">
      <c r="B17" s="109" t="s">
        <v>4082</v>
      </c>
      <c r="C17" s="112" t="n">
        <f aca="true">MAX(0,'1. Hướng dẫn'!$C$6-TODAY())</f>
        <v>102</v>
      </c>
      <c r="D17" s="112"/>
      <c r="E17" s="112"/>
      <c r="F17" s="111" t="s">
        <v>4083</v>
      </c>
    </row>
    <row r="18" customFormat="false" ht="24" hidden="false" customHeight="true" outlineLevel="0" collapsed="false">
      <c r="B18" s="109" t="s">
        <v>4084</v>
      </c>
      <c r="C18" s="113" t="n">
        <f aca="false">IFERROR(SUM($C$5:$C$12)/SUM($D$5:$D$12),0)</f>
        <v>0</v>
      </c>
      <c r="D18" s="113"/>
      <c r="E18" s="113"/>
      <c r="F18" s="111" t="s">
        <v>4085</v>
      </c>
    </row>
    <row r="20" customFormat="false" ht="33.75" hidden="false" customHeight="true" outlineLevel="0" collapsed="false">
      <c r="B20" s="114" t="s">
        <v>4086</v>
      </c>
      <c r="C20" s="114"/>
      <c r="D20" s="114"/>
      <c r="E20" s="114"/>
      <c r="F20" s="114"/>
    </row>
  </sheetData>
  <mergeCells count="5">
    <mergeCell ref="B2:F2"/>
    <mergeCell ref="C16:E16"/>
    <mergeCell ref="C17:E17"/>
    <mergeCell ref="C18:E18"/>
    <mergeCell ref="B20:F20"/>
  </mergeCells>
  <conditionalFormatting sqref="E5:E13">
    <cfRule type="cellIs" priority="2" operator="greaterThanOrEqual" aboveAverage="0" equalAverage="0" bottom="0" percent="0" rank="0" text="" dxfId="8">
      <formula>1</formula>
    </cfRule>
    <cfRule type="cellIs" priority="3" operator="between" aboveAverage="0" equalAverage="0" bottom="0" percent="0" rank="0" text="" dxfId="9">
      <formula>0.0001</formula>
      <formula>0.9999</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2026-08-19T08:36:29Z</dcterms:created>
  <dc:creator>openpyxl</dc:creator>
  <dc:description/>
  <dc:language>en-US</dc:language>
  <cp:lastModifiedBy/>
  <dcterms:modified xsi:type="dcterms:W3CDTF">2026-08-19T08:36:30Z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